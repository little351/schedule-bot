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1 курс\"/>
    </mc:Choice>
  </mc:AlternateContent>
  <bookViews>
    <workbookView xWindow="0" yWindow="720" windowWidth="19440" windowHeight="10680" tabRatio="889" firstSheet="1" activeTab="10"/>
  </bookViews>
  <sheets>
    <sheet name="титульный лист" sheetId="31" state="hidden" r:id="rId1"/>
    <sheet name="Титул" sheetId="36" r:id="rId2"/>
    <sheet name="приложение1" sheetId="27" r:id="rId3"/>
    <sheet name="расписание ПСС, ПФС" sheetId="30" r:id="rId4"/>
    <sheet name="Иностр язык (русский язык)" sheetId="37" r:id="rId5"/>
    <sheet name="01.09" sheetId="26" r:id="rId6"/>
    <sheet name="07.09" sheetId="25" r:id="rId7"/>
    <sheet name="14.09" sheetId="24" r:id="rId8"/>
    <sheet name="21.09" sheetId="2" r:id="rId9"/>
    <sheet name="28.09" sheetId="4" r:id="rId10"/>
    <sheet name="05.10" sheetId="5" r:id="rId11"/>
    <sheet name="12.10" sheetId="6" r:id="rId12"/>
    <sheet name="19.10" sheetId="7" r:id="rId13"/>
    <sheet name="26.10" sheetId="8" r:id="rId14"/>
    <sheet name="02.11" sheetId="9" r:id="rId15"/>
    <sheet name="09.11" sheetId="10" r:id="rId16"/>
    <sheet name="16.11" sheetId="11" r:id="rId17"/>
    <sheet name="23.11" sheetId="12" r:id="rId18"/>
    <sheet name="30.11" sheetId="13" r:id="rId19"/>
    <sheet name="07.12" sheetId="14" r:id="rId20"/>
    <sheet name="14.12" sheetId="15" r:id="rId21"/>
    <sheet name="21.12" sheetId="16" r:id="rId22"/>
    <sheet name="28.12" sheetId="17" r:id="rId23"/>
    <sheet name="08.06" sheetId="43" state="hidden" r:id="rId24"/>
    <sheet name="15.06" sheetId="44" state="hidden" r:id="rId25"/>
    <sheet name="09.01" sheetId="41" state="hidden" r:id="rId26"/>
    <sheet name="09.06" sheetId="38" state="hidden" r:id="rId27"/>
    <sheet name="16.06" sheetId="39" state="hidden" r:id="rId28"/>
    <sheet name="06.01" sheetId="32" state="hidden" r:id="rId29"/>
    <sheet name="13.01" sheetId="33" state="hidden" r:id="rId30"/>
  </sheets>
  <definedNames>
    <definedName name="SIGN" localSheetId="28">#REF!</definedName>
    <definedName name="SIGN" localSheetId="23">#REF!</definedName>
    <definedName name="SIGN" localSheetId="25">#REF!</definedName>
    <definedName name="SIGN" localSheetId="26">#REF!</definedName>
    <definedName name="SIGN" localSheetId="29">#REF!</definedName>
    <definedName name="SIGN" localSheetId="24">#REF!</definedName>
    <definedName name="SIGN" localSheetId="27">#REF!</definedName>
    <definedName name="SIGN">#REF!</definedName>
    <definedName name="SIGN_D" localSheetId="28">#REF!</definedName>
    <definedName name="SIGN_D" localSheetId="23">#REF!</definedName>
    <definedName name="SIGN_D" localSheetId="25">#REF!</definedName>
    <definedName name="SIGN_D" localSheetId="26">#REF!</definedName>
    <definedName name="SIGN_D" localSheetId="29">#REF!</definedName>
    <definedName name="SIGN_D" localSheetId="24">#REF!</definedName>
    <definedName name="SIGN_D" localSheetId="27">#REF!</definedName>
    <definedName name="SIGN_D">#REF!</definedName>
    <definedName name="Sign1" localSheetId="28">#REF!</definedName>
    <definedName name="Sign1" localSheetId="23">#REF!</definedName>
    <definedName name="Sign1" localSheetId="25">#REF!</definedName>
    <definedName name="Sign1" localSheetId="26">#REF!</definedName>
    <definedName name="Sign1" localSheetId="29">#REF!</definedName>
    <definedName name="Sign1" localSheetId="24">#REF!</definedName>
    <definedName name="Sign1" localSheetId="27">#REF!</definedName>
    <definedName name="Sign1">#REF!</definedName>
    <definedName name="и" localSheetId="28">#REF!</definedName>
    <definedName name="и" localSheetId="23">#REF!</definedName>
    <definedName name="и" localSheetId="25">#REF!</definedName>
    <definedName name="и" localSheetId="26">#REF!</definedName>
    <definedName name="и" localSheetId="29">#REF!</definedName>
    <definedName name="и" localSheetId="24">#REF!</definedName>
    <definedName name="и" localSheetId="27">#REF!</definedName>
    <definedName name="и">#REF!</definedName>
    <definedName name="_xlnm.Print_Area" localSheetId="5">'01.09'!$A$1:$G$40</definedName>
    <definedName name="_xlnm.Print_Area" localSheetId="14">'02.11'!$A$1:$G$41</definedName>
    <definedName name="_xlnm.Print_Area" localSheetId="10">'05.10'!$A$1:$G$41</definedName>
    <definedName name="_xlnm.Print_Area" localSheetId="28">'06.01'!$A$1:$I$38</definedName>
    <definedName name="_xlnm.Print_Area" localSheetId="6">'07.09'!$A$1:$G$41</definedName>
    <definedName name="_xlnm.Print_Area" localSheetId="19">'07.12'!$A$1:$G$41</definedName>
    <definedName name="_xlnm.Print_Area" localSheetId="23">'08.06'!$A$1:$G$41</definedName>
    <definedName name="_xlnm.Print_Area" localSheetId="25">'09.01'!$A$1:$G$39</definedName>
    <definedName name="_xlnm.Print_Area" localSheetId="26">'09.06'!$A$1:$G$41</definedName>
    <definedName name="_xlnm.Print_Area" localSheetId="15">'09.11'!$A$1:$G$41</definedName>
    <definedName name="_xlnm.Print_Area" localSheetId="11">'12.10'!$A$1:$G$41</definedName>
    <definedName name="_xlnm.Print_Area" localSheetId="29">'13.01'!$A$1:$I$38</definedName>
    <definedName name="_xlnm.Print_Area" localSheetId="7">'14.09'!$A$1:$G$41</definedName>
    <definedName name="_xlnm.Print_Area" localSheetId="20">'14.12'!$A$1:$G$41</definedName>
    <definedName name="_xlnm.Print_Area" localSheetId="24">'15.06'!$A$1:$G$63</definedName>
    <definedName name="_xlnm.Print_Area" localSheetId="27">'16.06'!$A$1:$G$67</definedName>
    <definedName name="_xlnm.Print_Area" localSheetId="16">'16.11'!$A$1:$G$41</definedName>
    <definedName name="_xlnm.Print_Area" localSheetId="12">'19.10'!$A$1:$G$41</definedName>
    <definedName name="_xlnm.Print_Area" localSheetId="8">'21.09'!$A$1:$G$41</definedName>
    <definedName name="_xlnm.Print_Area" localSheetId="21">'21.12'!$A$1:$G$41</definedName>
    <definedName name="_xlnm.Print_Area" localSheetId="17">'23.11'!$A$1:$G$41</definedName>
    <definedName name="_xlnm.Print_Area" localSheetId="13">'26.10'!$A$1:$G$41</definedName>
    <definedName name="_xlnm.Print_Area" localSheetId="9">'28.09'!$A$1:$G$41</definedName>
    <definedName name="_xlnm.Print_Area" localSheetId="22">'28.12'!$A$1:$G$63</definedName>
    <definedName name="_xlnm.Print_Area" localSheetId="18">'30.11'!$A$1:$G$41</definedName>
    <definedName name="_xlnm.Print_Area" localSheetId="2">приложение1!$A$1:$C$20</definedName>
    <definedName name="_xlnm.Print_Area" localSheetId="3">'расписание ПСС, ПФС'!$A$1:$F$56</definedName>
    <definedName name="Р1" localSheetId="28">#REF!</definedName>
    <definedName name="Р1" localSheetId="23">#REF!</definedName>
    <definedName name="Р1" localSheetId="25">#REF!</definedName>
    <definedName name="Р1" localSheetId="26">#REF!</definedName>
    <definedName name="Р1" localSheetId="29">#REF!</definedName>
    <definedName name="Р1" localSheetId="24">#REF!</definedName>
    <definedName name="Р1" localSheetId="27">#REF!</definedName>
    <definedName name="Р1">#REF!</definedName>
    <definedName name="ыва" localSheetId="28">#REF!</definedName>
    <definedName name="ыва" localSheetId="23">#REF!</definedName>
    <definedName name="ыва" localSheetId="25">#REF!</definedName>
    <definedName name="ыва" localSheetId="26">#REF!</definedName>
    <definedName name="ыва" localSheetId="29">#REF!</definedName>
    <definedName name="ыва" localSheetId="24">#REF!</definedName>
    <definedName name="ыва" localSheetId="27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G43" i="26" l="1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42" i="26"/>
  <c r="C43" i="16" l="1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7" i="44" l="1"/>
  <c r="C66" i="44"/>
  <c r="C65" i="44"/>
  <c r="C64" i="44"/>
  <c r="C63" i="44"/>
  <c r="C62" i="44"/>
  <c r="C61" i="44"/>
  <c r="C60" i="44"/>
  <c r="C59" i="44"/>
  <c r="C58" i="44"/>
  <c r="C57" i="44"/>
  <c r="C56" i="44"/>
  <c r="C55" i="44"/>
  <c r="C54" i="44"/>
  <c r="C53" i="44"/>
  <c r="C52" i="44"/>
  <c r="C51" i="44"/>
  <c r="C50" i="44"/>
  <c r="C49" i="44"/>
  <c r="C48" i="44"/>
  <c r="C47" i="44"/>
  <c r="C46" i="44"/>
  <c r="C45" i="44"/>
  <c r="C44" i="44"/>
  <c r="C43" i="44"/>
  <c r="C42" i="44"/>
  <c r="B16" i="44"/>
  <c r="B21" i="44" s="1"/>
  <c r="B26" i="44" s="1"/>
  <c r="B31" i="44" s="1"/>
  <c r="B36" i="44" s="1"/>
  <c r="C67" i="43"/>
  <c r="C66" i="43"/>
  <c r="C65" i="43"/>
  <c r="C64" i="43"/>
  <c r="C63" i="43"/>
  <c r="C62" i="43"/>
  <c r="C61" i="43"/>
  <c r="C60" i="43"/>
  <c r="C59" i="43"/>
  <c r="C58" i="43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B16" i="43"/>
  <c r="B21" i="43" s="1"/>
  <c r="B26" i="43" s="1"/>
  <c r="B31" i="43" s="1"/>
  <c r="B36" i="43" s="1"/>
  <c r="C65" i="41" l="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C40" i="41"/>
  <c r="B14" i="41"/>
  <c r="B19" i="41" s="1"/>
  <c r="B24" i="41" s="1"/>
  <c r="B29" i="41" s="1"/>
  <c r="B34" i="41" s="1"/>
  <c r="C67" i="39" l="1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6" i="39"/>
  <c r="B21" i="39" s="1"/>
  <c r="B26" i="39" s="1"/>
  <c r="B31" i="39" s="1"/>
  <c r="B36" i="39" s="1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B16" i="38"/>
  <c r="B21" i="38" s="1"/>
  <c r="B26" i="38" s="1"/>
  <c r="B31" i="38" s="1"/>
  <c r="B36" i="38" s="1"/>
  <c r="C42" i="25" l="1"/>
  <c r="C42" i="24"/>
  <c r="C42" i="2"/>
  <c r="E42" i="26"/>
  <c r="F42" i="26"/>
  <c r="F42" i="25" s="1"/>
  <c r="G42" i="26"/>
  <c r="D43" i="25"/>
  <c r="E43" i="25"/>
  <c r="F43" i="25"/>
  <c r="G43" i="25"/>
  <c r="D44" i="25"/>
  <c r="E44" i="25"/>
  <c r="F44" i="25"/>
  <c r="G44" i="25"/>
  <c r="D45" i="25"/>
  <c r="D45" i="24" s="1"/>
  <c r="E45" i="25"/>
  <c r="E45" i="24" s="1"/>
  <c r="F45" i="25"/>
  <c r="F45" i="24" s="1"/>
  <c r="G45" i="25"/>
  <c r="G45" i="24" s="1"/>
  <c r="C65" i="33"/>
  <c r="H65" i="33" s="1"/>
  <c r="C64" i="33"/>
  <c r="C63" i="33"/>
  <c r="H63" i="33" s="1"/>
  <c r="C62" i="33"/>
  <c r="I62" i="33" s="1"/>
  <c r="C61" i="33"/>
  <c r="H61" i="33" s="1"/>
  <c r="C60" i="33"/>
  <c r="C59" i="33"/>
  <c r="H59" i="33" s="1"/>
  <c r="C58" i="33"/>
  <c r="H58" i="33" s="1"/>
  <c r="C57" i="33"/>
  <c r="I57" i="33" s="1"/>
  <c r="C56" i="33"/>
  <c r="C55" i="33"/>
  <c r="I55" i="33" s="1"/>
  <c r="C54" i="33"/>
  <c r="H54" i="33" s="1"/>
  <c r="C53" i="33"/>
  <c r="I53" i="33" s="1"/>
  <c r="C52" i="33"/>
  <c r="C51" i="33"/>
  <c r="I51" i="33" s="1"/>
  <c r="C50" i="33"/>
  <c r="H50" i="33" s="1"/>
  <c r="C49" i="33"/>
  <c r="I49" i="33" s="1"/>
  <c r="C48" i="33"/>
  <c r="C47" i="33"/>
  <c r="I47" i="33" s="1"/>
  <c r="C46" i="33"/>
  <c r="I46" i="33" s="1"/>
  <c r="C45" i="33"/>
  <c r="I45" i="33" s="1"/>
  <c r="C44" i="33"/>
  <c r="C43" i="33"/>
  <c r="I43" i="33" s="1"/>
  <c r="C42" i="33"/>
  <c r="I42" i="33" s="1"/>
  <c r="C41" i="33"/>
  <c r="I41" i="33" s="1"/>
  <c r="C40" i="33"/>
  <c r="H40" i="33" s="1"/>
  <c r="B14" i="33"/>
  <c r="B19" i="33" s="1"/>
  <c r="B24" i="33" s="1"/>
  <c r="B29" i="33" s="1"/>
  <c r="B34" i="33" s="1"/>
  <c r="C65" i="32"/>
  <c r="H65" i="32" s="1"/>
  <c r="C64" i="32"/>
  <c r="I64" i="32" s="1"/>
  <c r="C63" i="32"/>
  <c r="C62" i="32"/>
  <c r="H62" i="32" s="1"/>
  <c r="C61" i="32"/>
  <c r="H61" i="32" s="1"/>
  <c r="C60" i="32"/>
  <c r="H60" i="32" s="1"/>
  <c r="C59" i="32"/>
  <c r="C58" i="32"/>
  <c r="H58" i="32" s="1"/>
  <c r="C57" i="32"/>
  <c r="I57" i="32" s="1"/>
  <c r="C56" i="32"/>
  <c r="I56" i="32" s="1"/>
  <c r="C55" i="32"/>
  <c r="C54" i="32"/>
  <c r="I54" i="32" s="1"/>
  <c r="C53" i="32"/>
  <c r="H53" i="32" s="1"/>
  <c r="C52" i="32"/>
  <c r="H52" i="32" s="1"/>
  <c r="C51" i="32"/>
  <c r="C50" i="32"/>
  <c r="H50" i="32" s="1"/>
  <c r="C49" i="32"/>
  <c r="H49" i="32" s="1"/>
  <c r="C48" i="32"/>
  <c r="I48" i="32" s="1"/>
  <c r="C47" i="32"/>
  <c r="C46" i="32"/>
  <c r="H46" i="32" s="1"/>
  <c r="C45" i="32"/>
  <c r="H45" i="32" s="1"/>
  <c r="C44" i="32"/>
  <c r="H44" i="32" s="1"/>
  <c r="C43" i="32"/>
  <c r="H43" i="32" s="1"/>
  <c r="C42" i="32"/>
  <c r="I42" i="32" s="1"/>
  <c r="C41" i="32"/>
  <c r="H41" i="32" s="1"/>
  <c r="C40" i="32"/>
  <c r="H40" i="32" s="1"/>
  <c r="B14" i="32"/>
  <c r="B19" i="32" s="1"/>
  <c r="B24" i="32" s="1"/>
  <c r="B29" i="32" s="1"/>
  <c r="B34" i="32" s="1"/>
  <c r="D46" i="25"/>
  <c r="D46" i="24" s="1"/>
  <c r="E46" i="25"/>
  <c r="E46" i="24" s="1"/>
  <c r="F46" i="25"/>
  <c r="F46" i="24" s="1"/>
  <c r="G46" i="25"/>
  <c r="G46" i="24" s="1"/>
  <c r="D47" i="25"/>
  <c r="D47" i="24" s="1"/>
  <c r="E47" i="25"/>
  <c r="E47" i="24" s="1"/>
  <c r="F47" i="25"/>
  <c r="F47" i="24" s="1"/>
  <c r="G47" i="25"/>
  <c r="G47" i="24" s="1"/>
  <c r="D48" i="25"/>
  <c r="D48" i="24" s="1"/>
  <c r="E48" i="25"/>
  <c r="E48" i="24" s="1"/>
  <c r="F48" i="25"/>
  <c r="F48" i="24" s="1"/>
  <c r="G48" i="25"/>
  <c r="G48" i="24" s="1"/>
  <c r="D49" i="25"/>
  <c r="D49" i="24" s="1"/>
  <c r="E49" i="25"/>
  <c r="E49" i="24" s="1"/>
  <c r="F49" i="25"/>
  <c r="F49" i="24" s="1"/>
  <c r="G49" i="25"/>
  <c r="G49" i="24" s="1"/>
  <c r="D50" i="25"/>
  <c r="D50" i="24" s="1"/>
  <c r="E50" i="25"/>
  <c r="E50" i="24" s="1"/>
  <c r="F50" i="25"/>
  <c r="F50" i="24" s="1"/>
  <c r="G50" i="25"/>
  <c r="G50" i="24" s="1"/>
  <c r="D51" i="25"/>
  <c r="D51" i="24" s="1"/>
  <c r="E51" i="25"/>
  <c r="E51" i="24" s="1"/>
  <c r="F51" i="25"/>
  <c r="F51" i="24" s="1"/>
  <c r="G51" i="25"/>
  <c r="G51" i="24" s="1"/>
  <c r="D52" i="25"/>
  <c r="D52" i="24" s="1"/>
  <c r="E52" i="25"/>
  <c r="E52" i="24" s="1"/>
  <c r="F52" i="25"/>
  <c r="F52" i="24" s="1"/>
  <c r="G52" i="25"/>
  <c r="G52" i="24" s="1"/>
  <c r="D53" i="25"/>
  <c r="D53" i="24" s="1"/>
  <c r="E53" i="25"/>
  <c r="E53" i="24" s="1"/>
  <c r="F53" i="25"/>
  <c r="F53" i="24" s="1"/>
  <c r="G53" i="25"/>
  <c r="G53" i="24" s="1"/>
  <c r="D54" i="25"/>
  <c r="D54" i="24" s="1"/>
  <c r="E54" i="25"/>
  <c r="E54" i="24" s="1"/>
  <c r="F54" i="25"/>
  <c r="F54" i="24" s="1"/>
  <c r="G54" i="25"/>
  <c r="G54" i="24" s="1"/>
  <c r="D55" i="25"/>
  <c r="D55" i="24" s="1"/>
  <c r="E55" i="25"/>
  <c r="E55" i="24" s="1"/>
  <c r="F55" i="25"/>
  <c r="F55" i="24" s="1"/>
  <c r="G55" i="25"/>
  <c r="G55" i="24" s="1"/>
  <c r="D56" i="25"/>
  <c r="D56" i="24" s="1"/>
  <c r="E56" i="25"/>
  <c r="E56" i="24" s="1"/>
  <c r="F56" i="25"/>
  <c r="F56" i="24" s="1"/>
  <c r="G56" i="25"/>
  <c r="G56" i="24" s="1"/>
  <c r="D57" i="25"/>
  <c r="D57" i="24" s="1"/>
  <c r="E57" i="25"/>
  <c r="E57" i="24" s="1"/>
  <c r="F57" i="25"/>
  <c r="F57" i="24" s="1"/>
  <c r="G57" i="25"/>
  <c r="G57" i="24" s="1"/>
  <c r="D58" i="25"/>
  <c r="D58" i="24" s="1"/>
  <c r="E58" i="25"/>
  <c r="E58" i="24" s="1"/>
  <c r="F58" i="25"/>
  <c r="F58" i="24" s="1"/>
  <c r="G58" i="25"/>
  <c r="G58" i="24" s="1"/>
  <c r="D59" i="25"/>
  <c r="D59" i="24" s="1"/>
  <c r="E59" i="25"/>
  <c r="E59" i="24" s="1"/>
  <c r="F59" i="25"/>
  <c r="F59" i="24" s="1"/>
  <c r="G59" i="25"/>
  <c r="G59" i="24" s="1"/>
  <c r="D60" i="25"/>
  <c r="D60" i="24" s="1"/>
  <c r="E60" i="25"/>
  <c r="E60" i="24" s="1"/>
  <c r="F60" i="25"/>
  <c r="F60" i="24" s="1"/>
  <c r="G60" i="25"/>
  <c r="G60" i="24" s="1"/>
  <c r="D61" i="25"/>
  <c r="D61" i="24" s="1"/>
  <c r="E61" i="25"/>
  <c r="E61" i="24" s="1"/>
  <c r="F61" i="25"/>
  <c r="F61" i="24" s="1"/>
  <c r="G61" i="25"/>
  <c r="G61" i="24" s="1"/>
  <c r="D62" i="25"/>
  <c r="D62" i="24" s="1"/>
  <c r="E62" i="25"/>
  <c r="E62" i="24" s="1"/>
  <c r="F62" i="25"/>
  <c r="F62" i="24" s="1"/>
  <c r="G62" i="25"/>
  <c r="G62" i="24" s="1"/>
  <c r="D63" i="25"/>
  <c r="D63" i="24" s="1"/>
  <c r="E63" i="25"/>
  <c r="E63" i="24" s="1"/>
  <c r="F63" i="25"/>
  <c r="F63" i="24" s="1"/>
  <c r="G63" i="25"/>
  <c r="G63" i="24" s="1"/>
  <c r="D64" i="25"/>
  <c r="D64" i="24" s="1"/>
  <c r="E64" i="25"/>
  <c r="E64" i="24" s="1"/>
  <c r="F64" i="25"/>
  <c r="F64" i="24" s="1"/>
  <c r="G64" i="25"/>
  <c r="G64" i="24" s="1"/>
  <c r="D65" i="25"/>
  <c r="D65" i="24" s="1"/>
  <c r="E65" i="25"/>
  <c r="E65" i="24" s="1"/>
  <c r="F65" i="25"/>
  <c r="F65" i="24" s="1"/>
  <c r="G65" i="25"/>
  <c r="G65" i="24" s="1"/>
  <c r="D66" i="25"/>
  <c r="D66" i="24" s="1"/>
  <c r="E66" i="25"/>
  <c r="E66" i="24" s="1"/>
  <c r="F66" i="25"/>
  <c r="F66" i="24" s="1"/>
  <c r="G66" i="25"/>
  <c r="G66" i="24" s="1"/>
  <c r="D67" i="25"/>
  <c r="D67" i="24" s="1"/>
  <c r="E67" i="25"/>
  <c r="E67" i="24" s="1"/>
  <c r="F67" i="25"/>
  <c r="F67" i="24" s="1"/>
  <c r="G67" i="25"/>
  <c r="G67" i="24" s="1"/>
  <c r="I63" i="33"/>
  <c r="I55" i="32"/>
  <c r="I51" i="32"/>
  <c r="H63" i="32"/>
  <c r="H55" i="32"/>
  <c r="B16" i="17"/>
  <c r="B21" i="17" s="1"/>
  <c r="B26" i="17" s="1"/>
  <c r="B31" i="17" s="1"/>
  <c r="B36" i="17" s="1"/>
  <c r="B16" i="16"/>
  <c r="B21" i="16" s="1"/>
  <c r="B26" i="16" s="1"/>
  <c r="B31" i="16" s="1"/>
  <c r="B36" i="16" s="1"/>
  <c r="B16" i="15"/>
  <c r="B21" i="15" s="1"/>
  <c r="B26" i="15" s="1"/>
  <c r="B31" i="15" s="1"/>
  <c r="B36" i="15" s="1"/>
  <c r="B16" i="14"/>
  <c r="B21" i="14" s="1"/>
  <c r="B26" i="14" s="1"/>
  <c r="B31" i="14" s="1"/>
  <c r="B36" i="14" s="1"/>
  <c r="B16" i="13"/>
  <c r="B21" i="13" s="1"/>
  <c r="B26" i="13" s="1"/>
  <c r="B31" i="13" s="1"/>
  <c r="B36" i="13" s="1"/>
  <c r="B16" i="12"/>
  <c r="B21" i="12" s="1"/>
  <c r="B26" i="12" s="1"/>
  <c r="B31" i="12" s="1"/>
  <c r="B36" i="12" s="1"/>
  <c r="B16" i="11"/>
  <c r="B21" i="11" s="1"/>
  <c r="B26" i="11" s="1"/>
  <c r="B31" i="11" s="1"/>
  <c r="B36" i="11" s="1"/>
  <c r="B16" i="10"/>
  <c r="B21" i="10" s="1"/>
  <c r="B26" i="10" s="1"/>
  <c r="B31" i="10" s="1"/>
  <c r="B36" i="10" s="1"/>
  <c r="B16" i="9"/>
  <c r="B21" i="9" s="1"/>
  <c r="B26" i="9" s="1"/>
  <c r="B31" i="9" s="1"/>
  <c r="B36" i="9" s="1"/>
  <c r="B16" i="8"/>
  <c r="B21" i="8" s="1"/>
  <c r="B26" i="8" s="1"/>
  <c r="B31" i="8" s="1"/>
  <c r="B36" i="8" s="1"/>
  <c r="B16" i="7"/>
  <c r="B21" i="7" s="1"/>
  <c r="B26" i="7" s="1"/>
  <c r="B31" i="7" s="1"/>
  <c r="B36" i="7" s="1"/>
  <c r="B16" i="6"/>
  <c r="B21" i="6" s="1"/>
  <c r="B26" i="6" s="1"/>
  <c r="B31" i="6" s="1"/>
  <c r="B36" i="6" s="1"/>
  <c r="B16" i="5"/>
  <c r="B21" i="5" s="1"/>
  <c r="B26" i="5" s="1"/>
  <c r="B31" i="5" s="1"/>
  <c r="B36" i="5" s="1"/>
  <c r="B16" i="4"/>
  <c r="B21" i="4" s="1"/>
  <c r="B26" i="4" s="1"/>
  <c r="B31" i="4" s="1"/>
  <c r="B36" i="4" s="1"/>
  <c r="B16" i="2"/>
  <c r="B21" i="2" s="1"/>
  <c r="B26" i="2" s="1"/>
  <c r="B31" i="2" s="1"/>
  <c r="B36" i="2" s="1"/>
  <c r="B16" i="24"/>
  <c r="B21" i="24" s="1"/>
  <c r="B26" i="24" s="1"/>
  <c r="B31" i="24" s="1"/>
  <c r="B36" i="24" s="1"/>
  <c r="B16" i="25"/>
  <c r="B21" i="25" s="1"/>
  <c r="B26" i="25" s="1"/>
  <c r="B31" i="25" s="1"/>
  <c r="B36" i="25" s="1"/>
  <c r="B16" i="26"/>
  <c r="B21" i="26" s="1"/>
  <c r="B26" i="26" s="1"/>
  <c r="B31" i="26" s="1"/>
  <c r="B36" i="26" s="1"/>
  <c r="I65" i="33"/>
  <c r="H47" i="32"/>
  <c r="I63" i="32"/>
  <c r="H51" i="32"/>
  <c r="H59" i="32"/>
  <c r="I59" i="32"/>
  <c r="I56" i="33"/>
  <c r="I48" i="33"/>
  <c r="I46" i="32"/>
  <c r="H48" i="32"/>
  <c r="H48" i="33"/>
  <c r="H52" i="33"/>
  <c r="I60" i="33"/>
  <c r="I64" i="33"/>
  <c r="I50" i="32"/>
  <c r="H44" i="33"/>
  <c r="I44" i="33"/>
  <c r="I52" i="33"/>
  <c r="H60" i="33"/>
  <c r="H64" i="33"/>
  <c r="H56" i="33"/>
  <c r="I47" i="32"/>
  <c r="C42" i="8"/>
  <c r="C42" i="4"/>
  <c r="C42" i="5"/>
  <c r="C42" i="6"/>
  <c r="C42" i="7"/>
  <c r="C42" i="9"/>
  <c r="C42" i="10"/>
  <c r="C42" i="11"/>
  <c r="C42" i="12"/>
  <c r="C42" i="13"/>
  <c r="C42" i="14"/>
  <c r="C42" i="15"/>
  <c r="C42" i="16"/>
  <c r="C42" i="17"/>
  <c r="I58" i="32" l="1"/>
  <c r="H51" i="33"/>
  <c r="I65" i="32"/>
  <c r="G65" i="2"/>
  <c r="G65" i="4" s="1"/>
  <c r="G65" i="5" s="1"/>
  <c r="G65" i="6" s="1"/>
  <c r="G65" i="7" s="1"/>
  <c r="G65" i="8" s="1"/>
  <c r="G65" i="9" s="1"/>
  <c r="G65" i="10" s="1"/>
  <c r="G65" i="11" s="1"/>
  <c r="G65" i="12" s="1"/>
  <c r="G65" i="13" s="1"/>
  <c r="G65" i="14" s="1"/>
  <c r="G65" i="15" s="1"/>
  <c r="I52" i="32"/>
  <c r="H53" i="33"/>
  <c r="I60" i="32"/>
  <c r="H41" i="33"/>
  <c r="I40" i="33"/>
  <c r="G54" i="2"/>
  <c r="G54" i="4" s="1"/>
  <c r="G54" i="5" s="1"/>
  <c r="G54" i="6" s="1"/>
  <c r="G54" i="7" s="1"/>
  <c r="G54" i="8" s="1"/>
  <c r="G54" i="9" s="1"/>
  <c r="G54" i="10" s="1"/>
  <c r="G54" i="11" s="1"/>
  <c r="G54" i="12" s="1"/>
  <c r="G54" i="13" s="1"/>
  <c r="G54" i="14" s="1"/>
  <c r="G54" i="15" s="1"/>
  <c r="G43" i="24"/>
  <c r="G43" i="2" s="1"/>
  <c r="G43" i="4" s="1"/>
  <c r="G43" i="5" s="1"/>
  <c r="G43" i="6" s="1"/>
  <c r="G43" i="7" s="1"/>
  <c r="G43" i="8" s="1"/>
  <c r="G43" i="9" s="1"/>
  <c r="G43" i="10" s="1"/>
  <c r="G43" i="11" s="1"/>
  <c r="G43" i="12" s="1"/>
  <c r="G43" i="13" s="1"/>
  <c r="G43" i="14" s="1"/>
  <c r="G43" i="15" s="1"/>
  <c r="G62" i="2"/>
  <c r="G62" i="4" s="1"/>
  <c r="G62" i="5" s="1"/>
  <c r="G62" i="6" s="1"/>
  <c r="G62" i="7" s="1"/>
  <c r="G62" i="8" s="1"/>
  <c r="G62" i="9" s="1"/>
  <c r="G62" i="10" s="1"/>
  <c r="G62" i="11" s="1"/>
  <c r="G62" i="12" s="1"/>
  <c r="G62" i="13" s="1"/>
  <c r="G62" i="14" s="1"/>
  <c r="G62" i="15" s="1"/>
  <c r="G58" i="2"/>
  <c r="G58" i="4" s="1"/>
  <c r="G58" i="5" s="1"/>
  <c r="G58" i="6" s="1"/>
  <c r="G58" i="7" s="1"/>
  <c r="G58" i="8" s="1"/>
  <c r="G58" i="9" s="1"/>
  <c r="G58" i="10" s="1"/>
  <c r="G58" i="11" s="1"/>
  <c r="G58" i="12" s="1"/>
  <c r="G58" i="13" s="1"/>
  <c r="G58" i="14" s="1"/>
  <c r="G58" i="15" s="1"/>
  <c r="G50" i="2"/>
  <c r="G50" i="4" s="1"/>
  <c r="G50" i="5" s="1"/>
  <c r="G50" i="6" s="1"/>
  <c r="G50" i="7" s="1"/>
  <c r="G50" i="8" s="1"/>
  <c r="G50" i="9" s="1"/>
  <c r="G50" i="10" s="1"/>
  <c r="G50" i="11" s="1"/>
  <c r="G50" i="12" s="1"/>
  <c r="G50" i="13" s="1"/>
  <c r="G50" i="14" s="1"/>
  <c r="G50" i="15" s="1"/>
  <c r="H56" i="32"/>
  <c r="H45" i="33"/>
  <c r="H49" i="33"/>
  <c r="I61" i="33"/>
  <c r="F43" i="24"/>
  <c r="F43" i="2" s="1"/>
  <c r="F43" i="4" s="1"/>
  <c r="F43" i="5" s="1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I40" i="32"/>
  <c r="I44" i="32"/>
  <c r="G66" i="2"/>
  <c r="G66" i="4" s="1"/>
  <c r="G66" i="5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4" i="41" s="1"/>
  <c r="H64" i="32"/>
  <c r="H57" i="33"/>
  <c r="E48" i="2"/>
  <c r="E48" i="4" s="1"/>
  <c r="E48" i="5" s="1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6" i="41" s="1"/>
  <c r="G67" i="2"/>
  <c r="G67" i="4" s="1"/>
  <c r="G67" i="5" s="1"/>
  <c r="G67" i="6" s="1"/>
  <c r="G67" i="7" s="1"/>
  <c r="G67" i="8" s="1"/>
  <c r="G67" i="9" s="1"/>
  <c r="G67" i="10" s="1"/>
  <c r="G67" i="11" s="1"/>
  <c r="G67" i="12" s="1"/>
  <c r="G67" i="13" s="1"/>
  <c r="G67" i="14" s="1"/>
  <c r="G67" i="15" s="1"/>
  <c r="G65" i="41" s="1"/>
  <c r="G46" i="2"/>
  <c r="G46" i="4" s="1"/>
  <c r="G46" i="5" s="1"/>
  <c r="G46" i="6" s="1"/>
  <c r="G46" i="7" s="1"/>
  <c r="G46" i="8" s="1"/>
  <c r="G46" i="9" s="1"/>
  <c r="G46" i="10" s="1"/>
  <c r="G46" i="11" s="1"/>
  <c r="G46" i="12" s="1"/>
  <c r="G46" i="13" s="1"/>
  <c r="G46" i="14" s="1"/>
  <c r="G46" i="15" s="1"/>
  <c r="I59" i="33"/>
  <c r="G55" i="2"/>
  <c r="G55" i="4" s="1"/>
  <c r="G55" i="5" s="1"/>
  <c r="G55" i="6" s="1"/>
  <c r="G55" i="7" s="1"/>
  <c r="G55" i="8" s="1"/>
  <c r="G55" i="9" s="1"/>
  <c r="G55" i="10" s="1"/>
  <c r="G55" i="11" s="1"/>
  <c r="G55" i="12" s="1"/>
  <c r="G55" i="13" s="1"/>
  <c r="G55" i="14" s="1"/>
  <c r="G55" i="15" s="1"/>
  <c r="H46" i="33"/>
  <c r="D65" i="2"/>
  <c r="D65" i="4" s="1"/>
  <c r="D65" i="5" s="1"/>
  <c r="D65" i="6" s="1"/>
  <c r="D65" i="7" s="1"/>
  <c r="D65" i="8" s="1"/>
  <c r="D65" i="9" s="1"/>
  <c r="D65" i="10" s="1"/>
  <c r="D65" i="11" s="1"/>
  <c r="D65" i="12" s="1"/>
  <c r="D65" i="13" s="1"/>
  <c r="D65" i="14" s="1"/>
  <c r="D65" i="15" s="1"/>
  <c r="G49" i="2"/>
  <c r="G49" i="4" s="1"/>
  <c r="G49" i="5" s="1"/>
  <c r="G49" i="6" s="1"/>
  <c r="G49" i="7" s="1"/>
  <c r="G49" i="8" s="1"/>
  <c r="G49" i="9" s="1"/>
  <c r="G49" i="10" s="1"/>
  <c r="G49" i="11" s="1"/>
  <c r="G49" i="12" s="1"/>
  <c r="G49" i="13" s="1"/>
  <c r="G49" i="14" s="1"/>
  <c r="G49" i="15" s="1"/>
  <c r="G49" i="16" s="1"/>
  <c r="G49" i="17" s="1"/>
  <c r="G47" i="2"/>
  <c r="G47" i="4" s="1"/>
  <c r="G47" i="5" s="1"/>
  <c r="G47" i="6" s="1"/>
  <c r="G47" i="7" s="1"/>
  <c r="G47" i="8" s="1"/>
  <c r="G47" i="9" s="1"/>
  <c r="G47" i="10" s="1"/>
  <c r="G47" i="11" s="1"/>
  <c r="G47" i="12" s="1"/>
  <c r="G47" i="13" s="1"/>
  <c r="G47" i="14" s="1"/>
  <c r="G47" i="15" s="1"/>
  <c r="G45" i="41" s="1"/>
  <c r="F65" i="2"/>
  <c r="F65" i="4" s="1"/>
  <c r="F65" i="5" s="1"/>
  <c r="F65" i="6" s="1"/>
  <c r="F65" i="7" s="1"/>
  <c r="F65" i="8" s="1"/>
  <c r="F65" i="9" s="1"/>
  <c r="F65" i="10" s="1"/>
  <c r="F65" i="11" s="1"/>
  <c r="F65" i="12" s="1"/>
  <c r="F65" i="13" s="1"/>
  <c r="F65" i="14" s="1"/>
  <c r="F65" i="15" s="1"/>
  <c r="F49" i="2"/>
  <c r="F49" i="4" s="1"/>
  <c r="F49" i="5" s="1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G57" i="2"/>
  <c r="G57" i="4" s="1"/>
  <c r="G57" i="5" s="1"/>
  <c r="G57" i="6" s="1"/>
  <c r="G57" i="7" s="1"/>
  <c r="G57" i="8" s="1"/>
  <c r="G57" i="9" s="1"/>
  <c r="G57" i="10" s="1"/>
  <c r="G57" i="11" s="1"/>
  <c r="G57" i="12" s="1"/>
  <c r="G57" i="13" s="1"/>
  <c r="G57" i="14" s="1"/>
  <c r="G57" i="15" s="1"/>
  <c r="H55" i="33"/>
  <c r="G63" i="2"/>
  <c r="G63" i="4" s="1"/>
  <c r="G63" i="5" s="1"/>
  <c r="G63" i="6" s="1"/>
  <c r="G63" i="7" s="1"/>
  <c r="G63" i="8" s="1"/>
  <c r="G63" i="9" s="1"/>
  <c r="G63" i="10" s="1"/>
  <c r="G63" i="11" s="1"/>
  <c r="G63" i="12" s="1"/>
  <c r="G63" i="13" s="1"/>
  <c r="G63" i="14" s="1"/>
  <c r="G63" i="15" s="1"/>
  <c r="D61" i="2"/>
  <c r="D61" i="4" s="1"/>
  <c r="D61" i="5" s="1"/>
  <c r="D61" i="6" s="1"/>
  <c r="D61" i="7" s="1"/>
  <c r="D61" i="8" s="1"/>
  <c r="D61" i="9" s="1"/>
  <c r="D61" i="10" s="1"/>
  <c r="D61" i="11" s="1"/>
  <c r="D61" i="12" s="1"/>
  <c r="D61" i="13" s="1"/>
  <c r="D61" i="14" s="1"/>
  <c r="D61" i="15" s="1"/>
  <c r="G61" i="2"/>
  <c r="G61" i="4" s="1"/>
  <c r="G61" i="5" s="1"/>
  <c r="G61" i="6" s="1"/>
  <c r="G61" i="7" s="1"/>
  <c r="G61" i="8" s="1"/>
  <c r="G61" i="9" s="1"/>
  <c r="G61" i="10" s="1"/>
  <c r="G61" i="11" s="1"/>
  <c r="G61" i="12" s="1"/>
  <c r="G61" i="13" s="1"/>
  <c r="G61" i="14" s="1"/>
  <c r="G61" i="15" s="1"/>
  <c r="F61" i="2"/>
  <c r="F61" i="4" s="1"/>
  <c r="F61" i="5" s="1"/>
  <c r="F61" i="6" s="1"/>
  <c r="F61" i="7" s="1"/>
  <c r="F61" i="8" s="1"/>
  <c r="F61" i="9" s="1"/>
  <c r="F61" i="10" s="1"/>
  <c r="F61" i="11" s="1"/>
  <c r="F61" i="12" s="1"/>
  <c r="F61" i="13" s="1"/>
  <c r="F61" i="14" s="1"/>
  <c r="F61" i="15" s="1"/>
  <c r="D57" i="2"/>
  <c r="D57" i="4" s="1"/>
  <c r="D57" i="5" s="1"/>
  <c r="D57" i="6" s="1"/>
  <c r="D57" i="7" s="1"/>
  <c r="D57" i="8" s="1"/>
  <c r="D57" i="9" s="1"/>
  <c r="D57" i="10" s="1"/>
  <c r="D57" i="11" s="1"/>
  <c r="D57" i="12" s="1"/>
  <c r="D57" i="13" s="1"/>
  <c r="D57" i="14" s="1"/>
  <c r="D57" i="15" s="1"/>
  <c r="F57" i="2"/>
  <c r="F57" i="4" s="1"/>
  <c r="F57" i="5" s="1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D53" i="2"/>
  <c r="D53" i="4" s="1"/>
  <c r="D53" i="5" s="1"/>
  <c r="D53" i="6" s="1"/>
  <c r="D53" i="7" s="1"/>
  <c r="D53" i="8" s="1"/>
  <c r="D53" i="9" s="1"/>
  <c r="D53" i="10" s="1"/>
  <c r="D53" i="11" s="1"/>
  <c r="D53" i="12" s="1"/>
  <c r="D53" i="13" s="1"/>
  <c r="D53" i="14" s="1"/>
  <c r="D53" i="15" s="1"/>
  <c r="G53" i="2"/>
  <c r="G53" i="4" s="1"/>
  <c r="G53" i="5" s="1"/>
  <c r="G53" i="6" s="1"/>
  <c r="G53" i="7" s="1"/>
  <c r="G53" i="8" s="1"/>
  <c r="G53" i="9" s="1"/>
  <c r="G53" i="10" s="1"/>
  <c r="G53" i="11" s="1"/>
  <c r="G53" i="12" s="1"/>
  <c r="G53" i="13" s="1"/>
  <c r="G53" i="14" s="1"/>
  <c r="G53" i="15" s="1"/>
  <c r="F53" i="2"/>
  <c r="F53" i="4" s="1"/>
  <c r="F53" i="5" s="1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G51" i="2"/>
  <c r="G51" i="4" s="1"/>
  <c r="G51" i="5" s="1"/>
  <c r="G51" i="6" s="1"/>
  <c r="G51" i="7" s="1"/>
  <c r="G51" i="8" s="1"/>
  <c r="G51" i="9" s="1"/>
  <c r="G51" i="10" s="1"/>
  <c r="G51" i="11" s="1"/>
  <c r="G51" i="12" s="1"/>
  <c r="G51" i="13" s="1"/>
  <c r="G51" i="14" s="1"/>
  <c r="G51" i="15" s="1"/>
  <c r="H43" i="33"/>
  <c r="G64" i="2"/>
  <c r="G64" i="4" s="1"/>
  <c r="G64" i="5" s="1"/>
  <c r="G64" i="6" s="1"/>
  <c r="G64" i="7" s="1"/>
  <c r="G64" i="8" s="1"/>
  <c r="G64" i="9" s="1"/>
  <c r="G64" i="10" s="1"/>
  <c r="G64" i="11" s="1"/>
  <c r="G64" i="12" s="1"/>
  <c r="G64" i="13" s="1"/>
  <c r="G64" i="14" s="1"/>
  <c r="G64" i="15" s="1"/>
  <c r="G56" i="2"/>
  <c r="G56" i="4" s="1"/>
  <c r="G56" i="5" s="1"/>
  <c r="G56" i="6" s="1"/>
  <c r="G56" i="7" s="1"/>
  <c r="G56" i="8" s="1"/>
  <c r="G56" i="9" s="1"/>
  <c r="G56" i="10" s="1"/>
  <c r="G56" i="11" s="1"/>
  <c r="G56" i="12" s="1"/>
  <c r="G56" i="13" s="1"/>
  <c r="G56" i="14" s="1"/>
  <c r="G56" i="15" s="1"/>
  <c r="I49" i="32"/>
  <c r="I41" i="32"/>
  <c r="H62" i="33"/>
  <c r="G60" i="2"/>
  <c r="G60" i="4" s="1"/>
  <c r="G60" i="5" s="1"/>
  <c r="G60" i="6" s="1"/>
  <c r="G60" i="7" s="1"/>
  <c r="G60" i="8" s="1"/>
  <c r="G60" i="9" s="1"/>
  <c r="G60" i="10" s="1"/>
  <c r="G60" i="11" s="1"/>
  <c r="G60" i="12" s="1"/>
  <c r="G60" i="13" s="1"/>
  <c r="G60" i="14" s="1"/>
  <c r="G60" i="15" s="1"/>
  <c r="H57" i="32"/>
  <c r="I53" i="32"/>
  <c r="I61" i="32"/>
  <c r="H47" i="33"/>
  <c r="F67" i="2"/>
  <c r="F67" i="4" s="1"/>
  <c r="F67" i="5" s="1"/>
  <c r="F67" i="6" s="1"/>
  <c r="F67" i="7" s="1"/>
  <c r="F67" i="8" s="1"/>
  <c r="F67" i="9" s="1"/>
  <c r="F67" i="10" s="1"/>
  <c r="F67" i="11" s="1"/>
  <c r="F67" i="12" s="1"/>
  <c r="F67" i="13" s="1"/>
  <c r="F67" i="14" s="1"/>
  <c r="F67" i="15" s="1"/>
  <c r="F64" i="2"/>
  <c r="F64" i="4" s="1"/>
  <c r="F64" i="5" s="1"/>
  <c r="F64" i="6" s="1"/>
  <c r="F64" i="7" s="1"/>
  <c r="F64" i="8" s="1"/>
  <c r="F64" i="9" s="1"/>
  <c r="F64" i="10" s="1"/>
  <c r="F64" i="11" s="1"/>
  <c r="F64" i="12" s="1"/>
  <c r="F64" i="13" s="1"/>
  <c r="F64" i="14" s="1"/>
  <c r="F64" i="15" s="1"/>
  <c r="F63" i="2"/>
  <c r="F63" i="4" s="1"/>
  <c r="F63" i="5" s="1"/>
  <c r="F63" i="6" s="1"/>
  <c r="F63" i="7" s="1"/>
  <c r="F63" i="8" s="1"/>
  <c r="F63" i="9" s="1"/>
  <c r="F63" i="10" s="1"/>
  <c r="F63" i="11" s="1"/>
  <c r="F63" i="12" s="1"/>
  <c r="F63" i="13" s="1"/>
  <c r="F63" i="14" s="1"/>
  <c r="F63" i="15" s="1"/>
  <c r="F58" i="2"/>
  <c r="F58" i="4" s="1"/>
  <c r="F58" i="5" s="1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6" i="2"/>
  <c r="F56" i="4" s="1"/>
  <c r="F56" i="5" s="1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4" i="2"/>
  <c r="F54" i="4" s="1"/>
  <c r="F54" i="5" s="1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2" i="2"/>
  <c r="F52" i="4" s="1"/>
  <c r="F52" i="5" s="1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50" i="2"/>
  <c r="F50" i="4" s="1"/>
  <c r="F50" i="5" s="1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47" i="2"/>
  <c r="F47" i="4" s="1"/>
  <c r="F47" i="5" s="1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F46" i="2"/>
  <c r="F46" i="4" s="1"/>
  <c r="F46" i="5" s="1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42" i="24"/>
  <c r="F42" i="2" s="1"/>
  <c r="F42" i="4" s="1"/>
  <c r="F42" i="5" s="1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G48" i="2"/>
  <c r="G48" i="4" s="1"/>
  <c r="G48" i="5" s="1"/>
  <c r="G48" i="6" s="1"/>
  <c r="G48" i="7" s="1"/>
  <c r="G48" i="8" s="1"/>
  <c r="G48" i="9" s="1"/>
  <c r="G48" i="10" s="1"/>
  <c r="G48" i="11" s="1"/>
  <c r="G48" i="12" s="1"/>
  <c r="G48" i="13" s="1"/>
  <c r="G48" i="14" s="1"/>
  <c r="G48" i="15" s="1"/>
  <c r="I45" i="32"/>
  <c r="F66" i="2"/>
  <c r="F66" i="4" s="1"/>
  <c r="F66" i="5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2" i="2"/>
  <c r="F62" i="4" s="1"/>
  <c r="F62" i="5" s="1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F59" i="2"/>
  <c r="F59" i="4" s="1"/>
  <c r="F59" i="5" s="1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I62" i="32"/>
  <c r="E64" i="2"/>
  <c r="E64" i="4" s="1"/>
  <c r="E64" i="5" s="1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0" i="2"/>
  <c r="E60" i="4" s="1"/>
  <c r="E60" i="5" s="1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47" i="2"/>
  <c r="E47" i="4" s="1"/>
  <c r="E47" i="5" s="1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50" i="2"/>
  <c r="E50" i="4" s="1"/>
  <c r="E50" i="5" s="1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D49" i="2"/>
  <c r="D49" i="4" s="1"/>
  <c r="D49" i="5" s="1"/>
  <c r="D49" i="6" s="1"/>
  <c r="D49" i="7" s="1"/>
  <c r="D49" i="8" s="1"/>
  <c r="D49" i="9" s="1"/>
  <c r="D49" i="10" s="1"/>
  <c r="D49" i="11" s="1"/>
  <c r="D49" i="12" s="1"/>
  <c r="D49" i="13" s="1"/>
  <c r="D49" i="14" s="1"/>
  <c r="D49" i="15" s="1"/>
  <c r="E43" i="24"/>
  <c r="E43" i="2" s="1"/>
  <c r="E43" i="4" s="1"/>
  <c r="E43" i="5" s="1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67" i="2"/>
  <c r="E67" i="4" s="1"/>
  <c r="E67" i="5" s="1"/>
  <c r="E67" i="6" s="1"/>
  <c r="E67" i="7" s="1"/>
  <c r="E67" i="8" s="1"/>
  <c r="E67" i="9" s="1"/>
  <c r="E67" i="10" s="1"/>
  <c r="E67" i="11" s="1"/>
  <c r="E67" i="12" s="1"/>
  <c r="E67" i="13" s="1"/>
  <c r="E67" i="14" s="1"/>
  <c r="E67" i="15" s="1"/>
  <c r="E66" i="2"/>
  <c r="E66" i="4" s="1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5" i="2"/>
  <c r="E65" i="4" s="1"/>
  <c r="E65" i="5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3" i="2"/>
  <c r="E63" i="4" s="1"/>
  <c r="E63" i="5" s="1"/>
  <c r="E63" i="6" s="1"/>
  <c r="E63" i="7" s="1"/>
  <c r="E63" i="8" s="1"/>
  <c r="E63" i="9" s="1"/>
  <c r="E63" i="10" s="1"/>
  <c r="E63" i="11" s="1"/>
  <c r="E63" i="12" s="1"/>
  <c r="E63" i="13" s="1"/>
  <c r="E63" i="14" s="1"/>
  <c r="E63" i="15" s="1"/>
  <c r="E62" i="2"/>
  <c r="E62" i="4" s="1"/>
  <c r="E62" i="5" s="1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58" i="2"/>
  <c r="E58" i="4" s="1"/>
  <c r="E58" i="5" s="1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5" i="2"/>
  <c r="E55" i="4" s="1"/>
  <c r="E55" i="5" s="1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4" i="2"/>
  <c r="E54" i="4" s="1"/>
  <c r="E54" i="5" s="1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46" i="2"/>
  <c r="E46" i="4" s="1"/>
  <c r="E46" i="5" s="1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D67" i="2"/>
  <c r="D67" i="4" s="1"/>
  <c r="D67" i="5" s="1"/>
  <c r="D67" i="6" s="1"/>
  <c r="D67" i="7" s="1"/>
  <c r="D67" i="8" s="1"/>
  <c r="D67" i="9" s="1"/>
  <c r="D67" i="10" s="1"/>
  <c r="D67" i="11" s="1"/>
  <c r="D67" i="12" s="1"/>
  <c r="D67" i="13" s="1"/>
  <c r="D67" i="14" s="1"/>
  <c r="D67" i="15" s="1"/>
  <c r="D66" i="2"/>
  <c r="D66" i="4" s="1"/>
  <c r="D66" i="5" s="1"/>
  <c r="D66" i="6" s="1"/>
  <c r="D66" i="7" s="1"/>
  <c r="D66" i="8" s="1"/>
  <c r="D66" i="9" s="1"/>
  <c r="D66" i="10" s="1"/>
  <c r="D66" i="11" s="1"/>
  <c r="D66" i="12" s="1"/>
  <c r="D66" i="13" s="1"/>
  <c r="D66" i="14" s="1"/>
  <c r="D66" i="15" s="1"/>
  <c r="D64" i="2"/>
  <c r="D64" i="4" s="1"/>
  <c r="D64" i="5" s="1"/>
  <c r="D64" i="6" s="1"/>
  <c r="D64" i="7" s="1"/>
  <c r="D64" i="8" s="1"/>
  <c r="D64" i="9" s="1"/>
  <c r="D64" i="10" s="1"/>
  <c r="D64" i="11" s="1"/>
  <c r="D64" i="12" s="1"/>
  <c r="D64" i="13" s="1"/>
  <c r="D64" i="14" s="1"/>
  <c r="D64" i="15" s="1"/>
  <c r="D63" i="2"/>
  <c r="D63" i="4" s="1"/>
  <c r="D63" i="5" s="1"/>
  <c r="D63" i="6" s="1"/>
  <c r="D63" i="7" s="1"/>
  <c r="D63" i="8" s="1"/>
  <c r="D63" i="9" s="1"/>
  <c r="D63" i="10" s="1"/>
  <c r="D63" i="11" s="1"/>
  <c r="D63" i="12" s="1"/>
  <c r="D63" i="13" s="1"/>
  <c r="D63" i="14" s="1"/>
  <c r="D63" i="15" s="1"/>
  <c r="D62" i="2"/>
  <c r="D62" i="4" s="1"/>
  <c r="D62" i="5" s="1"/>
  <c r="D62" i="6" s="1"/>
  <c r="D62" i="7" s="1"/>
  <c r="D62" i="8" s="1"/>
  <c r="D62" i="9" s="1"/>
  <c r="D62" i="10" s="1"/>
  <c r="D62" i="11" s="1"/>
  <c r="D62" i="12" s="1"/>
  <c r="D62" i="13" s="1"/>
  <c r="D62" i="14" s="1"/>
  <c r="D62" i="15" s="1"/>
  <c r="D58" i="2"/>
  <c r="D58" i="4" s="1"/>
  <c r="D58" i="5" s="1"/>
  <c r="D58" i="6" s="1"/>
  <c r="D58" i="7" s="1"/>
  <c r="D58" i="8" s="1"/>
  <c r="D58" i="9" s="1"/>
  <c r="D58" i="10" s="1"/>
  <c r="D58" i="11" s="1"/>
  <c r="D58" i="12" s="1"/>
  <c r="D58" i="13" s="1"/>
  <c r="D58" i="14" s="1"/>
  <c r="D58" i="15" s="1"/>
  <c r="D55" i="2"/>
  <c r="D55" i="4" s="1"/>
  <c r="D55" i="5" s="1"/>
  <c r="D55" i="6" s="1"/>
  <c r="D55" i="7" s="1"/>
  <c r="D55" i="8" s="1"/>
  <c r="D55" i="9" s="1"/>
  <c r="D55" i="10" s="1"/>
  <c r="D55" i="11" s="1"/>
  <c r="D55" i="12" s="1"/>
  <c r="D55" i="13" s="1"/>
  <c r="D55" i="14" s="1"/>
  <c r="D55" i="15" s="1"/>
  <c r="D54" i="2"/>
  <c r="D54" i="4" s="1"/>
  <c r="D54" i="5" s="1"/>
  <c r="D54" i="6" s="1"/>
  <c r="D54" i="7" s="1"/>
  <c r="D54" i="8" s="1"/>
  <c r="D54" i="9" s="1"/>
  <c r="D54" i="10" s="1"/>
  <c r="D54" i="11" s="1"/>
  <c r="D54" i="12" s="1"/>
  <c r="D54" i="13" s="1"/>
  <c r="D54" i="14" s="1"/>
  <c r="D54" i="15" s="1"/>
  <c r="D50" i="2"/>
  <c r="D50" i="4" s="1"/>
  <c r="D50" i="5" s="1"/>
  <c r="D50" i="6" s="1"/>
  <c r="D50" i="7" s="1"/>
  <c r="D50" i="8" s="1"/>
  <c r="D50" i="9" s="1"/>
  <c r="D50" i="10" s="1"/>
  <c r="D50" i="11" s="1"/>
  <c r="D50" i="12" s="1"/>
  <c r="D50" i="13" s="1"/>
  <c r="D50" i="14" s="1"/>
  <c r="D50" i="15" s="1"/>
  <c r="D48" i="2"/>
  <c r="D48" i="4" s="1"/>
  <c r="D48" i="5" s="1"/>
  <c r="D48" i="6" s="1"/>
  <c r="D48" i="7" s="1"/>
  <c r="D48" i="8" s="1"/>
  <c r="D48" i="9" s="1"/>
  <c r="D48" i="10" s="1"/>
  <c r="D48" i="11" s="1"/>
  <c r="D48" i="12" s="1"/>
  <c r="D48" i="13" s="1"/>
  <c r="D48" i="14" s="1"/>
  <c r="D48" i="15" s="1"/>
  <c r="D47" i="2"/>
  <c r="D47" i="4" s="1"/>
  <c r="D47" i="5" s="1"/>
  <c r="D47" i="6" s="1"/>
  <c r="D47" i="7" s="1"/>
  <c r="D47" i="8" s="1"/>
  <c r="D47" i="9" s="1"/>
  <c r="D47" i="10" s="1"/>
  <c r="D47" i="11" s="1"/>
  <c r="D47" i="12" s="1"/>
  <c r="D47" i="13" s="1"/>
  <c r="D47" i="14" s="1"/>
  <c r="D47" i="15" s="1"/>
  <c r="D46" i="2"/>
  <c r="D46" i="4" s="1"/>
  <c r="D46" i="5" s="1"/>
  <c r="D46" i="6" s="1"/>
  <c r="D46" i="7" s="1"/>
  <c r="D46" i="8" s="1"/>
  <c r="D46" i="9" s="1"/>
  <c r="D46" i="10" s="1"/>
  <c r="D46" i="11" s="1"/>
  <c r="D46" i="12" s="1"/>
  <c r="D46" i="13" s="1"/>
  <c r="D46" i="14" s="1"/>
  <c r="D46" i="15" s="1"/>
  <c r="F51" i="2"/>
  <c r="F51" i="4" s="1"/>
  <c r="F51" i="5" s="1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E53" i="2"/>
  <c r="E53" i="4" s="1"/>
  <c r="E53" i="5" s="1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E57" i="2"/>
  <c r="E57" i="4" s="1"/>
  <c r="E57" i="5" s="1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H54" i="32"/>
  <c r="I54" i="33"/>
  <c r="D56" i="2"/>
  <c r="D56" i="4" s="1"/>
  <c r="D56" i="5" s="1"/>
  <c r="D56" i="6" s="1"/>
  <c r="D56" i="7" s="1"/>
  <c r="D56" i="8" s="1"/>
  <c r="D56" i="9" s="1"/>
  <c r="D56" i="10" s="1"/>
  <c r="D56" i="11" s="1"/>
  <c r="D56" i="12" s="1"/>
  <c r="D56" i="13" s="1"/>
  <c r="D56" i="14" s="1"/>
  <c r="D56" i="15" s="1"/>
  <c r="E61" i="2"/>
  <c r="E61" i="4" s="1"/>
  <c r="E61" i="5" s="1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I58" i="33"/>
  <c r="E59" i="2"/>
  <c r="E59" i="4" s="1"/>
  <c r="E59" i="5" s="1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D59" i="2"/>
  <c r="D59" i="4" s="1"/>
  <c r="D59" i="5" s="1"/>
  <c r="D59" i="6" s="1"/>
  <c r="D59" i="7" s="1"/>
  <c r="D59" i="8" s="1"/>
  <c r="D59" i="9" s="1"/>
  <c r="D59" i="10" s="1"/>
  <c r="D59" i="11" s="1"/>
  <c r="D59" i="12" s="1"/>
  <c r="D59" i="13" s="1"/>
  <c r="D59" i="14" s="1"/>
  <c r="D59" i="15" s="1"/>
  <c r="G59" i="2"/>
  <c r="G59" i="4" s="1"/>
  <c r="G59" i="5" s="1"/>
  <c r="G59" i="6" s="1"/>
  <c r="G59" i="7" s="1"/>
  <c r="G59" i="8" s="1"/>
  <c r="G59" i="9" s="1"/>
  <c r="G59" i="10" s="1"/>
  <c r="G59" i="11" s="1"/>
  <c r="G59" i="12" s="1"/>
  <c r="G59" i="13" s="1"/>
  <c r="G59" i="14" s="1"/>
  <c r="G59" i="15" s="1"/>
  <c r="I50" i="33"/>
  <c r="E51" i="2"/>
  <c r="E51" i="4" s="1"/>
  <c r="E51" i="5" s="1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D51" i="2"/>
  <c r="D51" i="4" s="1"/>
  <c r="D51" i="5" s="1"/>
  <c r="D51" i="6" s="1"/>
  <c r="D51" i="7" s="1"/>
  <c r="D51" i="8" s="1"/>
  <c r="D51" i="9" s="1"/>
  <c r="D51" i="10" s="1"/>
  <c r="D51" i="11" s="1"/>
  <c r="D51" i="12" s="1"/>
  <c r="D51" i="13" s="1"/>
  <c r="D51" i="14" s="1"/>
  <c r="D51" i="15" s="1"/>
  <c r="I43" i="32"/>
  <c r="D45" i="2"/>
  <c r="D45" i="4" s="1"/>
  <c r="D45" i="5" s="1"/>
  <c r="D45" i="6" s="1"/>
  <c r="D45" i="7" s="1"/>
  <c r="D45" i="8" s="1"/>
  <c r="D45" i="9" s="1"/>
  <c r="D45" i="10" s="1"/>
  <c r="D45" i="11" s="1"/>
  <c r="D45" i="12" s="1"/>
  <c r="D45" i="13" s="1"/>
  <c r="D45" i="14" s="1"/>
  <c r="D45" i="15" s="1"/>
  <c r="H42" i="33"/>
  <c r="H42" i="32"/>
  <c r="G52" i="2"/>
  <c r="G52" i="4" s="1"/>
  <c r="G52" i="5" s="1"/>
  <c r="G52" i="6" s="1"/>
  <c r="G52" i="7" s="1"/>
  <c r="G52" i="8" s="1"/>
  <c r="G52" i="9" s="1"/>
  <c r="G52" i="10" s="1"/>
  <c r="G52" i="11" s="1"/>
  <c r="G52" i="12" s="1"/>
  <c r="G52" i="13" s="1"/>
  <c r="G52" i="14" s="1"/>
  <c r="G52" i="15" s="1"/>
  <c r="D60" i="2"/>
  <c r="D60" i="4" s="1"/>
  <c r="D60" i="5" s="1"/>
  <c r="D60" i="6" s="1"/>
  <c r="D60" i="7" s="1"/>
  <c r="D60" i="8" s="1"/>
  <c r="D60" i="9" s="1"/>
  <c r="D60" i="10" s="1"/>
  <c r="D60" i="11" s="1"/>
  <c r="D60" i="12" s="1"/>
  <c r="D60" i="13" s="1"/>
  <c r="D60" i="14" s="1"/>
  <c r="D60" i="15" s="1"/>
  <c r="E52" i="2"/>
  <c r="E52" i="4" s="1"/>
  <c r="E52" i="5" s="1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F48" i="2"/>
  <c r="F48" i="4" s="1"/>
  <c r="F48" i="5" s="1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60" i="2"/>
  <c r="F60" i="4" s="1"/>
  <c r="F60" i="5" s="1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E56" i="2"/>
  <c r="E56" i="4" s="1"/>
  <c r="E56" i="5" s="1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D52" i="2"/>
  <c r="D52" i="4" s="1"/>
  <c r="D52" i="5" s="1"/>
  <c r="D52" i="6" s="1"/>
  <c r="D52" i="7" s="1"/>
  <c r="D52" i="8" s="1"/>
  <c r="D52" i="9" s="1"/>
  <c r="D52" i="10" s="1"/>
  <c r="D52" i="11" s="1"/>
  <c r="D52" i="12" s="1"/>
  <c r="D52" i="13" s="1"/>
  <c r="D52" i="14" s="1"/>
  <c r="D52" i="15" s="1"/>
  <c r="D43" i="24"/>
  <c r="D43" i="2" s="1"/>
  <c r="D43" i="4" s="1"/>
  <c r="D43" i="5" s="1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F45" i="2"/>
  <c r="F45" i="4" s="1"/>
  <c r="F45" i="5" s="1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G42" i="25"/>
  <c r="G42" i="24" s="1"/>
  <c r="G42" i="2" s="1"/>
  <c r="G42" i="4" s="1"/>
  <c r="G42" i="5" s="1"/>
  <c r="G42" i="6" s="1"/>
  <c r="G42" i="7" s="1"/>
  <c r="G42" i="8" s="1"/>
  <c r="G42" i="9" s="1"/>
  <c r="G42" i="10" s="1"/>
  <c r="G42" i="11" s="1"/>
  <c r="G42" i="12" s="1"/>
  <c r="G42" i="13" s="1"/>
  <c r="G42" i="14" s="1"/>
  <c r="G42" i="15" s="1"/>
  <c r="E45" i="2"/>
  <c r="E45" i="4" s="1"/>
  <c r="E45" i="5" s="1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F55" i="2"/>
  <c r="F55" i="4" s="1"/>
  <c r="F55" i="5" s="1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G45" i="2"/>
  <c r="G45" i="4" s="1"/>
  <c r="G45" i="5" s="1"/>
  <c r="G45" i="6" s="1"/>
  <c r="G45" i="7" s="1"/>
  <c r="G45" i="8" s="1"/>
  <c r="G45" i="9" s="1"/>
  <c r="G45" i="10" s="1"/>
  <c r="G45" i="11" s="1"/>
  <c r="G45" i="12" s="1"/>
  <c r="G45" i="13" s="1"/>
  <c r="G45" i="14" s="1"/>
  <c r="G45" i="15" s="1"/>
  <c r="E42" i="25"/>
  <c r="E42" i="24" s="1"/>
  <c r="E42" i="2" s="1"/>
  <c r="E42" i="4" s="1"/>
  <c r="E42" i="5" s="1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D42" i="25"/>
  <c r="D42" i="24" s="1"/>
  <c r="D42" i="2" s="1"/>
  <c r="D42" i="4" s="1"/>
  <c r="D42" i="5" s="1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E44" i="24"/>
  <c r="E44" i="2" s="1"/>
  <c r="E44" i="4" s="1"/>
  <c r="E44" i="5" s="1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F44" i="24"/>
  <c r="F44" i="2" s="1"/>
  <c r="F44" i="4" s="1"/>
  <c r="F44" i="5" s="1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G44" i="24"/>
  <c r="G44" i="2" s="1"/>
  <c r="G44" i="4" s="1"/>
  <c r="G44" i="5" s="1"/>
  <c r="G44" i="6" s="1"/>
  <c r="G44" i="7" s="1"/>
  <c r="G44" i="8" s="1"/>
  <c r="G44" i="9" s="1"/>
  <c r="G44" i="10" s="1"/>
  <c r="G44" i="11" s="1"/>
  <c r="G44" i="12" s="1"/>
  <c r="G44" i="13" s="1"/>
  <c r="G44" i="14" s="1"/>
  <c r="G44" i="15" s="1"/>
  <c r="D44" i="24"/>
  <c r="D44" i="2" s="1"/>
  <c r="D44" i="4" s="1"/>
  <c r="D44" i="5" s="1"/>
  <c r="D44" i="6" s="1"/>
  <c r="D44" i="7" s="1"/>
  <c r="D44" i="8" s="1"/>
  <c r="D44" i="9" s="1"/>
  <c r="D44" i="10" s="1"/>
  <c r="D44" i="11" s="1"/>
  <c r="D44" i="12" s="1"/>
  <c r="D44" i="13" s="1"/>
  <c r="D44" i="14" s="1"/>
  <c r="D44" i="15" s="1"/>
  <c r="E49" i="2"/>
  <c r="E49" i="4" s="1"/>
  <c r="E49" i="5" s="1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G49" i="38" l="1"/>
  <c r="G49" i="39" s="1"/>
  <c r="G49" i="43"/>
  <c r="G49" i="44" s="1"/>
  <c r="G67" i="16"/>
  <c r="G67" i="17" s="1"/>
  <c r="E48" i="16"/>
  <c r="E48" i="17" s="1"/>
  <c r="G66" i="16"/>
  <c r="G64" i="33" s="1"/>
  <c r="G47" i="16"/>
  <c r="G47" i="17" s="1"/>
  <c r="G47" i="41"/>
  <c r="G47" i="32"/>
  <c r="G47" i="33"/>
  <c r="G54" i="16"/>
  <c r="G52" i="32" s="1"/>
  <c r="G52" i="41"/>
  <c r="G51" i="16"/>
  <c r="G49" i="32" s="1"/>
  <c r="G49" i="41"/>
  <c r="G64" i="16"/>
  <c r="G64" i="17" s="1"/>
  <c r="G62" i="41"/>
  <c r="G52" i="16"/>
  <c r="G50" i="32" s="1"/>
  <c r="G50" i="41"/>
  <c r="G46" i="16"/>
  <c r="G44" i="33" s="1"/>
  <c r="G44" i="41"/>
  <c r="G55" i="16"/>
  <c r="G53" i="32" s="1"/>
  <c r="G53" i="41"/>
  <c r="G63" i="16"/>
  <c r="G63" i="17" s="1"/>
  <c r="G61" i="41"/>
  <c r="G42" i="16"/>
  <c r="G40" i="32" s="1"/>
  <c r="G40" i="41"/>
  <c r="G57" i="16"/>
  <c r="G57" i="17" s="1"/>
  <c r="G55" i="41"/>
  <c r="G60" i="16"/>
  <c r="G58" i="32" s="1"/>
  <c r="G58" i="41"/>
  <c r="G50" i="16"/>
  <c r="G50" i="17" s="1"/>
  <c r="G48" i="41"/>
  <c r="G58" i="16"/>
  <c r="G56" i="33" s="1"/>
  <c r="G56" i="41"/>
  <c r="G62" i="16"/>
  <c r="G60" i="33" s="1"/>
  <c r="G60" i="41"/>
  <c r="G61" i="16"/>
  <c r="G59" i="33" s="1"/>
  <c r="G59" i="41"/>
  <c r="G43" i="16"/>
  <c r="G41" i="33" s="1"/>
  <c r="G41" i="41"/>
  <c r="G53" i="16"/>
  <c r="G51" i="33" s="1"/>
  <c r="G51" i="41"/>
  <c r="G44" i="16"/>
  <c r="G42" i="33" s="1"/>
  <c r="G42" i="41"/>
  <c r="G45" i="16"/>
  <c r="G45" i="17" s="1"/>
  <c r="G43" i="41"/>
  <c r="G59" i="16"/>
  <c r="G57" i="33" s="1"/>
  <c r="G57" i="41"/>
  <c r="G56" i="16"/>
  <c r="G54" i="32" s="1"/>
  <c r="G54" i="41"/>
  <c r="G48" i="16"/>
  <c r="G48" i="17" s="1"/>
  <c r="G46" i="41"/>
  <c r="G65" i="16"/>
  <c r="G65" i="17" s="1"/>
  <c r="G63" i="41"/>
  <c r="F43" i="16"/>
  <c r="F41" i="33" s="1"/>
  <c r="F41" i="41"/>
  <c r="F44" i="16"/>
  <c r="F44" i="17" s="1"/>
  <c r="F42" i="41"/>
  <c r="F62" i="16"/>
  <c r="F60" i="32" s="1"/>
  <c r="F60" i="41"/>
  <c r="F42" i="16"/>
  <c r="F40" i="33" s="1"/>
  <c r="F40" i="41"/>
  <c r="F56" i="16"/>
  <c r="F54" i="33" s="1"/>
  <c r="F54" i="41"/>
  <c r="F64" i="16"/>
  <c r="F64" i="17" s="1"/>
  <c r="F62" i="41"/>
  <c r="F55" i="16"/>
  <c r="F53" i="32" s="1"/>
  <c r="F53" i="41"/>
  <c r="F60" i="16"/>
  <c r="F60" i="17" s="1"/>
  <c r="F58" i="41"/>
  <c r="F66" i="16"/>
  <c r="F66" i="17" s="1"/>
  <c r="F64" i="41"/>
  <c r="F46" i="16"/>
  <c r="F46" i="17" s="1"/>
  <c r="F44" i="41"/>
  <c r="F52" i="16"/>
  <c r="F52" i="17" s="1"/>
  <c r="F50" i="41"/>
  <c r="F58" i="16"/>
  <c r="F56" i="33" s="1"/>
  <c r="F56" i="41"/>
  <c r="F65" i="16"/>
  <c r="F65" i="17" s="1"/>
  <c r="F63" i="41"/>
  <c r="F48" i="16"/>
  <c r="F46" i="32" s="1"/>
  <c r="F46" i="41"/>
  <c r="F51" i="16"/>
  <c r="F49" i="32" s="1"/>
  <c r="F49" i="41"/>
  <c r="F47" i="16"/>
  <c r="F45" i="33" s="1"/>
  <c r="F45" i="41"/>
  <c r="F53" i="16"/>
  <c r="F51" i="33" s="1"/>
  <c r="F51" i="41"/>
  <c r="F61" i="16"/>
  <c r="F61" i="17" s="1"/>
  <c r="F59" i="41"/>
  <c r="F67" i="16"/>
  <c r="F65" i="33" s="1"/>
  <c r="F65" i="41"/>
  <c r="F45" i="16"/>
  <c r="F43" i="32" s="1"/>
  <c r="F43" i="41"/>
  <c r="F50" i="16"/>
  <c r="F48" i="33" s="1"/>
  <c r="F48" i="41"/>
  <c r="F57" i="16"/>
  <c r="F55" i="32" s="1"/>
  <c r="F55" i="41"/>
  <c r="F59" i="16"/>
  <c r="F59" i="17" s="1"/>
  <c r="F57" i="41"/>
  <c r="F49" i="16"/>
  <c r="F47" i="32" s="1"/>
  <c r="F47" i="41"/>
  <c r="F54" i="16"/>
  <c r="F52" i="32" s="1"/>
  <c r="F52" i="41"/>
  <c r="F63" i="16"/>
  <c r="F63" i="17" s="1"/>
  <c r="F61" i="41"/>
  <c r="E42" i="16"/>
  <c r="E40" i="33" s="1"/>
  <c r="E40" i="41"/>
  <c r="E56" i="16"/>
  <c r="E56" i="17" s="1"/>
  <c r="E54" i="41"/>
  <c r="E51" i="16"/>
  <c r="E51" i="17" s="1"/>
  <c r="E49" i="41"/>
  <c r="E57" i="16"/>
  <c r="E57" i="17" s="1"/>
  <c r="E55" i="41"/>
  <c r="E55" i="16"/>
  <c r="E55" i="17" s="1"/>
  <c r="E53" i="41"/>
  <c r="E65" i="16"/>
  <c r="E65" i="17" s="1"/>
  <c r="E63" i="41"/>
  <c r="E64" i="16"/>
  <c r="E62" i="32" s="1"/>
  <c r="E62" i="41"/>
  <c r="E44" i="16"/>
  <c r="E42" i="33" s="1"/>
  <c r="E42" i="41"/>
  <c r="E59" i="16"/>
  <c r="E59" i="17" s="1"/>
  <c r="E57" i="41"/>
  <c r="E53" i="16"/>
  <c r="E53" i="17" s="1"/>
  <c r="E51" i="41"/>
  <c r="E58" i="16"/>
  <c r="E56" i="32" s="1"/>
  <c r="E56" i="41"/>
  <c r="E66" i="16"/>
  <c r="E64" i="32" s="1"/>
  <c r="E64" i="41"/>
  <c r="E50" i="16"/>
  <c r="E50" i="17" s="1"/>
  <c r="E48" i="41"/>
  <c r="E49" i="16"/>
  <c r="E47" i="33" s="1"/>
  <c r="E47" i="41"/>
  <c r="E61" i="16"/>
  <c r="E59" i="32" s="1"/>
  <c r="E59" i="41"/>
  <c r="E46" i="16"/>
  <c r="E44" i="33" s="1"/>
  <c r="E44" i="41"/>
  <c r="E62" i="16"/>
  <c r="E60" i="33" s="1"/>
  <c r="E60" i="41"/>
  <c r="E67" i="16"/>
  <c r="E65" i="33" s="1"/>
  <c r="E65" i="41"/>
  <c r="E47" i="16"/>
  <c r="E45" i="33" s="1"/>
  <c r="E45" i="41"/>
  <c r="E45" i="16"/>
  <c r="E45" i="17" s="1"/>
  <c r="E43" i="41"/>
  <c r="E52" i="16"/>
  <c r="E50" i="32" s="1"/>
  <c r="E50" i="41"/>
  <c r="E54" i="16"/>
  <c r="E52" i="32" s="1"/>
  <c r="E52" i="41"/>
  <c r="E63" i="16"/>
  <c r="E61" i="33" s="1"/>
  <c r="E61" i="41"/>
  <c r="E43" i="16"/>
  <c r="E41" i="32" s="1"/>
  <c r="E41" i="41"/>
  <c r="E60" i="16"/>
  <c r="E60" i="17" s="1"/>
  <c r="E58" i="41"/>
  <c r="D44" i="16"/>
  <c r="D44" i="17" s="1"/>
  <c r="D42" i="41"/>
  <c r="D55" i="16"/>
  <c r="D55" i="17" s="1"/>
  <c r="D53" i="41"/>
  <c r="D64" i="16"/>
  <c r="D62" i="32" s="1"/>
  <c r="D62" i="41"/>
  <c r="D52" i="16"/>
  <c r="D50" i="33" s="1"/>
  <c r="D50" i="41"/>
  <c r="D51" i="16"/>
  <c r="D49" i="33" s="1"/>
  <c r="D49" i="41"/>
  <c r="D57" i="16"/>
  <c r="D57" i="17" s="1"/>
  <c r="D55" i="41"/>
  <c r="D49" i="16"/>
  <c r="D47" i="41"/>
  <c r="D58" i="16"/>
  <c r="D56" i="32" s="1"/>
  <c r="D56" i="41"/>
  <c r="D65" i="16"/>
  <c r="D65" i="17" s="1"/>
  <c r="D63" i="41"/>
  <c r="D48" i="16"/>
  <c r="D48" i="17" s="1"/>
  <c r="D46" i="41"/>
  <c r="D42" i="16"/>
  <c r="D40" i="33" s="1"/>
  <c r="D40" i="41"/>
  <c r="D60" i="16"/>
  <c r="D60" i="17" s="1"/>
  <c r="D58" i="41"/>
  <c r="D59" i="16"/>
  <c r="D59" i="17" s="1"/>
  <c r="D57" i="41"/>
  <c r="D56" i="16"/>
  <c r="D56" i="17" s="1"/>
  <c r="D54" i="41"/>
  <c r="D46" i="16"/>
  <c r="D46" i="17" s="1"/>
  <c r="D44" i="41"/>
  <c r="D50" i="16"/>
  <c r="D50" i="17" s="1"/>
  <c r="D48" i="41"/>
  <c r="D62" i="16"/>
  <c r="D60" i="33" s="1"/>
  <c r="D60" i="41"/>
  <c r="D66" i="16"/>
  <c r="D66" i="17" s="1"/>
  <c r="D64" i="41"/>
  <c r="D43" i="16"/>
  <c r="D43" i="17" s="1"/>
  <c r="D41" i="41"/>
  <c r="D53" i="16"/>
  <c r="D51" i="32" s="1"/>
  <c r="D51" i="41"/>
  <c r="D45" i="16"/>
  <c r="D43" i="33" s="1"/>
  <c r="D43" i="41"/>
  <c r="D61" i="16"/>
  <c r="D61" i="17" s="1"/>
  <c r="D59" i="41"/>
  <c r="D47" i="16"/>
  <c r="D47" i="17" s="1"/>
  <c r="D45" i="41"/>
  <c r="D54" i="16"/>
  <c r="D52" i="32" s="1"/>
  <c r="D52" i="41"/>
  <c r="D63" i="16"/>
  <c r="D63" i="17" s="1"/>
  <c r="D61" i="41"/>
  <c r="D67" i="16"/>
  <c r="D67" i="17" s="1"/>
  <c r="D65" i="41"/>
  <c r="G67" i="38" l="1"/>
  <c r="G67" i="39" s="1"/>
  <c r="G67" i="43"/>
  <c r="G67" i="44" s="1"/>
  <c r="G47" i="38"/>
  <c r="G47" i="39" s="1"/>
  <c r="G47" i="43"/>
  <c r="G47" i="44" s="1"/>
  <c r="G48" i="38"/>
  <c r="G48" i="39" s="1"/>
  <c r="G48" i="43"/>
  <c r="G48" i="44" s="1"/>
  <c r="F52" i="38"/>
  <c r="F52" i="39" s="1"/>
  <c r="F52" i="43"/>
  <c r="F52" i="44" s="1"/>
  <c r="F46" i="38"/>
  <c r="F46" i="39" s="1"/>
  <c r="F46" i="43"/>
  <c r="F46" i="44" s="1"/>
  <c r="E48" i="38"/>
  <c r="E48" i="39" s="1"/>
  <c r="E48" i="43"/>
  <c r="E48" i="44" s="1"/>
  <c r="D67" i="38"/>
  <c r="D67" i="39" s="1"/>
  <c r="D67" i="43"/>
  <c r="D67" i="44" s="1"/>
  <c r="D48" i="38"/>
  <c r="D48" i="39" s="1"/>
  <c r="D48" i="43"/>
  <c r="D48" i="44" s="1"/>
  <c r="D47" i="38"/>
  <c r="D47" i="39" s="1"/>
  <c r="D47" i="43"/>
  <c r="D47" i="44" s="1"/>
  <c r="D46" i="38"/>
  <c r="D46" i="39" s="1"/>
  <c r="D46" i="43"/>
  <c r="D46" i="44" s="1"/>
  <c r="D66" i="38"/>
  <c r="D66" i="39" s="1"/>
  <c r="D66" i="43"/>
  <c r="D66" i="44" s="1"/>
  <c r="G63" i="38"/>
  <c r="G63" i="39" s="1"/>
  <c r="G63" i="43"/>
  <c r="G63" i="44" s="1"/>
  <c r="G64" i="38"/>
  <c r="G64" i="39" s="1"/>
  <c r="G64" i="43"/>
  <c r="G64" i="44" s="1"/>
  <c r="F65" i="38"/>
  <c r="F65" i="39" s="1"/>
  <c r="F65" i="43"/>
  <c r="F65" i="44" s="1"/>
  <c r="E65" i="38"/>
  <c r="E65" i="39" s="1"/>
  <c r="E65" i="43"/>
  <c r="E65" i="44" s="1"/>
  <c r="F63" i="38"/>
  <c r="F63" i="39" s="1"/>
  <c r="F63" i="43"/>
  <c r="F63" i="44" s="1"/>
  <c r="F64" i="38"/>
  <c r="F64" i="39" s="1"/>
  <c r="F64" i="43"/>
  <c r="F64" i="44" s="1"/>
  <c r="G65" i="38"/>
  <c r="G65" i="39" s="1"/>
  <c r="G65" i="43"/>
  <c r="G65" i="44" s="1"/>
  <c r="F66" i="38"/>
  <c r="F66" i="39" s="1"/>
  <c r="F66" i="43"/>
  <c r="F66" i="44" s="1"/>
  <c r="D63" i="38"/>
  <c r="D63" i="39" s="1"/>
  <c r="D63" i="43"/>
  <c r="D63" i="44" s="1"/>
  <c r="D65" i="38"/>
  <c r="D65" i="39" s="1"/>
  <c r="D65" i="43"/>
  <c r="D65" i="44" s="1"/>
  <c r="E53" i="38"/>
  <c r="E53" i="39" s="1"/>
  <c r="E53" i="43"/>
  <c r="E53" i="44" s="1"/>
  <c r="E60" i="38"/>
  <c r="E60" i="39" s="1"/>
  <c r="E60" i="43"/>
  <c r="E60" i="44" s="1"/>
  <c r="F60" i="38"/>
  <c r="F60" i="39" s="1"/>
  <c r="F60" i="43"/>
  <c r="F60" i="44" s="1"/>
  <c r="D60" i="38"/>
  <c r="D60" i="39" s="1"/>
  <c r="D60" i="43"/>
  <c r="D60" i="44" s="1"/>
  <c r="E59" i="38"/>
  <c r="E59" i="39" s="1"/>
  <c r="E59" i="43"/>
  <c r="E59" i="44" s="1"/>
  <c r="F59" i="38"/>
  <c r="F59" i="39" s="1"/>
  <c r="F59" i="43"/>
  <c r="F59" i="44" s="1"/>
  <c r="D59" i="38"/>
  <c r="D59" i="39" s="1"/>
  <c r="D59" i="43"/>
  <c r="D59" i="44" s="1"/>
  <c r="G57" i="38"/>
  <c r="G57" i="39" s="1"/>
  <c r="G57" i="43"/>
  <c r="G57" i="44" s="1"/>
  <c r="E57" i="38"/>
  <c r="E57" i="39" s="1"/>
  <c r="E57" i="43"/>
  <c r="E57" i="44" s="1"/>
  <c r="D57" i="38"/>
  <c r="D57" i="39" s="1"/>
  <c r="D57" i="43"/>
  <c r="D57" i="44" s="1"/>
  <c r="D61" i="38"/>
  <c r="D61" i="39" s="1"/>
  <c r="D61" i="43"/>
  <c r="D61" i="44" s="1"/>
  <c r="F61" i="38"/>
  <c r="F61" i="39" s="1"/>
  <c r="F61" i="43"/>
  <c r="F61" i="44" s="1"/>
  <c r="D56" i="38"/>
  <c r="D56" i="39" s="1"/>
  <c r="D56" i="43"/>
  <c r="D56" i="44" s="1"/>
  <c r="E56" i="38"/>
  <c r="E56" i="39" s="1"/>
  <c r="E56" i="43"/>
  <c r="E56" i="44" s="1"/>
  <c r="E51" i="38"/>
  <c r="E51" i="39" s="1"/>
  <c r="E51" i="43"/>
  <c r="E51" i="44" s="1"/>
  <c r="E50" i="38"/>
  <c r="E50" i="39" s="1"/>
  <c r="E50" i="43"/>
  <c r="E50" i="44" s="1"/>
  <c r="G50" i="38"/>
  <c r="G50" i="39" s="1"/>
  <c r="G50" i="43"/>
  <c r="G50" i="44" s="1"/>
  <c r="D50" i="38"/>
  <c r="D50" i="39" s="1"/>
  <c r="D50" i="43"/>
  <c r="D50" i="44" s="1"/>
  <c r="G45" i="38"/>
  <c r="G45" i="39" s="1"/>
  <c r="G45" i="43"/>
  <c r="G45" i="44" s="1"/>
  <c r="E45" i="38"/>
  <c r="E45" i="39" s="1"/>
  <c r="E45" i="43"/>
  <c r="E45" i="44" s="1"/>
  <c r="D44" i="38"/>
  <c r="D44" i="39" s="1"/>
  <c r="D44" i="43"/>
  <c r="D44" i="44" s="1"/>
  <c r="F44" i="38"/>
  <c r="F44" i="39" s="1"/>
  <c r="F44" i="43"/>
  <c r="F44" i="44" s="1"/>
  <c r="D55" i="38"/>
  <c r="D55" i="39" s="1"/>
  <c r="D55" i="43"/>
  <c r="D55" i="44" s="1"/>
  <c r="E55" i="38"/>
  <c r="E55" i="39" s="1"/>
  <c r="E55" i="43"/>
  <c r="E55" i="44" s="1"/>
  <c r="D43" i="38"/>
  <c r="D43" i="39" s="1"/>
  <c r="D43" i="43"/>
  <c r="D43" i="44" s="1"/>
  <c r="D49" i="17"/>
  <c r="G65" i="32"/>
  <c r="E46" i="33"/>
  <c r="G65" i="33"/>
  <c r="E46" i="32"/>
  <c r="G64" i="32"/>
  <c r="G66" i="17"/>
  <c r="G45" i="32"/>
  <c r="G45" i="33"/>
  <c r="F43" i="17"/>
  <c r="G49" i="33"/>
  <c r="F63" i="33"/>
  <c r="D48" i="33"/>
  <c r="F42" i="33"/>
  <c r="E40" i="32"/>
  <c r="G58" i="17"/>
  <c r="F40" i="32"/>
  <c r="F57" i="33"/>
  <c r="F53" i="17"/>
  <c r="F48" i="32"/>
  <c r="F65" i="32"/>
  <c r="D41" i="32"/>
  <c r="G52" i="17"/>
  <c r="G54" i="17"/>
  <c r="G51" i="17"/>
  <c r="G55" i="33"/>
  <c r="G61" i="17"/>
  <c r="F41" i="32"/>
  <c r="F56" i="32"/>
  <c r="F44" i="32"/>
  <c r="F42" i="32"/>
  <c r="F48" i="17"/>
  <c r="F45" i="17"/>
  <c r="F49" i="33"/>
  <c r="F54" i="17"/>
  <c r="F50" i="33"/>
  <c r="F54" i="32"/>
  <c r="F53" i="33"/>
  <c r="F59" i="32"/>
  <c r="F44" i="33"/>
  <c r="E67" i="17"/>
  <c r="E47" i="32"/>
  <c r="E62" i="33"/>
  <c r="E55" i="33"/>
  <c r="E48" i="32"/>
  <c r="E64" i="17"/>
  <c r="E64" i="33"/>
  <c r="E42" i="32"/>
  <c r="E54" i="33"/>
  <c r="E61" i="17"/>
  <c r="E51" i="32"/>
  <c r="E51" i="33"/>
  <c r="D53" i="33"/>
  <c r="D47" i="33"/>
  <c r="D55" i="32"/>
  <c r="D56" i="33"/>
  <c r="D42" i="33"/>
  <c r="D49" i="32"/>
  <c r="D50" i="32"/>
  <c r="G42" i="17"/>
  <c r="G57" i="32"/>
  <c r="G50" i="33"/>
  <c r="G61" i="33"/>
  <c r="G43" i="33"/>
  <c r="G59" i="32"/>
  <c r="G59" i="17"/>
  <c r="G60" i="17"/>
  <c r="G53" i="33"/>
  <c r="G63" i="33"/>
  <c r="G42" i="32"/>
  <c r="G53" i="17"/>
  <c r="G58" i="33"/>
  <c r="G46" i="33"/>
  <c r="G63" i="32"/>
  <c r="G44" i="32"/>
  <c r="G48" i="33"/>
  <c r="G55" i="32"/>
  <c r="G46" i="32"/>
  <c r="G48" i="32"/>
  <c r="G61" i="32"/>
  <c r="G44" i="17"/>
  <c r="G43" i="17"/>
  <c r="G62" i="17"/>
  <c r="G41" i="32"/>
  <c r="G43" i="32"/>
  <c r="G40" i="33"/>
  <c r="G51" i="32"/>
  <c r="G56" i="17"/>
  <c r="G52" i="33"/>
  <c r="G54" i="33"/>
  <c r="G60" i="32"/>
  <c r="G55" i="17"/>
  <c r="G56" i="32"/>
  <c r="G46" i="17"/>
  <c r="G62" i="32"/>
  <c r="G62" i="33"/>
  <c r="F43" i="33"/>
  <c r="F55" i="17"/>
  <c r="F42" i="17"/>
  <c r="F46" i="33"/>
  <c r="F49" i="17"/>
  <c r="F64" i="32"/>
  <c r="F51" i="32"/>
  <c r="F55" i="33"/>
  <c r="F62" i="32"/>
  <c r="F47" i="33"/>
  <c r="F47" i="17"/>
  <c r="F58" i="33"/>
  <c r="F63" i="32"/>
  <c r="F61" i="32"/>
  <c r="F58" i="17"/>
  <c r="F67" i="17"/>
  <c r="F62" i="33"/>
  <c r="F61" i="33"/>
  <c r="F58" i="32"/>
  <c r="F45" i="32"/>
  <c r="F51" i="17"/>
  <c r="F50" i="17"/>
  <c r="F52" i="33"/>
  <c r="F57" i="32"/>
  <c r="F64" i="33"/>
  <c r="F50" i="32"/>
  <c r="F59" i="33"/>
  <c r="F57" i="17"/>
  <c r="F56" i="17"/>
  <c r="F60" i="33"/>
  <c r="F62" i="17"/>
  <c r="E49" i="17"/>
  <c r="E43" i="33"/>
  <c r="E54" i="32"/>
  <c r="E59" i="33"/>
  <c r="E44" i="32"/>
  <c r="E45" i="32"/>
  <c r="E47" i="17"/>
  <c r="E42" i="17"/>
  <c r="E53" i="33"/>
  <c r="E44" i="17"/>
  <c r="E43" i="17"/>
  <c r="E50" i="33"/>
  <c r="E49" i="33"/>
  <c r="E60" i="32"/>
  <c r="E48" i="33"/>
  <c r="E46" i="17"/>
  <c r="E56" i="33"/>
  <c r="E53" i="32"/>
  <c r="E63" i="33"/>
  <c r="E58" i="32"/>
  <c r="E66" i="17"/>
  <c r="E61" i="32"/>
  <c r="E58" i="33"/>
  <c r="E63" i="17"/>
  <c r="E52" i="33"/>
  <c r="E41" i="33"/>
  <c r="E43" i="32"/>
  <c r="E52" i="17"/>
  <c r="E49" i="32"/>
  <c r="E55" i="32"/>
  <c r="E57" i="33"/>
  <c r="E58" i="17"/>
  <c r="E57" i="32"/>
  <c r="E63" i="32"/>
  <c r="E54" i="17"/>
  <c r="E65" i="32"/>
  <c r="E62" i="17"/>
  <c r="D41" i="33"/>
  <c r="D54" i="32"/>
  <c r="D46" i="33"/>
  <c r="D62" i="33"/>
  <c r="D44" i="32"/>
  <c r="D42" i="32"/>
  <c r="D58" i="32"/>
  <c r="D48" i="32"/>
  <c r="D64" i="33"/>
  <c r="D65" i="33"/>
  <c r="D53" i="17"/>
  <c r="D43" i="32"/>
  <c r="D58" i="33"/>
  <c r="D52" i="33"/>
  <c r="D54" i="17"/>
  <c r="D60" i="32"/>
  <c r="D47" i="32"/>
  <c r="D62" i="17"/>
  <c r="D42" i="17"/>
  <c r="D57" i="32"/>
  <c r="D57" i="33"/>
  <c r="D46" i="32"/>
  <c r="D59" i="32"/>
  <c r="D44" i="33"/>
  <c r="D64" i="32"/>
  <c r="D63" i="32"/>
  <c r="D45" i="33"/>
  <c r="D45" i="17"/>
  <c r="D61" i="32"/>
  <c r="D45" i="32"/>
  <c r="D40" i="32"/>
  <c r="D51" i="33"/>
  <c r="D51" i="17"/>
  <c r="D54" i="33"/>
  <c r="D55" i="33"/>
  <c r="D52" i="17"/>
  <c r="D65" i="32"/>
  <c r="D61" i="33"/>
  <c r="D64" i="17"/>
  <c r="D53" i="32"/>
  <c r="D59" i="33"/>
  <c r="D63" i="33"/>
  <c r="D58" i="17"/>
  <c r="G46" i="38" l="1"/>
  <c r="G46" i="39" s="1"/>
  <c r="G46" i="43"/>
  <c r="G46" i="44" s="1"/>
  <c r="G52" i="38"/>
  <c r="G52" i="39" s="1"/>
  <c r="G52" i="43"/>
  <c r="G52" i="44" s="1"/>
  <c r="F49" i="38"/>
  <c r="F49" i="39" s="1"/>
  <c r="F49" i="43"/>
  <c r="F49" i="44" s="1"/>
  <c r="F67" i="38"/>
  <c r="F67" i="39" s="1"/>
  <c r="F67" i="43"/>
  <c r="F67" i="44" s="1"/>
  <c r="F48" i="38"/>
  <c r="F48" i="39" s="1"/>
  <c r="F48" i="43"/>
  <c r="F48" i="44" s="1"/>
  <c r="F47" i="38"/>
  <c r="F47" i="39" s="1"/>
  <c r="F47" i="43"/>
  <c r="F47" i="44" s="1"/>
  <c r="E47" i="38"/>
  <c r="E47" i="39" s="1"/>
  <c r="E47" i="43"/>
  <c r="E47" i="44" s="1"/>
  <c r="E49" i="38"/>
  <c r="E49" i="39" s="1"/>
  <c r="E49" i="43"/>
  <c r="E49" i="44" s="1"/>
  <c r="E67" i="38"/>
  <c r="E67" i="39" s="1"/>
  <c r="E67" i="43"/>
  <c r="E67" i="44" s="1"/>
  <c r="E52" i="38"/>
  <c r="E52" i="39" s="1"/>
  <c r="E52" i="43"/>
  <c r="E52" i="44" s="1"/>
  <c r="E46" i="38"/>
  <c r="E46" i="39" s="1"/>
  <c r="E46" i="43"/>
  <c r="E46" i="44" s="1"/>
  <c r="D52" i="38"/>
  <c r="D52" i="39" s="1"/>
  <c r="D52" i="43"/>
  <c r="D52" i="44" s="1"/>
  <c r="D49" i="38"/>
  <c r="D49" i="39" s="1"/>
  <c r="D49" i="43"/>
  <c r="D49" i="44" s="1"/>
  <c r="E66" i="38"/>
  <c r="E66" i="39" s="1"/>
  <c r="E66" i="43"/>
  <c r="E66" i="44" s="1"/>
  <c r="D64" i="38"/>
  <c r="D64" i="39" s="1"/>
  <c r="D64" i="43"/>
  <c r="D64" i="44" s="1"/>
  <c r="E63" i="38"/>
  <c r="E63" i="39" s="1"/>
  <c r="E63" i="43"/>
  <c r="E63" i="44" s="1"/>
  <c r="G66" i="38"/>
  <c r="G66" i="39" s="1"/>
  <c r="G66" i="43"/>
  <c r="G66" i="44" s="1"/>
  <c r="E64" i="38"/>
  <c r="E64" i="39" s="1"/>
  <c r="E64" i="43"/>
  <c r="E64" i="44" s="1"/>
  <c r="E54" i="38"/>
  <c r="E54" i="39" s="1"/>
  <c r="E54" i="43"/>
  <c r="E54" i="44" s="1"/>
  <c r="G54" i="38"/>
  <c r="G54" i="39" s="1"/>
  <c r="G54" i="43"/>
  <c r="G54" i="44" s="1"/>
  <c r="D54" i="38"/>
  <c r="D54" i="39" s="1"/>
  <c r="D54" i="43"/>
  <c r="D54" i="44" s="1"/>
  <c r="F54" i="38"/>
  <c r="F54" i="39" s="1"/>
  <c r="F54" i="43"/>
  <c r="F54" i="44" s="1"/>
  <c r="F53" i="38"/>
  <c r="F53" i="39" s="1"/>
  <c r="F53" i="43"/>
  <c r="F53" i="44" s="1"/>
  <c r="D53" i="38"/>
  <c r="D53" i="39" s="1"/>
  <c r="D53" i="43"/>
  <c r="D53" i="44" s="1"/>
  <c r="G53" i="38"/>
  <c r="G53" i="39" s="1"/>
  <c r="G53" i="43"/>
  <c r="G53" i="44" s="1"/>
  <c r="G60" i="38"/>
  <c r="G60" i="39" s="1"/>
  <c r="G60" i="43"/>
  <c r="G60" i="44" s="1"/>
  <c r="G59" i="38"/>
  <c r="G59" i="39" s="1"/>
  <c r="G59" i="43"/>
  <c r="G59" i="44" s="1"/>
  <c r="D58" i="38"/>
  <c r="D58" i="39" s="1"/>
  <c r="D58" i="43"/>
  <c r="D58" i="44" s="1"/>
  <c r="F58" i="38"/>
  <c r="F58" i="39" s="1"/>
  <c r="F58" i="43"/>
  <c r="F58" i="44" s="1"/>
  <c r="E58" i="38"/>
  <c r="E58" i="39" s="1"/>
  <c r="E58" i="43"/>
  <c r="E58" i="44" s="1"/>
  <c r="G58" i="38"/>
  <c r="G58" i="39" s="1"/>
  <c r="G58" i="43"/>
  <c r="G58" i="44" s="1"/>
  <c r="F57" i="38"/>
  <c r="F57" i="39" s="1"/>
  <c r="F57" i="43"/>
  <c r="F57" i="44" s="1"/>
  <c r="D62" i="38"/>
  <c r="D62" i="39" s="1"/>
  <c r="D62" i="43"/>
  <c r="D62" i="44" s="1"/>
  <c r="E62" i="38"/>
  <c r="E62" i="39" s="1"/>
  <c r="E62" i="43"/>
  <c r="E62" i="44" s="1"/>
  <c r="F62" i="38"/>
  <c r="F62" i="39" s="1"/>
  <c r="F62" i="43"/>
  <c r="F62" i="44" s="1"/>
  <c r="G62" i="38"/>
  <c r="G62" i="39" s="1"/>
  <c r="G62" i="43"/>
  <c r="G62" i="44" s="1"/>
  <c r="E61" i="38"/>
  <c r="E61" i="39" s="1"/>
  <c r="E61" i="43"/>
  <c r="E61" i="44" s="1"/>
  <c r="G61" i="38"/>
  <c r="G61" i="39" s="1"/>
  <c r="G61" i="43"/>
  <c r="G61" i="44" s="1"/>
  <c r="F56" i="38"/>
  <c r="F56" i="39" s="1"/>
  <c r="F56" i="43"/>
  <c r="F56" i="44" s="1"/>
  <c r="G56" i="38"/>
  <c r="G56" i="39" s="1"/>
  <c r="G56" i="43"/>
  <c r="G56" i="44" s="1"/>
  <c r="D51" i="38"/>
  <c r="D51" i="39" s="1"/>
  <c r="D51" i="43"/>
  <c r="D51" i="44" s="1"/>
  <c r="F51" i="38"/>
  <c r="F51" i="39" s="1"/>
  <c r="F51" i="43"/>
  <c r="F51" i="44" s="1"/>
  <c r="G51" i="38"/>
  <c r="G51" i="39" s="1"/>
  <c r="G51" i="43"/>
  <c r="G51" i="44" s="1"/>
  <c r="F50" i="38"/>
  <c r="F50" i="39" s="1"/>
  <c r="F50" i="43"/>
  <c r="F50" i="44" s="1"/>
  <c r="F45" i="38"/>
  <c r="F45" i="39" s="1"/>
  <c r="F45" i="43"/>
  <c r="F45" i="44" s="1"/>
  <c r="D45" i="38"/>
  <c r="D45" i="39" s="1"/>
  <c r="D45" i="43"/>
  <c r="D45" i="44" s="1"/>
  <c r="E44" i="38"/>
  <c r="E44" i="39" s="1"/>
  <c r="E44" i="43"/>
  <c r="E44" i="44" s="1"/>
  <c r="G44" i="38"/>
  <c r="G44" i="39" s="1"/>
  <c r="G44" i="43"/>
  <c r="G44" i="44" s="1"/>
  <c r="F55" i="38"/>
  <c r="F55" i="39" s="1"/>
  <c r="F55" i="43"/>
  <c r="F55" i="44" s="1"/>
  <c r="G55" i="38"/>
  <c r="G55" i="39" s="1"/>
  <c r="G55" i="43"/>
  <c r="G55" i="44" s="1"/>
  <c r="E43" i="38"/>
  <c r="E43" i="39" s="1"/>
  <c r="E43" i="43"/>
  <c r="E43" i="44" s="1"/>
  <c r="F43" i="38"/>
  <c r="F43" i="39" s="1"/>
  <c r="F43" i="43"/>
  <c r="F43" i="44" s="1"/>
  <c r="G43" i="38"/>
  <c r="G43" i="39" s="1"/>
  <c r="G43" i="43"/>
  <c r="G43" i="44" s="1"/>
  <c r="G42" i="38"/>
  <c r="G42" i="39" s="1"/>
  <c r="G42" i="43"/>
  <c r="G42" i="44" s="1"/>
  <c r="F42" i="38"/>
  <c r="F42" i="39" s="1"/>
  <c r="F42" i="43"/>
  <c r="F42" i="44" s="1"/>
  <c r="D42" i="38"/>
  <c r="D42" i="39" s="1"/>
  <c r="D42" i="43"/>
  <c r="D42" i="44" s="1"/>
  <c r="E42" i="38"/>
  <c r="E42" i="39" s="1"/>
  <c r="E42" i="43"/>
  <c r="E42" i="44" s="1"/>
</calcChain>
</file>

<file path=xl/sharedStrings.xml><?xml version="1.0" encoding="utf-8"?>
<sst xmlns="http://schemas.openxmlformats.org/spreadsheetml/2006/main" count="2294" uniqueCount="371">
  <si>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</si>
  <si>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</si>
  <si>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</si>
  <si>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</si>
  <si>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</si>
  <si>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</si>
  <si>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</si>
  <si>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</si>
  <si>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</si>
  <si>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</si>
  <si>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</si>
  <si>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 xml:space="preserve">7 группа </t>
  </si>
  <si>
    <t>8 группа</t>
  </si>
  <si>
    <t xml:space="preserve">9 группа   </t>
  </si>
  <si>
    <t xml:space="preserve">10 группа </t>
  </si>
  <si>
    <t>11 группа</t>
  </si>
  <si>
    <t xml:space="preserve">12 группа   </t>
  </si>
  <si>
    <t>бокс, кикбоксинг,   сл.-прикл. единоборства, стрелковые в.с.</t>
  </si>
  <si>
    <t>Суббота</t>
  </si>
  <si>
    <t>№ аудитории</t>
  </si>
  <si>
    <t>ТиМ бокса и кикбоксинга  им.К.В. Градополова</t>
  </si>
  <si>
    <t>21зал</t>
  </si>
  <si>
    <t>ТиМ велосипедного спорта</t>
  </si>
  <si>
    <t>модульБ, 210зал</t>
  </si>
  <si>
    <t>Спортивная гимнастика</t>
  </si>
  <si>
    <t>205,209, 210залы</t>
  </si>
  <si>
    <t>Художественная гимнастика</t>
  </si>
  <si>
    <t>ТиМ индивидуально-игровых видов спорта</t>
  </si>
  <si>
    <t>МодульД, 223зал</t>
  </si>
  <si>
    <t>конькобежного спорта</t>
  </si>
  <si>
    <t>УСЗК</t>
  </si>
  <si>
    <t>Бассейн РГУФК СМиТ</t>
  </si>
  <si>
    <t>Водное поло</t>
  </si>
  <si>
    <t>Синхронное плавание</t>
  </si>
  <si>
    <t>ТиМ танцевального спорта</t>
  </si>
  <si>
    <t>201зал</t>
  </si>
  <si>
    <t>ТиМ тенниса</t>
  </si>
  <si>
    <t>Тенисные корты</t>
  </si>
  <si>
    <t>ТиМ тяжелоатлетических видов спорта им.А.С. Медведева</t>
  </si>
  <si>
    <t>42зал</t>
  </si>
  <si>
    <t>Фехтование</t>
  </si>
  <si>
    <t>231зал</t>
  </si>
  <si>
    <t>Дзюдо</t>
  </si>
  <si>
    <t>32зал</t>
  </si>
  <si>
    <t>Современное пятиборье</t>
  </si>
  <si>
    <t>Вольная борьба</t>
  </si>
  <si>
    <t>14зал</t>
  </si>
  <si>
    <t>Тхэквандо ИТФ</t>
  </si>
  <si>
    <t>29,42 зал</t>
  </si>
  <si>
    <t>Армспорт</t>
  </si>
  <si>
    <t>Ушу</t>
  </si>
  <si>
    <t>308зал УСЗК</t>
  </si>
  <si>
    <t>Самбо</t>
  </si>
  <si>
    <t>32,27 залы</t>
  </si>
  <si>
    <t>Айкило,Киокусинкай</t>
  </si>
  <si>
    <t>Каратэдо</t>
  </si>
  <si>
    <t>МодульГ</t>
  </si>
  <si>
    <t>Греко-римская борьба</t>
  </si>
  <si>
    <t>ТхэквондоВТФ</t>
  </si>
  <si>
    <t>ТиМ футбола</t>
  </si>
  <si>
    <t>251зал</t>
  </si>
  <si>
    <t>ТиМ хоккея им. А.В. Тарасова</t>
  </si>
  <si>
    <t>УСЗК ледовая арена</t>
  </si>
  <si>
    <t>МКФФК</t>
  </si>
  <si>
    <t>415МБК</t>
  </si>
  <si>
    <t>СПЕ</t>
  </si>
  <si>
    <t>27зал</t>
  </si>
  <si>
    <t>Стрелковый спорт</t>
  </si>
  <si>
    <t>22тир</t>
  </si>
  <si>
    <t>Горные виды спорта</t>
  </si>
  <si>
    <t>Скальная лаборатория</t>
  </si>
  <si>
    <t xml:space="preserve">Авто-мото спорт </t>
  </si>
  <si>
    <t>204ауд.</t>
  </si>
  <si>
    <t>Подводный спорт и дайвинг</t>
  </si>
  <si>
    <t>Малая авиация и парашютный спорт</t>
  </si>
  <si>
    <t>№</t>
  </si>
  <si>
    <t>День недели</t>
  </si>
  <si>
    <t>Время</t>
  </si>
  <si>
    <t>18:30-20:00</t>
  </si>
  <si>
    <t>20:20-21:50</t>
  </si>
  <si>
    <t xml:space="preserve">Условные обозначения: </t>
  </si>
  <si>
    <t>МБК - медико-биологический корпус</t>
  </si>
  <si>
    <t>футбол, мини - футбол</t>
  </si>
  <si>
    <t>тяж.атлетика, фехтование, современное пятиборье</t>
  </si>
  <si>
    <t>*Л. Анатомия*</t>
  </si>
  <si>
    <t>*Пр. Анатомия*</t>
  </si>
  <si>
    <t>*Пр. Гимнастика*</t>
  </si>
  <si>
    <t>18.00-19.30</t>
  </si>
  <si>
    <t>19.30-21.00</t>
  </si>
  <si>
    <t>Расписание учебных занятий на первое полугодие 2019-2020 учебного года</t>
  </si>
  <si>
    <t xml:space="preserve">Курс 1, семестр 1, очная форма обучения </t>
  </si>
  <si>
    <t>*Пр. Иностранный*</t>
  </si>
  <si>
    <t>*Л. Теория и методика*</t>
  </si>
  <si>
    <t>*Пр. Теория и методика*</t>
  </si>
  <si>
    <t>велоспорт, горные виды спорта, автомотоспорт, компьютерный спорт</t>
  </si>
  <si>
    <t>фигурное катание на коньках, керлинг,  теннис</t>
  </si>
  <si>
    <t>футбол, конькобежн. спорт</t>
  </si>
  <si>
    <r>
      <t xml:space="preserve">ИНСТИТУТ СПОРТА И ФИЗИЧЕСКОГО ВОСПИТАНИЯ,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</si>
  <si>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r>
      <t xml:space="preserve">49.03.01 Физичекая культура, </t>
    </r>
    <r>
      <rPr>
        <sz val="24"/>
        <color rgb="FF000000"/>
        <rFont val="Times New Roman"/>
        <family val="1"/>
        <charset val="204"/>
      </rPr>
      <t>Профиль (направленность)</t>
    </r>
    <r>
      <rPr>
        <b/>
        <sz val="24"/>
        <color rgb="FF000000"/>
        <rFont val="Times New Roman"/>
        <family val="1"/>
        <charset val="204"/>
      </rPr>
      <t xml:space="preserve">  "Спортивная подготовка в избранном виде спорта",</t>
    </r>
    <r>
      <rPr>
        <sz val="24"/>
        <color rgb="FF000000"/>
        <rFont val="Times New Roman"/>
        <family val="1"/>
        <charset val="204"/>
      </rPr>
      <t xml:space="preserve"> уровень образовния</t>
    </r>
    <r>
      <rPr>
        <b/>
        <sz val="24"/>
        <color rgb="FF000000"/>
        <rFont val="Times New Roman"/>
        <family val="1"/>
        <charset val="204"/>
      </rPr>
      <t xml:space="preserve"> бакалавриат</t>
    </r>
  </si>
  <si>
    <t>группы  С3-07-19, С1-08-19,  С1-09-19, С3-09-19, С2-10-19,С2-11-19,С2-12-19, С1-07-19, С1-11-19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</si>
  <si>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</si>
  <si>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</si>
  <si>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</si>
  <si>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</si>
  <si>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</si>
  <si>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</si>
  <si>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</si>
  <si>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</si>
  <si>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 xml:space="preserve">Иностранный язык 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</si>
  <si>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</si>
  <si>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</si>
  <si>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</si>
  <si>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</si>
  <si>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</si>
  <si>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</si>
  <si>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</si>
  <si>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</si>
  <si>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Бокс, кикбоксинг</t>
  </si>
  <si>
    <t>ПСС - Профессионально-спортивное совершенствование</t>
  </si>
  <si>
    <t>49.03.04 Спорт*</t>
  </si>
  <si>
    <t>* Профили (направленность) указанны на титульном листе</t>
  </si>
  <si>
    <t>Расписание учебных занятий на первое полугодие 2022-2023 учебного года</t>
  </si>
  <si>
    <t>ТРЕНЕРСКИЙ ФАКУЛЬТЕТ, направление подготовки (образовательная программа)</t>
  </si>
  <si>
    <t>Б/о - без отчета</t>
  </si>
  <si>
    <t xml:space="preserve"> Элективные дисциплины по ФКиС- Элективные дисциплины по физической культуре и спорту.  </t>
  </si>
  <si>
    <t>Единоборства (армспорт, греко-римская борьба, вольная борьба, дзюдо, самбо, служебно-прикладные единоборства)</t>
  </si>
  <si>
    <t>бокс, кикбоксинг, тяжелая атлетика</t>
  </si>
  <si>
    <t>современное пятиборье, фехтование,  стрелковые виды спорта</t>
  </si>
  <si>
    <t xml:space="preserve">6 группа </t>
  </si>
  <si>
    <t>группы  С2-07-22, С2-08-22, С2-09-22, С2-06-22</t>
  </si>
  <si>
    <t>каратэдо, тхэквондо, киокусинкай, ушу</t>
  </si>
  <si>
    <t>08.50-10.20</t>
  </si>
  <si>
    <t>УТВЕРЖДАЮ</t>
  </si>
  <si>
    <t>20СК, 21СК, 23СК</t>
  </si>
  <si>
    <t>Анатомия человека</t>
  </si>
  <si>
    <t>Гимнастика</t>
  </si>
  <si>
    <t>Л - Силаева Л.В.</t>
  </si>
  <si>
    <t>Дубовицкая И.А.</t>
  </si>
  <si>
    <t>Факультет адаптивной физической культуры, рекреации и туризма, направление подготовки (образовательная программа)</t>
  </si>
  <si>
    <t>каратэдо, тхэквондо, киокусинкай, ушу, тяжелая атлетика</t>
  </si>
  <si>
    <t>ФОДиФ</t>
  </si>
  <si>
    <t>Л - Адамова И.В.</t>
  </si>
  <si>
    <t xml:space="preserve"> 49.03.01 Физическая культура*</t>
  </si>
  <si>
    <t>49.03.01 Физическая культура, Профиль (направленность) Физкультурно-оздоровительная деятельность и фитнес,    уровень образования бакалавриат</t>
  </si>
  <si>
    <t>П - Эпов О.Г., Судаков Д.А.</t>
  </si>
  <si>
    <t>Л - Эпов О.Г., Судаков Д.А.</t>
  </si>
  <si>
    <t>Эпов О.Г.,  Судаков Д.А.</t>
  </si>
  <si>
    <t>Профессионально-спортивное совершенствование (49.03.04 Спорт), Профессионально-физкультурное совершенствование (49.03.01 Физическая культура)</t>
  </si>
  <si>
    <t>Крамаров Д.И.</t>
  </si>
  <si>
    <t>ПФС - Профессионально-физкультурное совершенствование</t>
  </si>
  <si>
    <t>Литвинов С.В.</t>
  </si>
  <si>
    <t>Л. Теория и методика единоборств Прил.1</t>
  </si>
  <si>
    <t>Л. Теория и методика каратэ, тхэквондо, киокусинкай, ушу, тяжелоатлетических видов спорта Прил.1</t>
  </si>
  <si>
    <t>9 группа</t>
  </si>
  <si>
    <t>Скалолазание</t>
  </si>
  <si>
    <t>Бокс, кикбоксинг, современное пятиборье, фехтование,  стрелковые виды спорта</t>
  </si>
  <si>
    <t>скалодром РУС "ГЦОЛИФК"</t>
  </si>
  <si>
    <t>Вольная борьба, Служебно-прикладные единоборства</t>
  </si>
  <si>
    <t>18.30-20.00</t>
  </si>
  <si>
    <t>Физкультурно-оздоровительная деятельность и фитнес  (ФОДиФ), скалолазание</t>
  </si>
  <si>
    <t>42СК</t>
  </si>
  <si>
    <t>Р.С. Халимулина</t>
  </si>
  <si>
    <t>Расписание учебных занятий на первое полугодие 2025-2026 учебного года</t>
  </si>
  <si>
    <r>
      <rPr>
        <b/>
        <sz val="22"/>
        <rFont val="Times New Roman"/>
        <family val="1"/>
        <charset val="204"/>
      </rPr>
      <t>49.03.01 Физическая культура</t>
    </r>
    <r>
      <rPr>
        <sz val="22"/>
        <rFont val="Times New Roman"/>
        <family val="1"/>
        <charset val="204"/>
      </rPr>
      <t xml:space="preserve">, Профиль (направленность) Физкультурно-оздоровительная деятельность и фитнес,  уровень образования </t>
    </r>
    <r>
      <rPr>
        <b/>
        <sz val="22"/>
        <rFont val="Times New Roman"/>
        <family val="1"/>
        <charset val="204"/>
      </rPr>
      <t>бакалавриат</t>
    </r>
  </si>
  <si>
    <t>группы  С2-06-25, С2-07-25, С2-08-25, С2-09-25,  Т1-04-25</t>
  </si>
  <si>
    <t>6 группа, Т1-04-25</t>
  </si>
  <si>
    <t>Начальник учебно-методического управления</t>
  </si>
  <si>
    <t>Л - Гаркин Н.В., Ермаков А.В.</t>
  </si>
  <si>
    <t>П - Гаркин Н.В., Ермаков А.В.</t>
  </si>
  <si>
    <t>Андреасян К.Б.</t>
  </si>
  <si>
    <t>Тхэквондо (ВТФ, ИТФ)</t>
  </si>
  <si>
    <t>Мештель А.В.</t>
  </si>
  <si>
    <t>П - Сираковская Я.В.</t>
  </si>
  <si>
    <t>Л - Сираковская Я.В.</t>
  </si>
  <si>
    <t>группы  С2-06-25, С2-07-25, С2-08А-25, С2-08Б-25, С2-09-25,  Т1-04-25</t>
  </si>
  <si>
    <t>Армспорт, Самбо</t>
  </si>
  <si>
    <t>Греко-римская борьба, Дзюдо</t>
  </si>
  <si>
    <t>Л - Колесов А.А., Дмитриев Р.М.</t>
  </si>
  <si>
    <t>П - Колесов А.А., Дмитриев Р.М.</t>
  </si>
  <si>
    <t>231СК, 246СК, №22 тир</t>
  </si>
  <si>
    <t>32СК, 27СК, 14СК, 34СК, 35СК, 28СК, 15СК, 36СК, 205мбк</t>
  </si>
  <si>
    <t>Гричанова Т.Г.</t>
  </si>
  <si>
    <t>Расписание учебных занятий на второе полугодие 2025-2026 учебного года</t>
  </si>
  <si>
    <t xml:space="preserve">Курс 1, семестр 2, очная форма обучения </t>
  </si>
  <si>
    <t>Зачет</t>
  </si>
  <si>
    <t>0/32</t>
  </si>
  <si>
    <t>10/22</t>
  </si>
  <si>
    <t>Диф.зачет</t>
  </si>
  <si>
    <t>2/46</t>
  </si>
  <si>
    <t>Тяжелоатлетические виды спорта</t>
  </si>
  <si>
    <t>0/36</t>
  </si>
  <si>
    <t>2/18</t>
  </si>
  <si>
    <t>Федоров А.Д.</t>
  </si>
  <si>
    <t>Шевцов А.В., Дмитриев Р.М.</t>
  </si>
  <si>
    <t>Гаркин Н.В., Ермаков А.В.</t>
  </si>
  <si>
    <t>Махрова Е.В.</t>
  </si>
  <si>
    <t>УСЗК  - Универсальный спортивно-зрелищный комплекс</t>
  </si>
  <si>
    <t>Расписание учебных занятий на первое полугодие 2026-2027 учебного года</t>
  </si>
  <si>
    <t>каратэдо, киокусинкай, ушу, тхэквондо (ВТФ, ИТФ), тяжелоатлетические виды спорта</t>
  </si>
  <si>
    <t>Бокс, кикбоксинг, современное пятиборье, фехтование, стрелковые виды спорта</t>
  </si>
  <si>
    <r>
      <t>Приложение1 к расписанию учебных занятий на первое</t>
    </r>
    <r>
      <rPr>
        <b/>
        <u/>
        <sz val="11"/>
        <color indexed="8"/>
        <rFont val="Times New Roman"/>
        <family val="1"/>
        <charset val="204"/>
      </rPr>
      <t xml:space="preserve"> </t>
    </r>
    <r>
      <rPr>
        <b/>
        <sz val="11"/>
        <color indexed="8"/>
        <rFont val="Times New Roman"/>
        <family val="1"/>
        <charset val="204"/>
      </rPr>
      <t>полугодие 2026-2027 учебного года</t>
    </r>
  </si>
  <si>
    <t xml:space="preserve">49.03.04 Спорт, Профиль (направленность):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в видах спорта «фехтование», «современное пятиборье» и «стрелковые виды спорта». Педагогическая деятельность в области физической культуры и спорта;  Спортивная подготовка по видам спорта "каратэдо", "киокусинкай", "ушу". Педагогическая деятельность в области физической культуры и спорта; Спортивная подготовка по виду спорта «скалолазание». Педагогическая деятельность в области физической культуры и спорта; уровень образования бакалавриат </t>
  </si>
  <si>
    <t>с 01.09 по 26.12</t>
  </si>
  <si>
    <t>Теория и методика единоборств, профессионально-спортивное совершенствование (единоборства)</t>
  </si>
  <si>
    <t>Теория и методика тяжелоатлетических видов спорта, профессионально-спортивное совершенствование (тяжелоатлетические виды спорта)</t>
  </si>
  <si>
    <t>Теория и методика фехтования, современного пятиборья, стрелковых видов спорта, профессионально-спортивное совершенствование (фехтование, современное пятиборье, стрелковые виды спорта)</t>
  </si>
  <si>
    <t>Теория и методика бокса и кикбоксинга, профессионально-спортивное совершенствование (бокс и кикбоксинг)</t>
  </si>
  <si>
    <t>Теория и методика физкультурно-оздоровительной деятельности и фитнеса, профессионально-физкультурное совершенствование</t>
  </si>
  <si>
    <t>Теория и методика скалолазания, профессионально-спортивное совершенствование (скалолазание)</t>
  </si>
  <si>
    <r>
      <rPr>
        <b/>
        <u/>
        <sz val="22"/>
        <rFont val="Times New Roman"/>
        <family val="1"/>
        <charset val="204"/>
      </rPr>
      <t>49.03.04 Спорт</t>
    </r>
    <r>
      <rPr>
        <b/>
        <sz val="22"/>
        <rFont val="Times New Roman"/>
        <family val="1"/>
        <charset val="204"/>
      </rPr>
      <t>, Профиль (направленность)</t>
    </r>
    <r>
      <rPr>
        <sz val="22"/>
        <rFont val="Times New Roman"/>
        <family val="1"/>
        <charset val="204"/>
      </rPr>
      <t xml:space="preserve">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в видах спорта «фехтование», «современное пятиборье» и «стрелковые виды спорта». Педагогическая деятельность в области физической культуры и спорта;  Спортивная подготовка по видам спорта "каратэдо", "киокусинкай", "ушу". Педагогическая деятельность в области физической культуры и спорта; Спортивная подготовка по виду спорта «скалолазание». Педагогическая деятельность в области физической культуры и спорта; </t>
    </r>
    <r>
      <rPr>
        <b/>
        <sz val="22"/>
        <rFont val="Times New Roman"/>
        <family val="1"/>
        <charset val="204"/>
      </rPr>
      <t xml:space="preserve">уровень образования бакалавриат </t>
    </r>
  </si>
  <si>
    <t>Б/о</t>
  </si>
  <si>
    <t>Речевое общение в профессиональной деятельности</t>
  </si>
  <si>
    <t>Физическая культура и спорт</t>
  </si>
  <si>
    <t>10/10</t>
  </si>
  <si>
    <t>*Л. Гимнастика*</t>
  </si>
  <si>
    <t>*Л. Речевое общение в профессиональной деятельности*</t>
  </si>
  <si>
    <t>*Пр. Речевое общение в профессиональной деятельности*</t>
  </si>
  <si>
    <t>*Л. Физическая культура и спорт*</t>
  </si>
  <si>
    <t>*Пр. Физическая культура и спорт*</t>
  </si>
  <si>
    <t>8/24</t>
  </si>
  <si>
    <t>Информационные технологии в сфере физической культуры и спорта</t>
  </si>
  <si>
    <t>4/28</t>
  </si>
  <si>
    <t>10/90</t>
  </si>
  <si>
    <t>*Л. Информационные технологии*</t>
  </si>
  <si>
    <t>*Пр. Информационные технологии*</t>
  </si>
  <si>
    <t>6/40</t>
  </si>
  <si>
    <t>Волейбол</t>
  </si>
  <si>
    <t>Лыжные гонки</t>
  </si>
  <si>
    <t>2/62</t>
  </si>
  <si>
    <t>*Л. Волейбол*</t>
  </si>
  <si>
    <t>*Пр. Волейбол*</t>
  </si>
  <si>
    <t>*Л. Лыжные гонки*</t>
  </si>
  <si>
    <t>*Пр. Лыжные гонки*</t>
  </si>
  <si>
    <t>Использование электронной информационно-образовательной среды РУС "ГЦОЛИФК"</t>
  </si>
  <si>
    <t>2/4</t>
  </si>
  <si>
    <t>Элективные дисциплины по ФКиС: Подвижные игры</t>
  </si>
  <si>
    <t>*Л. Элективные дисциплины по ФКиС: Подвижные игры*</t>
  </si>
  <si>
    <t>*Пр. Элективные дисциплины по ФКиС: Подвижные игры*</t>
  </si>
  <si>
    <t>*Л. Использование электронной*</t>
  </si>
  <si>
    <t>*Пр. Использование электронной*</t>
  </si>
  <si>
    <t>Л - Шевцов А.В.</t>
  </si>
  <si>
    <t>П - Шевцов А.В., Кузнецова Н.А.</t>
  </si>
  <si>
    <t>Л - Михалина Г.М., Ростовцева М.Ю., Парахин В.А.</t>
  </si>
  <si>
    <t>250 мбк, 282 мбк,  л/а манеж, АНОСРФиС "АРТА-СПОРТ": г. Москва, Измайловский пр-д, д.15</t>
  </si>
  <si>
    <r>
      <t xml:space="preserve">Наименование дисциплины (модуля): </t>
    </r>
    <r>
      <rPr>
        <b/>
        <sz val="12"/>
        <rFont val="Times New Roman"/>
        <family val="1"/>
        <charset val="204"/>
      </rPr>
      <t>Лыжные гонки</t>
    </r>
  </si>
  <si>
    <t>Сироткина Ю.А.</t>
  </si>
  <si>
    <t>Л - Салахудинова Е.С.</t>
  </si>
  <si>
    <t>Салахудинова Е.С.</t>
  </si>
  <si>
    <t xml:space="preserve">Дробышевская Н.В. </t>
  </si>
  <si>
    <t>Л - Капустина Ю.А.</t>
  </si>
  <si>
    <t>Капустина Ю.А.</t>
  </si>
  <si>
    <t>Переверзева Н.А.  (русский язык как иностранный для иностранных граждан)</t>
  </si>
  <si>
    <t>Л - Дубровинский С.С.</t>
  </si>
  <si>
    <t>Щукин А.В.</t>
  </si>
  <si>
    <t>Дубровинский С.С.</t>
  </si>
  <si>
    <t>Л - Яшкина Е.Н.</t>
  </si>
  <si>
    <t>Л - Ефимов А.С.</t>
  </si>
  <si>
    <t>Ефимов А.С.</t>
  </si>
  <si>
    <t>Суханова А.В.</t>
  </si>
  <si>
    <t>Ананьин А.С.</t>
  </si>
  <si>
    <t>Л - Киселев В.А.</t>
  </si>
  <si>
    <t>П - Киселев В.А.</t>
  </si>
  <si>
    <t>Л - Атлас А.А.</t>
  </si>
  <si>
    <t>П - Атлас А.А.</t>
  </si>
  <si>
    <t>Атлас А.А.</t>
  </si>
  <si>
    <t>Л - Махмудов М.М., Табаков С.Е.</t>
  </si>
  <si>
    <t>П - Махмудов М.М., Табаков С.Е., Марянян С.А.</t>
  </si>
  <si>
    <t>Л - Мачканова Е.В.</t>
  </si>
  <si>
    <t>Трунева Т.В.</t>
  </si>
  <si>
    <t>Колесникова Е.С.</t>
  </si>
  <si>
    <t>Яшкина Е.Н.</t>
  </si>
  <si>
    <t>вторник: фитнес-зал№83 теннисный центр;  пятница - 213СК</t>
  </si>
  <si>
    <t>Л. Информационные технологии в сфере физической культуры и спорта Яшкина Е.Н. 214ауд.к.</t>
  </si>
  <si>
    <t>Л. Гимнастика Михалина Г.М. 214ауд.к.</t>
  </si>
  <si>
    <t>Л. Гимнастика Ростовцева М.Ю. 214ауд.к.</t>
  </si>
  <si>
    <t>Л. Волейбол Ефимов А.С. 214ауд.к.</t>
  </si>
  <si>
    <t>Пр. Теория и методика единоборств Прил.1</t>
  </si>
  <si>
    <t>Пр. Теория и методика каратэ, тхэквондо, киокусинкай, ушу, тяжелоатлетических видов спорта Прил.1</t>
  </si>
  <si>
    <t>Пр. Иностранный язык  Литвинов С.В. 512гл.к.</t>
  </si>
  <si>
    <t>Л. Физическая культура и спорт Мачканова Е.В. 214 ауд.к.</t>
  </si>
  <si>
    <t>Л. Речевое общение в профессиональной деятельности Капустина Ю.А. 214 ауд.к.</t>
  </si>
  <si>
    <t>Л. Гимнастика Парахин В.А. 214 ауд.к.</t>
  </si>
  <si>
    <t>Пр. Информационные технологии в сфере физической культуры и спорта Яшкина Е.Н. 277мбк</t>
  </si>
  <si>
    <t>Пр. Гимнастика Андреасян К.Б. 205СК</t>
  </si>
  <si>
    <t>Пр. Гимнастика Колесникова Е.С. 206СК</t>
  </si>
  <si>
    <t>Пр. Гимнастика Дубовицкая И.А. 210СК</t>
  </si>
  <si>
    <t>Пр. Волейбол Ефимов А.С. 230СК</t>
  </si>
  <si>
    <t>Пр. Волейбол Суханова А.В. 230СК</t>
  </si>
  <si>
    <t>Пр. Волейбол Ананьин А.С. 230СК</t>
  </si>
  <si>
    <t>Пр. Элективные дисциплины по ФКиС: Подвижные игры Салахудинова Е.С. Модуль Б</t>
  </si>
  <si>
    <t>Пр. Элективные дисциплины по ФКиС: Подвижные игры Дробышевская Н.В.  Модуль Б</t>
  </si>
  <si>
    <t>Л. Использование электронной информационно-образовательной среды РУС "ГЦОЛИФК"                                                                                                                                                                                                Шевцов А.В. (для направления 49.03.04 Спорт)  - Арена УСЗК (Универсальный спортивно-зрелищный комплекс),                                                                                                                                                                                                                                                                                                                              Мирошников А.Б. (для направления 49.03.01 Физическая культура) - 220 ауд.к.</t>
  </si>
  <si>
    <t>Л. Элективные дисциплины по ФКиС: Подвижные игры Салахудинова Е.С. 214ауд.к.</t>
  </si>
  <si>
    <t>Бокс, кикбоксинг, современное пятиборье, фехтование, стрелковые виды спорта, скалолазание</t>
  </si>
  <si>
    <t>Физкультурно-оздоровительная деятельность и фитнес  (ФОДиФ)</t>
  </si>
  <si>
    <t>П - Мирошников А.Б., Кузнецова Н.А.</t>
  </si>
  <si>
    <t>группы С2-07-26, С2-08-26, С2-09-26,  Т1-04-26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</si>
  <si>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516мбк</t>
    </r>
  </si>
  <si>
    <t>Л. Теория и методика бокса, кикбоксинга,  фехтования, современного пятиборья, стрелковых видов спорта, скалолазания Прил.1</t>
  </si>
  <si>
    <t>Пр. Теория и методика физкультурно-оздоровительной деятельности и фитнеса Прил.1</t>
  </si>
  <si>
    <t>Пр. Теория и методика бокса, кикбоксинга,  фехтования, современного пятиборья, стрелковых видов спорта, скалолазания Прил.1</t>
  </si>
  <si>
    <t>Т1-04-26</t>
  </si>
  <si>
    <t>Л. Анатомия человека Силаева Л.В. 220 ауд.к.</t>
  </si>
  <si>
    <t>Дробышевская Н.В.</t>
  </si>
  <si>
    <t>Л. Физическая культура и спорт Мачканова Е.В. 220 ауд.к.</t>
  </si>
  <si>
    <t>Л. Речевое общение в профессиональной деятельности Капустина Ю.А. 220 ауд.к.</t>
  </si>
  <si>
    <t>Пр. Иностранный язык  Переверзева Н.А. - 508 гл.к. (русский язык как иностранный для иностранных граждан: Т1-04-26, С2-08-26, С2-09-26) - 10.09, 17.09, 24.09, 01.10, 08.10, 15.10, 22.10, 29.10, 05.11, 12.11, 19.11, 26.11, 03.12, 10.12, 17.12, 24.12</t>
  </si>
  <si>
    <t>Пр. Иностранный язык  Литвинов С.В. 508гл.к.</t>
  </si>
  <si>
    <t>ПСС тяжелоатлетические виды спорта 42СК  с 09.10 - 25.12</t>
  </si>
  <si>
    <t>Пр. Элективные дисциплины по ФКиС: Подвижные игры Дробышевская Н.В.  Модуль А - только 12.10</t>
  </si>
  <si>
    <t>Пр. Элективные дисциплины по ФКиС: Подвижные игры Дробышевская Н.В.  Модуль В  - только 14.10</t>
  </si>
  <si>
    <t>Пр. Иностранный язык  Переверзева Н.А. - 511 гл.к. (русский язык как иностранный для иностранных граждан: С2-07-26) - 10.09, 17.09, 24.09, 01.10, 08.10, 15.10, 22.10, 29.10, 05.11, 12.11, 19.11, 26.11, 03.12, 10.12, 17.12, 24.12</t>
  </si>
  <si>
    <t>Бокс, кикбоксинг ПСС 16.45-18.15 20СК, 21СК   03.09-26.12</t>
  </si>
  <si>
    <t>ПСС тхэквондо ВТФ 18.30-20.00 л/а манеж, модуль Г, 160мбк</t>
  </si>
  <si>
    <t>ПСС тяжелоатлетические виды спорта 42СК  с 04.09 - 09.10; ПСС тхэквондо ИТФ 16.40-18.10  207 мбк</t>
  </si>
  <si>
    <t>07.10-08.30</t>
  </si>
  <si>
    <t>ПСС киокусинкай л/а манеж, модуль Г, 231СК</t>
  </si>
  <si>
    <t>Киокусинкай, ушу</t>
  </si>
  <si>
    <t>Л - Демченко Н.С., Багомедов Х.А.</t>
  </si>
  <si>
    <t>П - Демченко Н.С., Багомедов Х.А.</t>
  </si>
  <si>
    <t>Демченко Н.С., Багомедов Х.А.</t>
  </si>
  <si>
    <t>киокусинкай, ушу, тхэквондо (ВТФ, ИТФ), тяжелоатлетические виды спорта</t>
  </si>
  <si>
    <t>Теория и методика каратэдо, киокусинкай, ушу, тхэквондо; профессионально-спортивное совершенствование (тхэквондо (ВТФ, ИТФ), киокусинкай, ушу)</t>
  </si>
  <si>
    <t>ПСС ушу 16.40-18.10 модуль Г, 159мбк</t>
  </si>
  <si>
    <t>Тхэквондо ВТФ - 160мбк, модуль Г, л/а манеж; Тхэквондо ИТФ - 207 мбк; киокусинкай - модуль Г, 231СК, , л/а манеж;  ушу - 159 мбк, модуль Г</t>
  </si>
  <si>
    <t>ПСС Армспорт, Самбо 14СК, 27СК; ПСС Греко-римская борьба, Дзюдо 14СК, 32СК; ПСС Вольная борьба, Служебно-прикладные единоборства 14СК, 27СК</t>
  </si>
  <si>
    <t>Фехтование, современное пятиборье</t>
  </si>
  <si>
    <t>Стрелковые виды спорта</t>
  </si>
  <si>
    <t>Л - Шамис В.В.(кроме вторник)</t>
  </si>
  <si>
    <t>П - Непошлова Е.М., Шамис В.В.(кроме вторник)</t>
  </si>
  <si>
    <t xml:space="preserve">П - Бородин А.Ю. </t>
  </si>
  <si>
    <t>Пр.  Теория и методика фехтования, современного пятиборья, стрелковых видов спорта Прил.1</t>
  </si>
  <si>
    <t>Пр. Теория и методика бокса, кикбоксинга, скалолазания Прил.1</t>
  </si>
  <si>
    <t>Бородин А.Ю.</t>
  </si>
  <si>
    <t>Л. Анатомия человека Силаева Л.В. 216 ауд.к.</t>
  </si>
  <si>
    <t>Л. Речевое общение в профессиональной деятельности Капустина Ю.А. 216 ауд.к.</t>
  </si>
  <si>
    <t>Л. Физическая культура и спорт Мачканова Е.В. 216 ауд.к.</t>
  </si>
  <si>
    <t>Полишките К.М.</t>
  </si>
  <si>
    <t>Пр. Использование электронной информационно-образовательной среды РУС "ГЦОЛИФК" Кузнецова Н.А.</t>
  </si>
  <si>
    <t>ПСС современное пятиборье, фехтование 246СК</t>
  </si>
  <si>
    <t>Сенатская В.Г.</t>
  </si>
  <si>
    <t>Пр. Физическая культура и спорт Трунева Т.В. 308 гл.к.- только 28.09</t>
  </si>
  <si>
    <t>Пр. Физическая культура и спорт Трунева Т.В.  308 гл.к. - только 30.09</t>
  </si>
  <si>
    <t>Пр. Физическая культура и спорт Трунева Т.В.  308 гл.к.</t>
  </si>
  <si>
    <t>Пр. Использование электронной информационно-образовательной среды РУС "ГЦОЛИФК" Шевцов А.В. 218 ауд.к.</t>
  </si>
  <si>
    <t>Пр. Физическая культура и спорт Трунева Т.В. 308 гл.к. - только 30.09</t>
  </si>
  <si>
    <t>Пр. Использование электронной информационно-образовательной среды РУС "ГЦОЛИФК" Мирошников А.Б. 214 ауд.к.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</si>
  <si>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514мбк</t>
    </r>
  </si>
  <si>
    <t>Пр. Анатомия человека Мештель А.В. 154мбк</t>
  </si>
  <si>
    <t>Пр. Физическая культура и спорт Трунева Т.В.  406 ауд.к.</t>
  </si>
  <si>
    <t>Пр. Речевое общение в профессиональной деятельности Капустина Ю.А. 406 ауд.к.</t>
  </si>
  <si>
    <t>Пр. Речевое общение в профессиональной деятельности Капустина Ю.А. 513 гл.к.</t>
  </si>
  <si>
    <t>Пр. Физическая культура и спорт Трунева Т.В. 308 гл.к.</t>
  </si>
  <si>
    <t>Пр. Анатомия человека Гричанова Т.Г. 151мбк</t>
  </si>
  <si>
    <t>Пр. Использование электронной информационно-образовательной среды РУС "ГЦОЛИФК" Шевцов А.В. 220ауд.к.</t>
  </si>
  <si>
    <t>Пр. Анатомия человека Мештель А.В. 72мбк</t>
  </si>
  <si>
    <t>Пр. Использование электронной информационно-образовательной среды РУС "ГЦОЛИФК" Кузнецова Н.А. 216ауд.к.</t>
  </si>
  <si>
    <t>Пр. Речевое общение в профессиональной деятельности Капустина Ю.А. 410 гл.к.</t>
  </si>
  <si>
    <t>Пр. Анатомия человека Сироткина Ю.А. 154мбк</t>
  </si>
  <si>
    <t>ПСС стрелковые виды спорта Тир "РУС "ГЦОЛИФК"</t>
  </si>
  <si>
    <t>1к ПСС скалолазание 05.10 по 29.10 скалодром РУС ГЦОЛИФК</t>
  </si>
  <si>
    <t>Пр. Использование электронной информационно-образовательной среды РУС "ГЦОЛИФК" Кузнецова Н.А. 216 ауд.к.</t>
  </si>
  <si>
    <t>Пр. Использование электронной информационно-образовательной среды РУС "ГЦОЛИФК" Шевцов А.В. 220 ауд.к.</t>
  </si>
  <si>
    <t>ПФС  фитнес-зал№83 теннисный центр  10.09 - 22.10</t>
  </si>
  <si>
    <t>Пр.  Теория и методика физкультурно-оздоровительной деятельности и фитнеса 213СК (2 п/группа)</t>
  </si>
  <si>
    <t>Пр. Теория и методика физкультурно-оздоровительной деятельности и фитнеса 213СК (1 п/группа)</t>
  </si>
  <si>
    <r>
      <t xml:space="preserve">Л. Теория и методика физкультурно-оздоровительной деятельности и фитнеса </t>
    </r>
    <r>
      <rPr>
        <b/>
        <sz val="26"/>
        <rFont val="Times New Roman"/>
        <family val="1"/>
        <charset val="204"/>
      </rPr>
      <t>ауд.</t>
    </r>
  </si>
  <si>
    <t>Пр.  Теория и методика физкультурно-оздоровительной деятельности и фитнеса фитнес-зал№83 теннисный центр (2 п/группа)</t>
  </si>
  <si>
    <t>ПФС  213СК  12.10 по 26.12 (2 п/группа)</t>
  </si>
  <si>
    <t>ПФС  213СК  12.10 по 26.12 (1 п/группа)</t>
  </si>
  <si>
    <t xml:space="preserve">П - Адамова И.В.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</si>
</sst>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7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Vrinda"/>
      <family val="2"/>
    </font>
    <font>
      <sz val="14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20"/>
      <color indexed="8"/>
      <name val="Calibri"/>
      <family val="2"/>
      <charset val="204"/>
    </font>
    <font>
      <sz val="22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18"/>
      <color indexed="8"/>
      <name val="Calibri"/>
      <family val="2"/>
      <charset val="204"/>
    </font>
    <font>
      <b/>
      <sz val="20"/>
      <name val="Arial Cyr"/>
      <charset val="204"/>
    </font>
    <font>
      <b/>
      <sz val="24"/>
      <color rgb="FF000000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u/>
      <sz val="20"/>
      <color indexed="8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2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26"/>
      <color indexed="8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b/>
      <u/>
      <sz val="22"/>
      <name val="Times New Roman"/>
      <family val="1"/>
      <charset val="204"/>
    </font>
    <font>
      <b/>
      <sz val="22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u/>
      <sz val="20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03">
    <xf numFmtId="0" fontId="0" fillId="0" borderId="0" xfId="0"/>
    <xf numFmtId="0" fontId="0" fillId="0" borderId="0" xfId="0" applyFill="1"/>
    <xf numFmtId="0" fontId="0" fillId="0" borderId="0" xfId="0" applyBorder="1"/>
    <xf numFmtId="0" fontId="13" fillId="0" borderId="0" xfId="0" applyFont="1"/>
    <xf numFmtId="0" fontId="15" fillId="2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7" fillId="0" borderId="0" xfId="0" applyFont="1" applyBorder="1"/>
    <xf numFmtId="0" fontId="18" fillId="2" borderId="0" xfId="0" applyFont="1" applyFill="1" applyBorder="1" applyAlignment="1">
      <alignment wrapText="1"/>
    </xf>
    <xf numFmtId="0" fontId="18" fillId="0" borderId="0" xfId="0" applyFont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20" fillId="0" borderId="0" xfId="0" applyFont="1" applyFill="1"/>
    <xf numFmtId="0" fontId="7" fillId="0" borderId="26" xfId="0" applyFont="1" applyFill="1" applyBorder="1"/>
    <xf numFmtId="0" fontId="7" fillId="3" borderId="26" xfId="0" applyFont="1" applyFill="1" applyBorder="1" applyAlignment="1">
      <alignment horizontal="center" vertical="center"/>
    </xf>
    <xf numFmtId="0" fontId="6" fillId="2" borderId="34" xfId="0" applyFont="1" applyFill="1" applyBorder="1" applyAlignment="1"/>
    <xf numFmtId="0" fontId="5" fillId="2" borderId="34" xfId="0" applyFont="1" applyFill="1" applyBorder="1" applyAlignment="1"/>
    <xf numFmtId="0" fontId="20" fillId="0" borderId="0" xfId="0" applyFont="1"/>
    <xf numFmtId="0" fontId="24" fillId="0" borderId="0" xfId="0" applyFont="1" applyFill="1"/>
    <xf numFmtId="0" fontId="21" fillId="0" borderId="26" xfId="0" applyFont="1" applyFill="1" applyBorder="1"/>
    <xf numFmtId="0" fontId="21" fillId="0" borderId="26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24" fillId="0" borderId="0" xfId="0" applyFont="1"/>
    <xf numFmtId="0" fontId="21" fillId="0" borderId="24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39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top" wrapText="1"/>
    </xf>
    <xf numFmtId="0" fontId="10" fillId="0" borderId="5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center" vertical="justify" wrapText="1"/>
    </xf>
    <xf numFmtId="0" fontId="21" fillId="0" borderId="9" xfId="0" applyFont="1" applyFill="1" applyBorder="1" applyAlignment="1">
      <alignment horizontal="center" vertical="top" wrapText="1"/>
    </xf>
    <xf numFmtId="0" fontId="21" fillId="0" borderId="5" xfId="0" applyFont="1" applyFill="1" applyBorder="1" applyAlignment="1">
      <alignment horizontal="center" vertical="top" wrapText="1"/>
    </xf>
    <xf numFmtId="0" fontId="21" fillId="0" borderId="7" xfId="0" applyFont="1" applyFill="1" applyBorder="1" applyAlignment="1">
      <alignment horizontal="center" vertical="justify" wrapText="1"/>
    </xf>
    <xf numFmtId="0" fontId="21" fillId="0" borderId="8" xfId="0" applyFont="1" applyFill="1" applyBorder="1" applyAlignment="1">
      <alignment horizontal="center" vertical="top" wrapText="1"/>
    </xf>
    <xf numFmtId="0" fontId="21" fillId="0" borderId="2" xfId="0" applyFont="1" applyFill="1" applyBorder="1" applyAlignment="1">
      <alignment horizontal="center" vertical="top" wrapText="1"/>
    </xf>
    <xf numFmtId="0" fontId="21" fillId="0" borderId="12" xfId="0" applyFont="1" applyFill="1" applyBorder="1" applyAlignment="1">
      <alignment horizontal="center" vertical="justify" wrapText="1"/>
    </xf>
    <xf numFmtId="0" fontId="10" fillId="0" borderId="27" xfId="0" applyFont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15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horizontal="center" vertical="justify" wrapText="1"/>
    </xf>
    <xf numFmtId="0" fontId="21" fillId="0" borderId="26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42" xfId="0" applyFont="1" applyFill="1" applyBorder="1" applyAlignment="1">
      <alignment horizontal="center" vertical="center" wrapText="1"/>
    </xf>
    <xf numFmtId="0" fontId="33" fillId="0" borderId="26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37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/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21" fillId="0" borderId="2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35" fillId="0" borderId="0" xfId="0" applyFont="1" applyFill="1"/>
    <xf numFmtId="0" fontId="36" fillId="0" borderId="0" xfId="0" applyFont="1" applyFill="1" applyBorder="1" applyAlignment="1"/>
    <xf numFmtId="0" fontId="21" fillId="0" borderId="0" xfId="0" applyFont="1" applyFill="1" applyBorder="1" applyAlignment="1"/>
    <xf numFmtId="0" fontId="21" fillId="0" borderId="19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/>
    <xf numFmtId="0" fontId="21" fillId="0" borderId="43" xfId="0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horizontal="center" vertical="center" wrapText="1"/>
    </xf>
    <xf numFmtId="0" fontId="10" fillId="0" borderId="26" xfId="0" applyFont="1" applyFill="1" applyBorder="1"/>
    <xf numFmtId="0" fontId="10" fillId="3" borderId="26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 wrapText="1"/>
    </xf>
    <xf numFmtId="0" fontId="34" fillId="0" borderId="26" xfId="0" applyFont="1" applyFill="1" applyBorder="1"/>
    <xf numFmtId="0" fontId="35" fillId="0" borderId="0" xfId="0" applyFont="1"/>
    <xf numFmtId="0" fontId="8" fillId="0" borderId="0" xfId="0" applyFont="1" applyAlignment="1"/>
    <xf numFmtId="0" fontId="21" fillId="0" borderId="0" xfId="0" applyFont="1" applyAlignment="1">
      <alignment horizontal="right"/>
    </xf>
    <xf numFmtId="0" fontId="21" fillId="0" borderId="0" xfId="0" applyFont="1" applyAlignment="1"/>
    <xf numFmtId="0" fontId="22" fillId="0" borderId="0" xfId="0" applyFont="1" applyAlignment="1"/>
    <xf numFmtId="0" fontId="21" fillId="2" borderId="0" xfId="0" applyFont="1" applyFill="1" applyBorder="1" applyAlignment="1"/>
    <xf numFmtId="0" fontId="0" fillId="4" borderId="0" xfId="0" applyFill="1"/>
    <xf numFmtId="0" fontId="35" fillId="4" borderId="0" xfId="0" applyFont="1" applyFill="1"/>
    <xf numFmtId="0" fontId="21" fillId="4" borderId="0" xfId="0" applyFont="1" applyFill="1" applyBorder="1" applyAlignment="1"/>
    <xf numFmtId="0" fontId="8" fillId="4" borderId="21" xfId="0" applyFont="1" applyFill="1" applyBorder="1" applyAlignment="1">
      <alignment horizontal="center" vertical="top" wrapText="1"/>
    </xf>
    <xf numFmtId="0" fontId="8" fillId="4" borderId="9" xfId="0" applyFont="1" applyFill="1" applyBorder="1" applyAlignment="1">
      <alignment horizontal="center" vertical="top" wrapText="1"/>
    </xf>
    <xf numFmtId="0" fontId="8" fillId="4" borderId="32" xfId="0" applyFont="1" applyFill="1" applyBorder="1" applyAlignment="1">
      <alignment horizontal="center" vertical="top" wrapText="1"/>
    </xf>
    <xf numFmtId="0" fontId="21" fillId="4" borderId="2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top" wrapText="1"/>
    </xf>
    <xf numFmtId="0" fontId="21" fillId="4" borderId="5" xfId="0" applyFont="1" applyFill="1" applyBorder="1" applyAlignment="1">
      <alignment horizontal="center" vertical="top" wrapText="1"/>
    </xf>
    <xf numFmtId="0" fontId="21" fillId="4" borderId="7" xfId="0" applyFont="1" applyFill="1" applyBorder="1" applyAlignment="1">
      <alignment horizontal="center" vertical="justify" wrapText="1"/>
    </xf>
    <xf numFmtId="0" fontId="21" fillId="4" borderId="5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left" vertical="center" wrapText="1"/>
    </xf>
    <xf numFmtId="0" fontId="32" fillId="4" borderId="0" xfId="0" applyFont="1" applyFill="1" applyAlignment="1">
      <alignment horizontal="center" vertical="center"/>
    </xf>
    <xf numFmtId="0" fontId="36" fillId="4" borderId="0" xfId="0" applyFont="1" applyFill="1" applyBorder="1" applyAlignment="1"/>
    <xf numFmtId="0" fontId="21" fillId="4" borderId="8" xfId="0" applyFont="1" applyFill="1" applyBorder="1" applyAlignment="1">
      <alignment horizontal="center" vertical="top" wrapText="1"/>
    </xf>
    <xf numFmtId="0" fontId="21" fillId="4" borderId="2" xfId="0" applyFont="1" applyFill="1" applyBorder="1" applyAlignment="1">
      <alignment horizontal="center" vertical="top" wrapText="1"/>
    </xf>
    <xf numFmtId="0" fontId="21" fillId="4" borderId="12" xfId="0" applyFont="1" applyFill="1" applyBorder="1" applyAlignment="1">
      <alignment horizontal="center" vertical="justify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3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left" vertical="center" wrapText="1"/>
    </xf>
    <xf numFmtId="0" fontId="20" fillId="4" borderId="0" xfId="0" applyFont="1" applyFill="1"/>
    <xf numFmtId="0" fontId="7" fillId="4" borderId="26" xfId="0" applyFont="1" applyFill="1" applyBorder="1"/>
    <xf numFmtId="0" fontId="7" fillId="4" borderId="26" xfId="0" applyFont="1" applyFill="1" applyBorder="1" applyAlignment="1">
      <alignment horizontal="center" vertical="center"/>
    </xf>
    <xf numFmtId="0" fontId="21" fillId="4" borderId="26" xfId="0" applyFont="1" applyFill="1" applyBorder="1"/>
    <xf numFmtId="0" fontId="21" fillId="4" borderId="2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 wrapText="1"/>
    </xf>
    <xf numFmtId="0" fontId="38" fillId="4" borderId="0" xfId="0" applyFont="1" applyFill="1"/>
    <xf numFmtId="0" fontId="21" fillId="4" borderId="10" xfId="0" applyFont="1" applyFill="1" applyBorder="1" applyAlignment="1">
      <alignment horizontal="center" vertical="justify" wrapText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 wrapText="1"/>
    </xf>
    <xf numFmtId="0" fontId="21" fillId="0" borderId="38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3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left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left" vertical="center" wrapText="1"/>
    </xf>
    <xf numFmtId="0" fontId="21" fillId="0" borderId="9" xfId="0" applyFont="1" applyFill="1" applyBorder="1" applyAlignment="1">
      <alignment horizontal="left" vertical="center" wrapText="1"/>
    </xf>
    <xf numFmtId="0" fontId="21" fillId="0" borderId="11" xfId="0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33" fillId="0" borderId="5" xfId="0" applyFont="1" applyFill="1" applyBorder="1" applyAlignment="1">
      <alignment horizontal="left" vertical="center" wrapText="1"/>
    </xf>
    <xf numFmtId="0" fontId="33" fillId="0" borderId="2" xfId="0" applyFont="1" applyFill="1" applyBorder="1" applyAlignment="1">
      <alignment horizontal="left" vertical="center" wrapText="1"/>
    </xf>
    <xf numFmtId="0" fontId="21" fillId="0" borderId="16" xfId="0" applyNumberFormat="1" applyFont="1" applyFill="1" applyBorder="1" applyAlignment="1">
      <alignment horizontal="left" vertical="center" wrapText="1"/>
    </xf>
    <xf numFmtId="0" fontId="21" fillId="0" borderId="12" xfId="0" applyNumberFormat="1" applyFont="1" applyFill="1" applyBorder="1" applyAlignment="1">
      <alignment horizontal="left" vertical="center" wrapText="1"/>
    </xf>
    <xf numFmtId="0" fontId="21" fillId="0" borderId="7" xfId="0" applyNumberFormat="1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top" wrapText="1"/>
    </xf>
    <xf numFmtId="0" fontId="21" fillId="6" borderId="21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top" wrapText="1"/>
    </xf>
    <xf numFmtId="0" fontId="21" fillId="6" borderId="20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justify" wrapText="1"/>
    </xf>
    <xf numFmtId="0" fontId="21" fillId="6" borderId="4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6" borderId="38" xfId="0" applyFont="1" applyFill="1" applyBorder="1" applyAlignment="1">
      <alignment horizontal="center" vertical="center" wrapText="1"/>
    </xf>
    <xf numFmtId="0" fontId="21" fillId="6" borderId="30" xfId="0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wrapText="1"/>
    </xf>
    <xf numFmtId="0" fontId="21" fillId="6" borderId="27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left" vertical="center" wrapText="1"/>
    </xf>
    <xf numFmtId="0" fontId="21" fillId="6" borderId="15" xfId="0" applyFont="1" applyFill="1" applyBorder="1" applyAlignment="1">
      <alignment horizontal="left" vertical="center" wrapText="1"/>
    </xf>
    <xf numFmtId="0" fontId="21" fillId="6" borderId="13" xfId="0" applyFont="1" applyFill="1" applyBorder="1" applyAlignment="1">
      <alignment horizontal="left" vertical="center" wrapText="1"/>
    </xf>
    <xf numFmtId="0" fontId="21" fillId="6" borderId="7" xfId="0" applyFont="1" applyFill="1" applyBorder="1" applyAlignment="1">
      <alignment horizontal="left" vertical="center" wrapText="1"/>
    </xf>
    <xf numFmtId="0" fontId="21" fillId="6" borderId="16" xfId="0" applyFont="1" applyFill="1" applyBorder="1" applyAlignment="1">
      <alignment horizontal="left" vertical="center" wrapText="1"/>
    </xf>
    <xf numFmtId="0" fontId="21" fillId="6" borderId="12" xfId="0" applyFont="1" applyFill="1" applyBorder="1" applyAlignment="1">
      <alignment horizontal="left" vertical="center" wrapText="1"/>
    </xf>
    <xf numFmtId="0" fontId="21" fillId="6" borderId="14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top" wrapText="1"/>
    </xf>
    <xf numFmtId="0" fontId="33" fillId="4" borderId="5" xfId="0" applyFont="1" applyFill="1" applyBorder="1" applyAlignment="1">
      <alignment horizontal="center" vertical="top" wrapText="1"/>
    </xf>
    <xf numFmtId="0" fontId="33" fillId="4" borderId="7" xfId="0" applyFont="1" applyFill="1" applyBorder="1" applyAlignment="1">
      <alignment horizontal="center" vertical="justify" wrapText="1"/>
    </xf>
    <xf numFmtId="0" fontId="21" fillId="0" borderId="39" xfId="0" applyFont="1" applyBorder="1" applyAlignment="1">
      <alignment horizontal="center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28" xfId="0" applyFont="1" applyFill="1" applyBorder="1" applyAlignment="1">
      <alignment horizontal="left" vertical="center" wrapText="1"/>
    </xf>
    <xf numFmtId="0" fontId="41" fillId="0" borderId="0" xfId="0" applyFont="1"/>
    <xf numFmtId="0" fontId="36" fillId="2" borderId="0" xfId="0" applyFont="1" applyFill="1" applyBorder="1" applyAlignment="1"/>
    <xf numFmtId="0" fontId="21" fillId="0" borderId="25" xfId="0" applyFont="1" applyBorder="1" applyAlignment="1">
      <alignment horizontal="center" vertical="center" wrapText="1"/>
    </xf>
    <xf numFmtId="0" fontId="35" fillId="0" borderId="0" xfId="0" applyFont="1" applyBorder="1"/>
    <xf numFmtId="0" fontId="21" fillId="0" borderId="46" xfId="0" applyFont="1" applyBorder="1" applyAlignment="1">
      <alignment horizontal="center" vertical="center" wrapText="1"/>
    </xf>
    <xf numFmtId="0" fontId="21" fillId="0" borderId="44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33" fillId="0" borderId="27" xfId="0" applyFont="1" applyFill="1" applyBorder="1" applyAlignment="1">
      <alignment horizontal="center" vertical="center" wrapText="1"/>
    </xf>
    <xf numFmtId="0" fontId="21" fillId="0" borderId="40" xfId="0" applyFont="1" applyFill="1" applyBorder="1" applyAlignment="1">
      <alignment horizontal="center" vertical="center" wrapText="1"/>
    </xf>
    <xf numFmtId="0" fontId="21" fillId="0" borderId="29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left" vertical="center" wrapText="1"/>
    </xf>
    <xf numFmtId="0" fontId="21" fillId="0" borderId="3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21" fillId="4" borderId="36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46" fillId="0" borderId="0" xfId="0" applyFont="1" applyFill="1"/>
    <xf numFmtId="0" fontId="23" fillId="0" borderId="0" xfId="0" applyFont="1"/>
    <xf numFmtId="0" fontId="31" fillId="0" borderId="0" xfId="0" applyFont="1"/>
    <xf numFmtId="0" fontId="46" fillId="4" borderId="0" xfId="0" applyFont="1" applyFill="1"/>
    <xf numFmtId="0" fontId="31" fillId="8" borderId="0" xfId="0" applyFont="1" applyFill="1"/>
    <xf numFmtId="0" fontId="35" fillId="0" borderId="0" xfId="0" applyFont="1" applyAlignment="1"/>
    <xf numFmtId="0" fontId="35" fillId="0" borderId="47" xfId="0" applyFont="1" applyBorder="1" applyAlignment="1"/>
    <xf numFmtId="0" fontId="21" fillId="0" borderId="45" xfId="0" applyFont="1" applyFill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0" fillId="0" borderId="0" xfId="0" applyFont="1"/>
    <xf numFmtId="0" fontId="50" fillId="0" borderId="0" xfId="0" applyFont="1" applyAlignment="1">
      <alignment horizontal="center" vertical="center"/>
    </xf>
    <xf numFmtId="0" fontId="50" fillId="0" borderId="49" xfId="0" applyFont="1" applyBorder="1"/>
    <xf numFmtId="0" fontId="50" fillId="0" borderId="50" xfId="0" applyFont="1" applyBorder="1" applyAlignment="1">
      <alignment horizontal="center" vertical="center"/>
    </xf>
    <xf numFmtId="0" fontId="50" fillId="0" borderId="50" xfId="0" applyFont="1" applyBorder="1"/>
    <xf numFmtId="0" fontId="50" fillId="0" borderId="55" xfId="0" applyFont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 wrapText="1"/>
    </xf>
    <xf numFmtId="0" fontId="26" fillId="0" borderId="28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33" fillId="4" borderId="26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52" fillId="0" borderId="46" xfId="0" applyFont="1" applyBorder="1" applyAlignment="1">
      <alignment horizontal="center" vertical="center" wrapText="1"/>
    </xf>
    <xf numFmtId="0" fontId="33" fillId="4" borderId="37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0" fontId="21" fillId="4" borderId="41" xfId="0" applyFont="1" applyFill="1" applyBorder="1" applyAlignment="1">
      <alignment horizontal="left" vertical="center" wrapText="1"/>
    </xf>
    <xf numFmtId="0" fontId="21" fillId="4" borderId="28" xfId="0" applyFont="1" applyFill="1" applyBorder="1" applyAlignment="1">
      <alignment horizontal="left" vertical="center" wrapText="1"/>
    </xf>
    <xf numFmtId="0" fontId="55" fillId="4" borderId="26" xfId="0" applyFont="1" applyFill="1" applyBorder="1" applyAlignment="1">
      <alignment vertical="center" wrapText="1"/>
    </xf>
    <xf numFmtId="0" fontId="55" fillId="4" borderId="37" xfId="0" applyFont="1" applyFill="1" applyBorder="1" applyAlignment="1">
      <alignment vertical="center" wrapText="1"/>
    </xf>
    <xf numFmtId="0" fontId="55" fillId="4" borderId="27" xfId="0" applyFont="1" applyFill="1" applyBorder="1" applyAlignment="1">
      <alignment vertical="center" wrapText="1"/>
    </xf>
    <xf numFmtId="0" fontId="21" fillId="4" borderId="29" xfId="0" applyFont="1" applyFill="1" applyBorder="1" applyAlignment="1">
      <alignment horizontal="left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left" vertical="center" wrapText="1"/>
    </xf>
    <xf numFmtId="0" fontId="33" fillId="4" borderId="5" xfId="0" applyFont="1" applyFill="1" applyBorder="1" applyAlignment="1">
      <alignment horizontal="center" vertical="center" wrapText="1"/>
    </xf>
    <xf numFmtId="0" fontId="33" fillId="4" borderId="15" xfId="0" applyFont="1" applyFill="1" applyBorder="1" applyAlignment="1">
      <alignment horizontal="center" vertical="center" wrapText="1"/>
    </xf>
    <xf numFmtId="0" fontId="33" fillId="4" borderId="18" xfId="0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26" fillId="4" borderId="23" xfId="0" applyFont="1" applyFill="1" applyBorder="1" applyAlignment="1">
      <alignment horizontal="center" vertical="center" wrapText="1"/>
    </xf>
    <xf numFmtId="0" fontId="26" fillId="4" borderId="24" xfId="0" applyFont="1" applyFill="1" applyBorder="1" applyAlignment="1">
      <alignment horizontal="center" vertical="center" wrapText="1"/>
    </xf>
    <xf numFmtId="0" fontId="26" fillId="4" borderId="37" xfId="0" applyFont="1" applyFill="1" applyBorder="1" applyAlignment="1">
      <alignment horizontal="center" vertical="center" wrapText="1"/>
    </xf>
    <xf numFmtId="0" fontId="26" fillId="4" borderId="26" xfId="0" applyFont="1" applyFill="1" applyBorder="1" applyAlignment="1">
      <alignment horizontal="center" vertical="center" wrapText="1"/>
    </xf>
    <xf numFmtId="0" fontId="54" fillId="4" borderId="26" xfId="0" applyFont="1" applyFill="1" applyBorder="1" applyAlignment="1">
      <alignment horizontal="center" vertical="center" wrapText="1"/>
    </xf>
    <xf numFmtId="0" fontId="26" fillId="4" borderId="39" xfId="0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horizontal="center" vertical="center" wrapText="1"/>
    </xf>
    <xf numFmtId="0" fontId="26" fillId="0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0" fontId="54" fillId="0" borderId="44" xfId="0" applyFont="1" applyBorder="1" applyAlignment="1">
      <alignment horizontal="center" vertical="center" wrapText="1"/>
    </xf>
    <xf numFmtId="0" fontId="26" fillId="4" borderId="41" xfId="0" applyFont="1" applyFill="1" applyBorder="1" applyAlignment="1">
      <alignment horizontal="center" vertical="center" wrapText="1"/>
    </xf>
    <xf numFmtId="0" fontId="54" fillId="0" borderId="46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52" fillId="0" borderId="35" xfId="0" applyFont="1" applyBorder="1" applyAlignment="1">
      <alignment horizontal="center" vertical="center" wrapText="1"/>
    </xf>
    <xf numFmtId="0" fontId="54" fillId="0" borderId="35" xfId="0" applyFont="1" applyBorder="1" applyAlignment="1">
      <alignment horizontal="center" vertical="center" wrapText="1"/>
    </xf>
    <xf numFmtId="0" fontId="52" fillId="0" borderId="44" xfId="0" applyFont="1" applyBorder="1" applyAlignment="1">
      <alignment horizontal="center" vertical="center" wrapText="1"/>
    </xf>
    <xf numFmtId="0" fontId="52" fillId="8" borderId="22" xfId="0" applyFont="1" applyFill="1" applyBorder="1" applyAlignment="1">
      <alignment horizontal="center" vertical="center" wrapText="1"/>
    </xf>
    <xf numFmtId="0" fontId="52" fillId="8" borderId="46" xfId="0" applyFont="1" applyFill="1" applyBorder="1" applyAlignment="1">
      <alignment horizontal="center" vertical="center" wrapText="1"/>
    </xf>
    <xf numFmtId="0" fontId="52" fillId="0" borderId="52" xfId="0" applyFont="1" applyBorder="1" applyAlignment="1">
      <alignment horizontal="center" vertical="center" wrapText="1"/>
    </xf>
    <xf numFmtId="0" fontId="52" fillId="0" borderId="61" xfId="0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52" fillId="8" borderId="44" xfId="0" applyFont="1" applyFill="1" applyBorder="1" applyAlignment="1">
      <alignment horizontal="center" vertical="center" wrapText="1"/>
    </xf>
    <xf numFmtId="0" fontId="52" fillId="8" borderId="35" xfId="0" applyFont="1" applyFill="1" applyBorder="1" applyAlignment="1">
      <alignment horizontal="center" vertical="center" wrapText="1"/>
    </xf>
    <xf numFmtId="0" fontId="54" fillId="8" borderId="46" xfId="0" applyFont="1" applyFill="1" applyBorder="1" applyAlignment="1">
      <alignment horizontal="center" vertical="center" wrapText="1"/>
    </xf>
    <xf numFmtId="0" fontId="52" fillId="4" borderId="44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justify" wrapText="1"/>
    </xf>
    <xf numFmtId="0" fontId="26" fillId="4" borderId="25" xfId="0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 wrapText="1"/>
    </xf>
    <xf numFmtId="0" fontId="52" fillId="4" borderId="46" xfId="0" applyFont="1" applyFill="1" applyBorder="1" applyAlignment="1">
      <alignment horizontal="center" vertical="center" wrapText="1"/>
    </xf>
    <xf numFmtId="0" fontId="52" fillId="4" borderId="35" xfId="0" applyFont="1" applyFill="1" applyBorder="1" applyAlignment="1">
      <alignment horizontal="center" vertical="center" wrapText="1"/>
    </xf>
    <xf numFmtId="0" fontId="52" fillId="4" borderId="36" xfId="0" applyFont="1" applyFill="1" applyBorder="1" applyAlignment="1">
      <alignment horizontal="center" vertical="center" wrapText="1"/>
    </xf>
    <xf numFmtId="0" fontId="52" fillId="4" borderId="22" xfId="0" applyFont="1" applyFill="1" applyBorder="1" applyAlignment="1">
      <alignment horizontal="center" vertical="center" wrapText="1"/>
    </xf>
    <xf numFmtId="0" fontId="52" fillId="4" borderId="11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41" xfId="0" applyFont="1" applyFill="1" applyBorder="1" applyAlignment="1">
      <alignment vertical="center" wrapText="1"/>
    </xf>
    <xf numFmtId="0" fontId="21" fillId="0" borderId="28" xfId="0" applyFont="1" applyFill="1" applyBorder="1" applyAlignment="1">
      <alignment vertical="center" wrapText="1"/>
    </xf>
    <xf numFmtId="0" fontId="21" fillId="0" borderId="29" xfId="0" applyFont="1" applyFill="1" applyBorder="1" applyAlignment="1">
      <alignment vertical="center" wrapText="1"/>
    </xf>
    <xf numFmtId="0" fontId="54" fillId="4" borderId="27" xfId="0" applyFont="1" applyFill="1" applyBorder="1" applyAlignment="1">
      <alignment horizontal="center" vertical="center" wrapText="1"/>
    </xf>
    <xf numFmtId="0" fontId="26" fillId="0" borderId="41" xfId="0" applyFont="1" applyFill="1" applyBorder="1" applyAlignment="1">
      <alignment horizontal="left" vertical="center" wrapText="1"/>
    </xf>
    <xf numFmtId="0" fontId="26" fillId="0" borderId="28" xfId="0" applyFont="1" applyFill="1" applyBorder="1" applyAlignment="1">
      <alignment horizontal="left" vertical="center" wrapText="1"/>
    </xf>
    <xf numFmtId="0" fontId="26" fillId="0" borderId="29" xfId="0" applyFont="1" applyFill="1" applyBorder="1" applyAlignment="1">
      <alignment horizontal="left" vertical="center" wrapText="1"/>
    </xf>
    <xf numFmtId="0" fontId="53" fillId="8" borderId="23" xfId="0" applyFont="1" applyFill="1" applyBorder="1" applyAlignment="1">
      <alignment horizontal="center" vertical="top" wrapText="1"/>
    </xf>
    <xf numFmtId="0" fontId="58" fillId="0" borderId="27" xfId="0" applyFont="1" applyBorder="1" applyAlignment="1">
      <alignment horizontal="center" vertical="center" wrapText="1"/>
    </xf>
    <xf numFmtId="0" fontId="33" fillId="8" borderId="49" xfId="0" applyFont="1" applyFill="1" applyBorder="1" applyAlignment="1">
      <alignment horizontal="center" vertical="center" wrapText="1"/>
    </xf>
    <xf numFmtId="0" fontId="33" fillId="8" borderId="64" xfId="0" applyFont="1" applyFill="1" applyBorder="1" applyAlignment="1">
      <alignment horizontal="center" vertical="center" wrapText="1"/>
    </xf>
    <xf numFmtId="0" fontId="33" fillId="8" borderId="51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4" borderId="28" xfId="0" applyFont="1" applyFill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 wrapText="1"/>
    </xf>
    <xf numFmtId="0" fontId="52" fillId="8" borderId="36" xfId="0" applyFont="1" applyFill="1" applyBorder="1" applyAlignment="1">
      <alignment horizontal="center" vertical="center" wrapText="1"/>
    </xf>
    <xf numFmtId="0" fontId="52" fillId="8" borderId="11" xfId="0" applyFont="1" applyFill="1" applyBorder="1" applyAlignment="1">
      <alignment horizontal="center" vertical="center" wrapText="1"/>
    </xf>
    <xf numFmtId="0" fontId="52" fillId="8" borderId="52" xfId="0" applyFont="1" applyFill="1" applyBorder="1" applyAlignment="1">
      <alignment horizontal="center" vertical="center" wrapText="1"/>
    </xf>
    <xf numFmtId="0" fontId="54" fillId="8" borderId="61" xfId="0" applyFont="1" applyFill="1" applyBorder="1" applyAlignment="1">
      <alignment horizontal="center" vertical="center" wrapText="1"/>
    </xf>
    <xf numFmtId="0" fontId="52" fillId="8" borderId="61" xfId="0" applyFont="1" applyFill="1" applyBorder="1" applyAlignment="1">
      <alignment horizontal="center" vertical="center" wrapText="1"/>
    </xf>
    <xf numFmtId="0" fontId="52" fillId="8" borderId="62" xfId="0" applyFont="1" applyFill="1" applyBorder="1" applyAlignment="1">
      <alignment horizontal="center" vertical="center" wrapText="1"/>
    </xf>
    <xf numFmtId="0" fontId="52" fillId="0" borderId="52" xfId="0" applyFont="1" applyBorder="1" applyAlignment="1">
      <alignment horizontal="left" vertical="center" wrapText="1"/>
    </xf>
    <xf numFmtId="0" fontId="52" fillId="0" borderId="61" xfId="0" applyFont="1" applyBorder="1" applyAlignment="1">
      <alignment horizontal="left" vertical="center" wrapText="1"/>
    </xf>
    <xf numFmtId="0" fontId="26" fillId="4" borderId="44" xfId="0" applyFont="1" applyFill="1" applyBorder="1" applyAlignment="1">
      <alignment horizontal="center" vertical="center" wrapText="1"/>
    </xf>
    <xf numFmtId="0" fontId="26" fillId="4" borderId="43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3" fillId="4" borderId="31" xfId="0" applyFont="1" applyFill="1" applyBorder="1" applyAlignment="1">
      <alignment horizontal="center" vertical="center" wrapText="1"/>
    </xf>
    <xf numFmtId="0" fontId="52" fillId="4" borderId="23" xfId="0" applyFont="1" applyFill="1" applyBorder="1" applyAlignment="1">
      <alignment horizontal="center" vertical="center" wrapText="1"/>
    </xf>
    <xf numFmtId="0" fontId="26" fillId="4" borderId="42" xfId="0" applyFont="1" applyFill="1" applyBorder="1" applyAlignment="1">
      <alignment horizontal="center" vertical="center" wrapText="1"/>
    </xf>
    <xf numFmtId="0" fontId="52" fillId="4" borderId="28" xfId="0" applyFont="1" applyFill="1" applyBorder="1" applyAlignment="1">
      <alignment horizontal="center" vertical="center" wrapText="1"/>
    </xf>
    <xf numFmtId="0" fontId="54" fillId="4" borderId="37" xfId="0" applyFont="1" applyFill="1" applyBorder="1" applyAlignment="1">
      <alignment horizontal="center" vertical="center" wrapText="1"/>
    </xf>
    <xf numFmtId="0" fontId="54" fillId="4" borderId="25" xfId="0" applyFont="1" applyFill="1" applyBorder="1" applyAlignment="1">
      <alignment horizontal="center" vertical="center" wrapText="1"/>
    </xf>
    <xf numFmtId="0" fontId="52" fillId="4" borderId="24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 wrapText="1"/>
    </xf>
    <xf numFmtId="0" fontId="52" fillId="9" borderId="23" xfId="0" applyFont="1" applyFill="1" applyBorder="1" applyAlignment="1">
      <alignment horizontal="center" vertical="center" wrapText="1"/>
    </xf>
    <xf numFmtId="0" fontId="52" fillId="9" borderId="24" xfId="0" applyFont="1" applyFill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4" fillId="0" borderId="66" xfId="0" applyFont="1" applyFill="1" applyBorder="1" applyAlignment="1">
      <alignment horizontal="center" vertical="center" wrapText="1"/>
    </xf>
    <xf numFmtId="0" fontId="34" fillId="0" borderId="67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3" fillId="0" borderId="65" xfId="0" applyFont="1" applyBorder="1" applyAlignment="1">
      <alignment horizontal="center" vertical="center" wrapText="1"/>
    </xf>
    <xf numFmtId="0" fontId="52" fillId="8" borderId="26" xfId="0" applyFont="1" applyFill="1" applyBorder="1" applyAlignment="1">
      <alignment horizontal="center" vertical="center" wrapText="1"/>
    </xf>
    <xf numFmtId="0" fontId="58" fillId="0" borderId="43" xfId="0" applyFont="1" applyBorder="1" applyAlignment="1">
      <alignment horizontal="center" vertical="center" wrapText="1"/>
    </xf>
    <xf numFmtId="0" fontId="33" fillId="0" borderId="36" xfId="0" applyFont="1" applyFill="1" applyBorder="1" applyAlignment="1">
      <alignment horizontal="center" vertical="center" wrapText="1"/>
    </xf>
    <xf numFmtId="0" fontId="33" fillId="0" borderId="23" xfId="0" applyFont="1" applyFill="1" applyBorder="1" applyAlignment="1">
      <alignment horizontal="center" vertical="center" wrapText="1"/>
    </xf>
    <xf numFmtId="0" fontId="33" fillId="0" borderId="24" xfId="0" applyFont="1" applyFill="1" applyBorder="1" applyAlignment="1">
      <alignment horizontal="center" vertical="center" wrapText="1"/>
    </xf>
    <xf numFmtId="0" fontId="33" fillId="0" borderId="37" xfId="0" applyFont="1" applyFill="1" applyBorder="1" applyAlignment="1">
      <alignment horizontal="center" vertical="center" wrapText="1"/>
    </xf>
    <xf numFmtId="0" fontId="33" fillId="0" borderId="41" xfId="0" applyFont="1" applyFill="1" applyBorder="1" applyAlignment="1">
      <alignment horizontal="left" vertical="center" wrapText="1"/>
    </xf>
    <xf numFmtId="0" fontId="33" fillId="0" borderId="28" xfId="0" applyFont="1" applyFill="1" applyBorder="1" applyAlignment="1">
      <alignment horizontal="left" vertical="center" wrapText="1"/>
    </xf>
    <xf numFmtId="0" fontId="33" fillId="0" borderId="29" xfId="0" applyFont="1" applyFill="1" applyBorder="1" applyAlignment="1">
      <alignment horizontal="left" vertical="center" wrapText="1"/>
    </xf>
    <xf numFmtId="0" fontId="21" fillId="4" borderId="26" xfId="0" applyFont="1" applyFill="1" applyBorder="1" applyAlignment="1">
      <alignment horizontal="left" vertical="center" wrapText="1"/>
    </xf>
    <xf numFmtId="0" fontId="21" fillId="4" borderId="37" xfId="0" applyFont="1" applyFill="1" applyBorder="1" applyAlignment="1">
      <alignment horizontal="left" vertical="center" wrapText="1"/>
    </xf>
    <xf numFmtId="0" fontId="21" fillId="4" borderId="27" xfId="0" applyFont="1" applyFill="1" applyBorder="1" applyAlignment="1">
      <alignment horizontal="left" vertical="center" wrapText="1"/>
    </xf>
    <xf numFmtId="0" fontId="21" fillId="4" borderId="17" xfId="0" applyFont="1" applyFill="1" applyBorder="1" applyAlignment="1">
      <alignment horizontal="center" vertical="top" wrapText="1"/>
    </xf>
    <xf numFmtId="0" fontId="52" fillId="9" borderId="26" xfId="0" applyFont="1" applyFill="1" applyBorder="1" applyAlignment="1">
      <alignment horizontal="center" vertical="center" wrapText="1"/>
    </xf>
    <xf numFmtId="0" fontId="52" fillId="9" borderId="27" xfId="0" applyFont="1" applyFill="1" applyBorder="1" applyAlignment="1">
      <alignment horizontal="center" vertical="center" wrapText="1"/>
    </xf>
    <xf numFmtId="0" fontId="54" fillId="4" borderId="23" xfId="0" applyFont="1" applyFill="1" applyBorder="1" applyAlignment="1">
      <alignment horizontal="center" vertical="center" wrapText="1"/>
    </xf>
    <xf numFmtId="0" fontId="26" fillId="4" borderId="29" xfId="0" applyNumberFormat="1" applyFont="1" applyFill="1" applyBorder="1" applyAlignment="1">
      <alignment horizontal="center" vertical="center" wrapText="1"/>
    </xf>
    <xf numFmtId="0" fontId="26" fillId="4" borderId="41" xfId="0" applyFont="1" applyFill="1" applyBorder="1" applyAlignment="1">
      <alignment horizontal="left" vertical="center" wrapText="1"/>
    </xf>
    <xf numFmtId="0" fontId="26" fillId="4" borderId="28" xfId="0" applyFont="1" applyFill="1" applyBorder="1" applyAlignment="1">
      <alignment horizontal="left" vertical="center" wrapText="1"/>
    </xf>
    <xf numFmtId="0" fontId="54" fillId="8" borderId="37" xfId="0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3" fillId="4" borderId="17" xfId="0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vertical="center" wrapText="1"/>
    </xf>
    <xf numFmtId="0" fontId="33" fillId="0" borderId="66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27" fillId="0" borderId="44" xfId="0" applyFont="1" applyBorder="1" applyAlignment="1">
      <alignment vertical="center" wrapText="1"/>
    </xf>
    <xf numFmtId="0" fontId="27" fillId="0" borderId="43" xfId="0" applyFont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21" fillId="4" borderId="41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0" fontId="21" fillId="4" borderId="58" xfId="0" applyFont="1" applyFill="1" applyBorder="1" applyAlignment="1">
      <alignment horizontal="center" vertical="justify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33" fillId="4" borderId="25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23" fillId="4" borderId="44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 wrapText="1"/>
    </xf>
    <xf numFmtId="0" fontId="23" fillId="4" borderId="3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justify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justify" wrapText="1"/>
    </xf>
    <xf numFmtId="0" fontId="22" fillId="7" borderId="23" xfId="0" applyFont="1" applyFill="1" applyBorder="1" applyAlignment="1">
      <alignment vertical="center" wrapText="1"/>
    </xf>
    <xf numFmtId="0" fontId="22" fillId="7" borderId="24" xfId="0" applyFont="1" applyFill="1" applyBorder="1" applyAlignment="1">
      <alignment vertical="center" wrapText="1"/>
    </xf>
    <xf numFmtId="0" fontId="54" fillId="9" borderId="37" xfId="0" applyFont="1" applyFill="1" applyBorder="1" applyAlignment="1">
      <alignment horizontal="center" vertical="center" wrapText="1"/>
    </xf>
    <xf numFmtId="0" fontId="54" fillId="9" borderId="26" xfId="0" applyFont="1" applyFill="1" applyBorder="1" applyAlignment="1">
      <alignment horizontal="center" vertical="center" wrapText="1"/>
    </xf>
    <xf numFmtId="0" fontId="54" fillId="9" borderId="27" xfId="0" applyFont="1" applyFill="1" applyBorder="1" applyAlignment="1">
      <alignment horizontal="center" vertical="center" wrapText="1"/>
    </xf>
    <xf numFmtId="0" fontId="26" fillId="4" borderId="45" xfId="0" applyFont="1" applyFill="1" applyBorder="1" applyAlignment="1">
      <alignment horizontal="center" vertical="center" wrapText="1"/>
    </xf>
    <xf numFmtId="0" fontId="54" fillId="4" borderId="41" xfId="0" applyFont="1" applyFill="1" applyBorder="1" applyAlignment="1">
      <alignment horizontal="center" vertical="center" wrapText="1"/>
    </xf>
    <xf numFmtId="0" fontId="54" fillId="4" borderId="28" xfId="0" applyFont="1" applyFill="1" applyBorder="1" applyAlignment="1">
      <alignment horizontal="center" vertical="center" wrapText="1"/>
    </xf>
    <xf numFmtId="0" fontId="54" fillId="4" borderId="29" xfId="0" applyFont="1" applyFill="1" applyBorder="1" applyAlignment="1">
      <alignment horizontal="center" vertical="center" wrapText="1"/>
    </xf>
    <xf numFmtId="0" fontId="52" fillId="0" borderId="26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4" fillId="9" borderId="23" xfId="0" applyFont="1" applyFill="1" applyBorder="1" applyAlignment="1">
      <alignment horizontal="center" vertical="center" wrapText="1"/>
    </xf>
    <xf numFmtId="0" fontId="57" fillId="10" borderId="36" xfId="0" applyFont="1" applyFill="1" applyBorder="1" applyAlignment="1">
      <alignment horizontal="left" vertical="center"/>
    </xf>
    <xf numFmtId="0" fontId="22" fillId="10" borderId="27" xfId="0" applyFont="1" applyFill="1" applyBorder="1" applyAlignment="1">
      <alignment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60" fillId="4" borderId="26" xfId="0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54" fillId="8" borderId="44" xfId="0" applyFont="1" applyFill="1" applyBorder="1" applyAlignment="1">
      <alignment horizontal="center" vertical="center" wrapText="1"/>
    </xf>
    <xf numFmtId="0" fontId="54" fillId="8" borderId="27" xfId="0" applyFont="1" applyFill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0" fillId="0" borderId="37" xfId="0" applyBorder="1"/>
    <xf numFmtId="0" fontId="54" fillId="9" borderId="4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54" fillId="4" borderId="44" xfId="0" applyFont="1" applyFill="1" applyBorder="1" applyAlignment="1">
      <alignment horizontal="center" vertical="center" wrapText="1"/>
    </xf>
    <xf numFmtId="0" fontId="54" fillId="4" borderId="43" xfId="0" applyFont="1" applyFill="1" applyBorder="1" applyAlignment="1">
      <alignment horizontal="center" vertical="center" wrapText="1"/>
    </xf>
    <xf numFmtId="0" fontId="33" fillId="4" borderId="41" xfId="0" applyFont="1" applyFill="1" applyBorder="1" applyAlignment="1">
      <alignment horizontal="center" vertical="center" wrapText="1"/>
    </xf>
    <xf numFmtId="0" fontId="33" fillId="4" borderId="29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top" wrapText="1"/>
    </xf>
    <xf numFmtId="0" fontId="33" fillId="4" borderId="2" xfId="0" applyFont="1" applyFill="1" applyBorder="1" applyAlignment="1">
      <alignment horizontal="center" vertical="top" wrapText="1"/>
    </xf>
    <xf numFmtId="0" fontId="33" fillId="4" borderId="12" xfId="0" applyFont="1" applyFill="1" applyBorder="1" applyAlignment="1">
      <alignment horizontal="center" vertical="justify" wrapText="1"/>
    </xf>
    <xf numFmtId="0" fontId="33" fillId="4" borderId="26" xfId="0" applyFont="1" applyFill="1" applyBorder="1" applyAlignment="1">
      <alignment vertical="center" wrapText="1"/>
    </xf>
    <xf numFmtId="0" fontId="54" fillId="8" borderId="25" xfId="0" applyFont="1" applyFill="1" applyBorder="1" applyAlignment="1">
      <alignment horizontal="center" vertical="center" wrapText="1"/>
    </xf>
    <xf numFmtId="0" fontId="54" fillId="8" borderId="13" xfId="0" applyFont="1" applyFill="1" applyBorder="1" applyAlignment="1">
      <alignment horizontal="center" vertical="center" wrapText="1"/>
    </xf>
    <xf numFmtId="0" fontId="54" fillId="8" borderId="35" xfId="0" applyFont="1" applyFill="1" applyBorder="1" applyAlignment="1">
      <alignment horizontal="center" vertical="center" wrapText="1"/>
    </xf>
    <xf numFmtId="0" fontId="49" fillId="4" borderId="0" xfId="0" applyFont="1" applyFill="1" applyAlignment="1">
      <alignment horizontal="right"/>
    </xf>
    <xf numFmtId="0" fontId="46" fillId="4" borderId="0" xfId="0" applyFont="1" applyFill="1" applyAlignment="1">
      <alignment horizontal="right" vertical="center"/>
    </xf>
    <xf numFmtId="0" fontId="33" fillId="4" borderId="65" xfId="0" applyFont="1" applyFill="1" applyBorder="1" applyAlignment="1">
      <alignment horizontal="center" vertical="center" wrapText="1"/>
    </xf>
    <xf numFmtId="0" fontId="34" fillId="4" borderId="65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54" fillId="9" borderId="25" xfId="0" applyFont="1" applyFill="1" applyBorder="1" applyAlignment="1">
      <alignment horizontal="center" vertical="center" wrapText="1"/>
    </xf>
    <xf numFmtId="0" fontId="54" fillId="9" borderId="35" xfId="0" applyFont="1" applyFill="1" applyBorder="1" applyAlignment="1">
      <alignment horizontal="center" vertical="center" wrapText="1"/>
    </xf>
    <xf numFmtId="0" fontId="54" fillId="9" borderId="46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 wrapText="1"/>
    </xf>
    <xf numFmtId="0" fontId="54" fillId="9" borderId="43" xfId="0" applyFont="1" applyFill="1" applyBorder="1" applyAlignment="1">
      <alignment horizontal="center" vertical="center" wrapText="1"/>
    </xf>
    <xf numFmtId="0" fontId="54" fillId="4" borderId="22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52" fillId="9" borderId="13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center" vertical="center" wrapText="1"/>
    </xf>
    <xf numFmtId="0" fontId="52" fillId="4" borderId="37" xfId="0" applyFont="1" applyFill="1" applyBorder="1" applyAlignment="1">
      <alignment horizontal="center" vertical="center" wrapText="1"/>
    </xf>
    <xf numFmtId="0" fontId="33" fillId="4" borderId="30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45" fillId="0" borderId="26" xfId="0" applyFont="1" applyBorder="1" applyAlignment="1">
      <alignment vertical="center" wrapText="1"/>
    </xf>
    <xf numFmtId="0" fontId="45" fillId="0" borderId="37" xfId="0" applyFont="1" applyBorder="1" applyAlignment="1">
      <alignment vertical="center" wrapText="1"/>
    </xf>
    <xf numFmtId="0" fontId="45" fillId="0" borderId="27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7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Border="1"/>
    <xf numFmtId="0" fontId="34" fillId="8" borderId="4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1" fillId="11" borderId="26" xfId="0" applyFont="1" applyFill="1" applyBorder="1"/>
    <xf numFmtId="0" fontId="33" fillId="9" borderId="29" xfId="0" applyFont="1" applyFill="1" applyBorder="1" applyAlignment="1">
      <alignment vertical="center" wrapText="1"/>
    </xf>
    <xf numFmtId="0" fontId="33" fillId="4" borderId="26" xfId="0" applyFont="1" applyFill="1" applyBorder="1" applyAlignment="1">
      <alignment horizontal="left" vertical="center" wrapText="1"/>
    </xf>
    <xf numFmtId="0" fontId="33" fillId="9" borderId="27" xfId="0" applyFont="1" applyFill="1" applyBorder="1" applyAlignment="1">
      <alignment vertical="center" wrapText="1"/>
    </xf>
    <xf numFmtId="0" fontId="26" fillId="4" borderId="28" xfId="0" applyNumberFormat="1" applyFont="1" applyFill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54" fillId="8" borderId="24" xfId="0" applyFont="1" applyFill="1" applyBorder="1" applyAlignment="1">
      <alignment horizontal="center" vertical="center" wrapText="1"/>
    </xf>
    <xf numFmtId="0" fontId="54" fillId="8" borderId="26" xfId="0" applyFont="1" applyFill="1" applyBorder="1" applyAlignment="1">
      <alignment horizontal="center" vertical="center" wrapText="1"/>
    </xf>
    <xf numFmtId="0" fontId="54" fillId="8" borderId="23" xfId="0" applyFont="1" applyFill="1" applyBorder="1" applyAlignment="1">
      <alignment horizontal="center" vertical="center" wrapText="1"/>
    </xf>
    <xf numFmtId="0" fontId="54" fillId="9" borderId="36" xfId="0" applyFont="1" applyFill="1" applyBorder="1" applyAlignment="1">
      <alignment horizontal="center" vertical="center" wrapText="1"/>
    </xf>
    <xf numFmtId="0" fontId="54" fillId="0" borderId="26" xfId="0" applyFont="1" applyFill="1" applyBorder="1"/>
    <xf numFmtId="0" fontId="52" fillId="9" borderId="43" xfId="0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3" fillId="4" borderId="26" xfId="0" applyFont="1" applyFill="1" applyBorder="1" applyAlignment="1">
      <alignment horizontal="center" vertical="center" wrapText="1"/>
    </xf>
    <xf numFmtId="0" fontId="33" fillId="4" borderId="36" xfId="0" applyFont="1" applyFill="1" applyBorder="1" applyAlignment="1">
      <alignment horizontal="center" vertical="center" wrapText="1"/>
    </xf>
    <xf numFmtId="0" fontId="33" fillId="4" borderId="24" xfId="0" applyFont="1" applyFill="1" applyBorder="1" applyAlignment="1">
      <alignment horizontal="center" vertical="center" wrapText="1"/>
    </xf>
    <xf numFmtId="0" fontId="33" fillId="4" borderId="27" xfId="0" applyFont="1" applyFill="1" applyBorder="1" applyAlignment="1">
      <alignment horizontal="center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33" fillId="4" borderId="27" xfId="0" applyFont="1" applyFill="1" applyBorder="1" applyAlignment="1">
      <alignment horizontal="left" vertical="center" wrapText="1"/>
    </xf>
    <xf numFmtId="0" fontId="33" fillId="4" borderId="41" xfId="0" applyFont="1" applyFill="1" applyBorder="1" applyAlignment="1">
      <alignment horizontal="left" vertical="center" wrapText="1"/>
    </xf>
    <xf numFmtId="0" fontId="33" fillId="4" borderId="28" xfId="0" applyFont="1" applyFill="1" applyBorder="1" applyAlignment="1">
      <alignment horizontal="left" vertical="center" wrapText="1"/>
    </xf>
    <xf numFmtId="0" fontId="33" fillId="4" borderId="29" xfId="0" applyFont="1" applyFill="1" applyBorder="1" applyAlignment="1">
      <alignment horizontal="left" vertical="center" wrapText="1"/>
    </xf>
    <xf numFmtId="0" fontId="50" fillId="0" borderId="41" xfId="0" applyFont="1" applyFill="1" applyBorder="1" applyAlignment="1">
      <alignment horizontal="center" vertical="center"/>
    </xf>
    <xf numFmtId="0" fontId="26" fillId="12" borderId="36" xfId="0" applyFont="1" applyFill="1" applyBorder="1" applyAlignment="1">
      <alignment horizontal="center" vertical="center" wrapText="1"/>
    </xf>
    <xf numFmtId="0" fontId="26" fillId="12" borderId="23" xfId="0" applyFont="1" applyFill="1" applyBorder="1" applyAlignment="1">
      <alignment horizontal="center" vertical="center" wrapText="1"/>
    </xf>
    <xf numFmtId="0" fontId="26" fillId="12" borderId="37" xfId="0" applyFont="1" applyFill="1" applyBorder="1" applyAlignment="1">
      <alignment horizontal="center" vertical="center" wrapText="1"/>
    </xf>
    <xf numFmtId="0" fontId="26" fillId="12" borderId="26" xfId="0" applyFont="1" applyFill="1" applyBorder="1" applyAlignment="1">
      <alignment horizontal="center" vertical="center" wrapText="1"/>
    </xf>
    <xf numFmtId="0" fontId="26" fillId="12" borderId="27" xfId="0" applyFont="1" applyFill="1" applyBorder="1" applyAlignment="1">
      <alignment horizontal="center" vertical="center" wrapText="1"/>
    </xf>
    <xf numFmtId="0" fontId="26" fillId="12" borderId="28" xfId="0" applyFont="1" applyFill="1" applyBorder="1" applyAlignment="1">
      <alignment horizontal="center" vertical="center" wrapText="1"/>
    </xf>
    <xf numFmtId="0" fontId="54" fillId="12" borderId="26" xfId="0" applyFont="1" applyFill="1" applyBorder="1" applyAlignment="1">
      <alignment horizontal="center" vertical="center" wrapText="1"/>
    </xf>
    <xf numFmtId="0" fontId="26" fillId="12" borderId="25" xfId="0" applyFont="1" applyFill="1" applyBorder="1" applyAlignment="1">
      <alignment horizontal="center" vertical="center" wrapText="1"/>
    </xf>
    <xf numFmtId="0" fontId="26" fillId="12" borderId="41" xfId="0" applyFont="1" applyFill="1" applyBorder="1" applyAlignment="1">
      <alignment horizontal="left" vertical="center" wrapText="1"/>
    </xf>
    <xf numFmtId="0" fontId="26" fillId="12" borderId="14" xfId="0" applyFont="1" applyFill="1" applyBorder="1" applyAlignment="1">
      <alignment horizontal="center" vertical="center" wrapText="1"/>
    </xf>
    <xf numFmtId="0" fontId="26" fillId="12" borderId="28" xfId="0" applyFont="1" applyFill="1" applyBorder="1" applyAlignment="1">
      <alignment horizontal="left" vertical="center" wrapText="1"/>
    </xf>
    <xf numFmtId="0" fontId="33" fillId="9" borderId="26" xfId="0" applyFont="1" applyFill="1" applyBorder="1"/>
    <xf numFmtId="0" fontId="33" fillId="9" borderId="43" xfId="0" applyFont="1" applyFill="1" applyBorder="1"/>
    <xf numFmtId="0" fontId="21" fillId="12" borderId="26" xfId="0" applyFont="1" applyFill="1" applyBorder="1"/>
    <xf numFmtId="0" fontId="33" fillId="9" borderId="41" xfId="0" applyFont="1" applyFill="1" applyBorder="1" applyAlignment="1">
      <alignment vertical="center" wrapText="1"/>
    </xf>
    <xf numFmtId="0" fontId="33" fillId="4" borderId="28" xfId="0" applyFont="1" applyFill="1" applyBorder="1" applyAlignment="1">
      <alignment vertical="center" wrapText="1"/>
    </xf>
    <xf numFmtId="0" fontId="33" fillId="9" borderId="28" xfId="0" applyFont="1" applyFill="1" applyBorder="1" applyAlignment="1">
      <alignment vertical="center" wrapText="1"/>
    </xf>
    <xf numFmtId="0" fontId="54" fillId="9" borderId="37" xfId="0" applyFont="1" applyFill="1" applyBorder="1" applyAlignment="1">
      <alignment horizontal="left" vertical="center" wrapText="1"/>
    </xf>
    <xf numFmtId="0" fontId="33" fillId="4" borderId="66" xfId="0" applyFont="1" applyFill="1" applyBorder="1" applyAlignment="1">
      <alignment horizontal="center" vertical="center" wrapText="1"/>
    </xf>
    <xf numFmtId="0" fontId="54" fillId="4" borderId="36" xfId="0" applyFont="1" applyFill="1" applyBorder="1" applyAlignment="1">
      <alignment horizontal="center" vertical="center" wrapText="1"/>
    </xf>
    <xf numFmtId="0" fontId="54" fillId="4" borderId="24" xfId="0" applyFont="1" applyFill="1" applyBorder="1" applyAlignment="1">
      <alignment horizontal="center" vertical="center" wrapText="1"/>
    </xf>
    <xf numFmtId="0" fontId="54" fillId="9" borderId="13" xfId="0" applyFont="1" applyFill="1" applyBorder="1" applyAlignment="1">
      <alignment horizontal="center" vertical="center" wrapText="1"/>
    </xf>
    <xf numFmtId="0" fontId="54" fillId="9" borderId="17" xfId="0" applyFont="1" applyFill="1" applyBorder="1" applyAlignment="1">
      <alignment horizontal="center" vertical="center" wrapText="1"/>
    </xf>
    <xf numFmtId="0" fontId="54" fillId="12" borderId="36" xfId="0" applyFont="1" applyFill="1" applyBorder="1" applyAlignment="1">
      <alignment horizontal="center" vertical="center" wrapText="1"/>
    </xf>
    <xf numFmtId="0" fontId="54" fillId="12" borderId="23" xfId="0" applyFont="1" applyFill="1" applyBorder="1" applyAlignment="1">
      <alignment horizontal="center" vertical="center" wrapText="1"/>
    </xf>
    <xf numFmtId="0" fontId="54" fillId="12" borderId="24" xfId="0" applyFont="1" applyFill="1" applyBorder="1" applyAlignment="1">
      <alignment horizontal="center" vertical="center" wrapText="1"/>
    </xf>
    <xf numFmtId="0" fontId="54" fillId="13" borderId="37" xfId="0" applyFont="1" applyFill="1" applyBorder="1" applyAlignment="1">
      <alignment horizontal="center" vertical="center" wrapText="1"/>
    </xf>
    <xf numFmtId="0" fontId="54" fillId="13" borderId="25" xfId="0" applyFont="1" applyFill="1" applyBorder="1" applyAlignment="1">
      <alignment horizontal="center" vertical="center" wrapText="1"/>
    </xf>
    <xf numFmtId="0" fontId="54" fillId="13" borderId="27" xfId="0" applyFont="1" applyFill="1" applyBorder="1" applyAlignment="1">
      <alignment horizontal="center" vertical="center" wrapText="1"/>
    </xf>
    <xf numFmtId="0" fontId="54" fillId="13" borderId="26" xfId="0" applyFont="1" applyFill="1" applyBorder="1" applyAlignment="1">
      <alignment horizontal="center" vertical="center" wrapText="1"/>
    </xf>
    <xf numFmtId="0" fontId="33" fillId="12" borderId="41" xfId="0" applyFont="1" applyFill="1" applyBorder="1" applyAlignment="1">
      <alignment horizontal="center" vertical="center" wrapText="1"/>
    </xf>
    <xf numFmtId="0" fontId="33" fillId="12" borderId="28" xfId="0" applyFont="1" applyFill="1" applyBorder="1" applyAlignment="1">
      <alignment horizontal="center" vertical="center" wrapText="1"/>
    </xf>
    <xf numFmtId="0" fontId="33" fillId="12" borderId="29" xfId="0" applyFont="1" applyFill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0" fontId="52" fillId="12" borderId="24" xfId="0" applyFont="1" applyFill="1" applyBorder="1" applyAlignment="1">
      <alignment horizontal="center" vertical="center" wrapText="1"/>
    </xf>
    <xf numFmtId="0" fontId="52" fillId="13" borderId="26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/>
    </xf>
    <xf numFmtId="0" fontId="21" fillId="12" borderId="43" xfId="0" applyFont="1" applyFill="1" applyBorder="1"/>
    <xf numFmtId="0" fontId="21" fillId="4" borderId="43" xfId="0" applyFont="1" applyFill="1" applyBorder="1" applyAlignment="1">
      <alignment horizontal="center" vertical="center"/>
    </xf>
    <xf numFmtId="0" fontId="35" fillId="0" borderId="1" xfId="0" applyFont="1" applyFill="1" applyBorder="1"/>
    <xf numFmtId="0" fontId="21" fillId="4" borderId="23" xfId="0" applyFont="1" applyFill="1" applyBorder="1"/>
    <xf numFmtId="0" fontId="21" fillId="4" borderId="23" xfId="0" applyFont="1" applyFill="1" applyBorder="1" applyAlignment="1">
      <alignment horizontal="center" vertical="center"/>
    </xf>
    <xf numFmtId="0" fontId="24" fillId="0" borderId="3" xfId="0" applyFont="1" applyFill="1" applyBorder="1"/>
    <xf numFmtId="0" fontId="21" fillId="4" borderId="28" xfId="0" applyFont="1" applyFill="1" applyBorder="1"/>
    <xf numFmtId="0" fontId="21" fillId="4" borderId="28" xfId="0" applyFont="1" applyFill="1" applyBorder="1" applyAlignment="1">
      <alignment horizontal="center" vertical="center"/>
    </xf>
    <xf numFmtId="0" fontId="33" fillId="4" borderId="42" xfId="0" applyFont="1" applyFill="1" applyBorder="1" applyAlignment="1">
      <alignment horizontal="center" vertical="center" wrapText="1"/>
    </xf>
    <xf numFmtId="0" fontId="33" fillId="4" borderId="39" xfId="0" applyFont="1" applyFill="1" applyBorder="1" applyAlignment="1">
      <alignment horizontal="center" vertical="center" wrapText="1"/>
    </xf>
    <xf numFmtId="0" fontId="33" fillId="4" borderId="40" xfId="0" applyFont="1" applyFill="1" applyBorder="1" applyAlignment="1">
      <alignment horizontal="center" vertical="center" wrapText="1"/>
    </xf>
    <xf numFmtId="0" fontId="54" fillId="4" borderId="42" xfId="0" applyFont="1" applyFill="1" applyBorder="1" applyAlignment="1">
      <alignment horizontal="center" vertical="center" wrapText="1"/>
    </xf>
    <xf numFmtId="0" fontId="54" fillId="4" borderId="39" xfId="0" applyFont="1" applyFill="1" applyBorder="1" applyAlignment="1">
      <alignment horizontal="center" vertical="center" wrapText="1"/>
    </xf>
    <xf numFmtId="0" fontId="54" fillId="4" borderId="40" xfId="0" applyFont="1" applyFill="1" applyBorder="1" applyAlignment="1">
      <alignment horizontal="center" vertical="center" wrapText="1"/>
    </xf>
    <xf numFmtId="0" fontId="52" fillId="4" borderId="43" xfId="0" applyFont="1" applyFill="1" applyBorder="1" applyAlignment="1">
      <alignment horizontal="center" vertical="center" wrapText="1"/>
    </xf>
    <xf numFmtId="0" fontId="52" fillId="4" borderId="45" xfId="0" applyFont="1" applyFill="1" applyBorder="1" applyAlignment="1">
      <alignment horizontal="center" vertical="center" wrapText="1"/>
    </xf>
    <xf numFmtId="0" fontId="21" fillId="12" borderId="39" xfId="0" applyFont="1" applyFill="1" applyBorder="1"/>
    <xf numFmtId="0" fontId="4" fillId="0" borderId="0" xfId="0" applyFont="1" applyBorder="1"/>
    <xf numFmtId="0" fontId="33" fillId="4" borderId="23" xfId="0" applyFont="1" applyFill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0" fontId="33" fillId="4" borderId="26" xfId="0" applyFont="1" applyFill="1" applyBorder="1" applyAlignment="1">
      <alignment horizontal="center" vertical="center" wrapText="1"/>
    </xf>
    <xf numFmtId="0" fontId="54" fillId="9" borderId="24" xfId="0" applyFont="1" applyFill="1" applyBorder="1" applyAlignment="1">
      <alignment horizontal="center" vertical="center" wrapText="1"/>
    </xf>
    <xf numFmtId="0" fontId="26" fillId="12" borderId="24" xfId="0" applyFont="1" applyFill="1" applyBorder="1" applyAlignment="1">
      <alignment horizontal="center" vertical="center" wrapText="1"/>
    </xf>
    <xf numFmtId="0" fontId="26" fillId="12" borderId="41" xfId="0" applyFont="1" applyFill="1" applyBorder="1" applyAlignment="1">
      <alignment horizontal="center" vertical="center" wrapText="1"/>
    </xf>
    <xf numFmtId="0" fontId="26" fillId="12" borderId="29" xfId="0" applyFont="1" applyFill="1" applyBorder="1" applyAlignment="1">
      <alignment horizontal="center" vertical="center" wrapText="1"/>
    </xf>
    <xf numFmtId="0" fontId="52" fillId="12" borderId="44" xfId="0" applyFont="1" applyFill="1" applyBorder="1" applyAlignment="1">
      <alignment horizontal="center" vertical="center" wrapText="1"/>
    </xf>
    <xf numFmtId="0" fontId="52" fillId="12" borderId="43" xfId="0" applyFont="1" applyFill="1" applyBorder="1" applyAlignment="1">
      <alignment horizontal="center" vertical="center" wrapText="1"/>
    </xf>
    <xf numFmtId="0" fontId="52" fillId="12" borderId="45" xfId="0" applyFont="1" applyFill="1" applyBorder="1" applyAlignment="1">
      <alignment horizontal="center" vertical="center" wrapText="1"/>
    </xf>
    <xf numFmtId="0" fontId="52" fillId="13" borderId="37" xfId="0" applyFont="1" applyFill="1" applyBorder="1" applyAlignment="1">
      <alignment horizontal="center" vertical="center" wrapText="1"/>
    </xf>
    <xf numFmtId="0" fontId="52" fillId="13" borderId="27" xfId="0" applyFont="1" applyFill="1" applyBorder="1" applyAlignment="1">
      <alignment horizontal="center" vertical="center" wrapText="1"/>
    </xf>
    <xf numFmtId="0" fontId="26" fillId="12" borderId="28" xfId="0" applyNumberFormat="1" applyFont="1" applyFill="1" applyBorder="1" applyAlignment="1">
      <alignment horizontal="center" vertical="center" wrapText="1"/>
    </xf>
    <xf numFmtId="0" fontId="26" fillId="12" borderId="29" xfId="0" applyFont="1" applyFill="1" applyBorder="1" applyAlignment="1">
      <alignment horizontal="center" vertical="center"/>
    </xf>
    <xf numFmtId="0" fontId="33" fillId="12" borderId="36" xfId="0" applyFont="1" applyFill="1" applyBorder="1" applyAlignment="1">
      <alignment horizontal="center" vertical="center" wrapText="1"/>
    </xf>
    <xf numFmtId="0" fontId="33" fillId="12" borderId="23" xfId="0" applyFont="1" applyFill="1" applyBorder="1" applyAlignment="1">
      <alignment horizontal="center" vertical="center" wrapText="1"/>
    </xf>
    <xf numFmtId="0" fontId="33" fillId="12" borderId="24" xfId="0" applyFont="1" applyFill="1" applyBorder="1" applyAlignment="1">
      <alignment horizontal="center" vertical="center" wrapText="1"/>
    </xf>
    <xf numFmtId="0" fontId="33" fillId="12" borderId="37" xfId="0" applyFont="1" applyFill="1" applyBorder="1" applyAlignment="1">
      <alignment horizontal="center" vertical="center" wrapText="1"/>
    </xf>
    <xf numFmtId="0" fontId="33" fillId="12" borderId="26" xfId="0" applyFont="1" applyFill="1" applyBorder="1" applyAlignment="1">
      <alignment horizontal="center" vertical="center" wrapText="1"/>
    </xf>
    <xf numFmtId="0" fontId="33" fillId="12" borderId="27" xfId="0" applyFont="1" applyFill="1" applyBorder="1" applyAlignment="1">
      <alignment horizontal="center" vertical="center" wrapText="1"/>
    </xf>
    <xf numFmtId="0" fontId="33" fillId="12" borderId="37" xfId="0" applyFont="1" applyFill="1" applyBorder="1" applyAlignment="1">
      <alignment horizontal="left" vertical="center" wrapText="1"/>
    </xf>
    <xf numFmtId="0" fontId="33" fillId="12" borderId="26" xfId="0" applyFont="1" applyFill="1" applyBorder="1" applyAlignment="1">
      <alignment horizontal="left" vertical="center" wrapText="1"/>
    </xf>
    <xf numFmtId="0" fontId="33" fillId="12" borderId="27" xfId="0" applyFont="1" applyFill="1" applyBorder="1" applyAlignment="1">
      <alignment horizontal="left" vertical="center" wrapText="1"/>
    </xf>
    <xf numFmtId="0" fontId="33" fillId="12" borderId="41" xfId="0" applyFont="1" applyFill="1" applyBorder="1" applyAlignment="1">
      <alignment horizontal="left" vertical="center" wrapText="1"/>
    </xf>
    <xf numFmtId="0" fontId="33" fillId="12" borderId="28" xfId="0" applyFont="1" applyFill="1" applyBorder="1" applyAlignment="1">
      <alignment horizontal="left" vertical="center" wrapText="1"/>
    </xf>
    <xf numFmtId="0" fontId="33" fillId="12" borderId="29" xfId="0" applyFont="1" applyFill="1" applyBorder="1" applyAlignment="1">
      <alignment horizontal="left" vertical="center" wrapText="1"/>
    </xf>
    <xf numFmtId="0" fontId="33" fillId="4" borderId="26" xfId="0" applyFont="1" applyFill="1" applyBorder="1"/>
    <xf numFmtId="0" fontId="33" fillId="8" borderId="26" xfId="0" applyFont="1" applyFill="1" applyBorder="1"/>
    <xf numFmtId="0" fontId="63" fillId="4" borderId="26" xfId="0" applyFont="1" applyFill="1" applyBorder="1" applyAlignment="1">
      <alignment horizontal="center" vertical="center" wrapText="1"/>
    </xf>
    <xf numFmtId="0" fontId="50" fillId="0" borderId="3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  <xf numFmtId="0" fontId="63" fillId="8" borderId="28" xfId="0" applyFont="1" applyFill="1" applyBorder="1" applyAlignment="1">
      <alignment horizontal="center" vertical="center" wrapText="1"/>
    </xf>
    <xf numFmtId="0" fontId="63" fillId="8" borderId="14" xfId="0" applyFont="1" applyFill="1" applyBorder="1" applyAlignment="1">
      <alignment horizontal="center" vertical="center" wrapText="1"/>
    </xf>
    <xf numFmtId="0" fontId="33" fillId="9" borderId="36" xfId="0" applyFont="1" applyFill="1" applyBorder="1" applyAlignment="1">
      <alignment vertical="center" wrapText="1"/>
    </xf>
    <xf numFmtId="0" fontId="33" fillId="4" borderId="23" xfId="0" applyFont="1" applyFill="1" applyBorder="1" applyAlignment="1">
      <alignment vertical="center" wrapText="1"/>
    </xf>
    <xf numFmtId="0" fontId="33" fillId="4" borderId="24" xfId="0" applyFont="1" applyFill="1" applyBorder="1" applyAlignment="1">
      <alignment vertical="center" wrapText="1"/>
    </xf>
    <xf numFmtId="0" fontId="33" fillId="4" borderId="29" xfId="0" applyFont="1" applyFill="1" applyBorder="1" applyAlignment="1">
      <alignment vertical="center" wrapText="1"/>
    </xf>
    <xf numFmtId="0" fontId="33" fillId="9" borderId="42" xfId="0" applyFont="1" applyFill="1" applyBorder="1" applyAlignment="1">
      <alignment vertical="center" wrapText="1"/>
    </xf>
    <xf numFmtId="0" fontId="33" fillId="4" borderId="39" xfId="0" applyFont="1" applyFill="1" applyBorder="1" applyAlignment="1">
      <alignment vertical="center" wrapText="1"/>
    </xf>
    <xf numFmtId="0" fontId="33" fillId="4" borderId="40" xfId="0" applyFont="1" applyFill="1" applyBorder="1" applyAlignment="1">
      <alignment vertical="center" wrapText="1"/>
    </xf>
    <xf numFmtId="0" fontId="54" fillId="9" borderId="28" xfId="0" applyFont="1" applyFill="1" applyBorder="1" applyAlignment="1">
      <alignment horizontal="left" vertical="center" wrapText="1"/>
    </xf>
    <xf numFmtId="0" fontId="54" fillId="9" borderId="29" xfId="0" applyFont="1" applyFill="1" applyBorder="1" applyAlignment="1">
      <alignment horizontal="left" vertical="center" wrapText="1"/>
    </xf>
    <xf numFmtId="0" fontId="33" fillId="4" borderId="27" xfId="0" applyFont="1" applyFill="1" applyBorder="1" applyAlignment="1">
      <alignment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63" fillId="4" borderId="27" xfId="0" applyFont="1" applyFill="1" applyBorder="1" applyAlignment="1">
      <alignment horizontal="center" vertical="center" wrapText="1"/>
    </xf>
    <xf numFmtId="0" fontId="54" fillId="9" borderId="27" xfId="0" applyFont="1" applyFill="1" applyBorder="1" applyAlignment="1">
      <alignment horizontal="left" vertical="center" wrapText="1"/>
    </xf>
    <xf numFmtId="0" fontId="22" fillId="9" borderId="42" xfId="0" applyFont="1" applyFill="1" applyBorder="1" applyAlignment="1">
      <alignment vertical="center" wrapText="1"/>
    </xf>
    <xf numFmtId="0" fontId="22" fillId="9" borderId="37" xfId="0" applyFont="1" applyFill="1" applyBorder="1" applyAlignment="1">
      <alignment vertical="center" wrapText="1"/>
    </xf>
    <xf numFmtId="0" fontId="54" fillId="8" borderId="36" xfId="0" applyFont="1" applyFill="1" applyBorder="1" applyAlignment="1">
      <alignment horizontal="center" vertical="center" wrapText="1"/>
    </xf>
    <xf numFmtId="0" fontId="34" fillId="8" borderId="65" xfId="0" applyFont="1" applyFill="1" applyBorder="1" applyAlignment="1">
      <alignment horizontal="center" vertical="center" wrapText="1"/>
    </xf>
    <xf numFmtId="0" fontId="34" fillId="0" borderId="68" xfId="0" applyFont="1" applyBorder="1" applyAlignment="1">
      <alignment horizontal="center" vertical="center" wrapText="1"/>
    </xf>
    <xf numFmtId="0" fontId="34" fillId="0" borderId="69" xfId="0" applyFont="1" applyBorder="1" applyAlignment="1">
      <alignment horizontal="center" vertical="center" wrapText="1"/>
    </xf>
    <xf numFmtId="0" fontId="33" fillId="8" borderId="65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0" fontId="33" fillId="8" borderId="68" xfId="0" applyFont="1" applyFill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0" fontId="52" fillId="8" borderId="27" xfId="0" applyFont="1" applyFill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0" fontId="54" fillId="8" borderId="13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8" xfId="0" applyBorder="1"/>
    <xf numFmtId="0" fontId="33" fillId="8" borderId="45" xfId="0" applyFont="1" applyFill="1" applyBorder="1" applyAlignment="1">
      <alignment vertical="center" wrapText="1"/>
    </xf>
    <xf numFmtId="0" fontId="33" fillId="8" borderId="70" xfId="0" applyFont="1" applyFill="1" applyBorder="1" applyAlignment="1">
      <alignment vertical="center" wrapText="1"/>
    </xf>
    <xf numFmtId="0" fontId="0" fillId="0" borderId="39" xfId="0" applyBorder="1"/>
    <xf numFmtId="0" fontId="33" fillId="8" borderId="71" xfId="0" applyFont="1" applyFill="1" applyBorder="1" applyAlignment="1">
      <alignment vertical="center" wrapText="1"/>
    </xf>
    <xf numFmtId="0" fontId="52" fillId="8" borderId="37" xfId="0" applyFont="1" applyFill="1" applyBorder="1" applyAlignment="1">
      <alignment horizontal="center" vertical="center" wrapText="1"/>
    </xf>
    <xf numFmtId="0" fontId="54" fillId="8" borderId="43" xfId="0" applyFont="1" applyFill="1" applyBorder="1" applyAlignment="1">
      <alignment horizontal="center" vertical="center" wrapText="1"/>
    </xf>
    <xf numFmtId="0" fontId="54" fillId="8" borderId="45" xfId="0" applyFont="1" applyFill="1" applyBorder="1" applyAlignment="1">
      <alignment horizontal="center" vertical="center" wrapText="1"/>
    </xf>
    <xf numFmtId="0" fontId="58" fillId="0" borderId="17" xfId="0" applyFont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0" fontId="52" fillId="9" borderId="36" xfId="0" applyFont="1" applyFill="1" applyBorder="1" applyAlignment="1">
      <alignment horizontal="center" vertical="center" wrapText="1"/>
    </xf>
    <xf numFmtId="0" fontId="58" fillId="0" borderId="44" xfId="0" applyFont="1" applyBorder="1" applyAlignment="1">
      <alignment horizontal="center" vertical="center" wrapText="1"/>
    </xf>
    <xf numFmtId="0" fontId="48" fillId="0" borderId="49" xfId="0" applyFont="1" applyBorder="1" applyAlignment="1">
      <alignment horizontal="center" vertical="center" wrapText="1"/>
    </xf>
    <xf numFmtId="0" fontId="48" fillId="0" borderId="54" xfId="0" applyFont="1" applyBorder="1" applyAlignment="1">
      <alignment horizontal="center" vertical="center" wrapText="1"/>
    </xf>
    <xf numFmtId="0" fontId="33" fillId="4" borderId="50" xfId="0" applyFont="1" applyFill="1" applyBorder="1" applyAlignment="1">
      <alignment horizontal="center" vertical="center" wrapText="1"/>
    </xf>
    <xf numFmtId="0" fontId="33" fillId="4" borderId="48" xfId="0" applyFont="1" applyFill="1" applyBorder="1" applyAlignment="1">
      <alignment horizontal="center" vertical="center" wrapText="1"/>
    </xf>
    <xf numFmtId="49" fontId="34" fillId="4" borderId="50" xfId="0" applyNumberFormat="1" applyFont="1" applyFill="1" applyBorder="1" applyAlignment="1">
      <alignment horizontal="center" vertical="center" wrapText="1"/>
    </xf>
    <xf numFmtId="49" fontId="34" fillId="4" borderId="48" xfId="0" applyNumberFormat="1" applyFont="1" applyFill="1" applyBorder="1" applyAlignment="1">
      <alignment horizontal="center" vertical="center" wrapText="1"/>
    </xf>
    <xf numFmtId="0" fontId="34" fillId="4" borderId="55" xfId="0" applyFont="1" applyFill="1" applyBorder="1" applyAlignment="1">
      <alignment horizontal="center" vertical="center" wrapText="1"/>
    </xf>
    <xf numFmtId="0" fontId="34" fillId="4" borderId="56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49" fontId="34" fillId="4" borderId="53" xfId="0" applyNumberFormat="1" applyFont="1" applyFill="1" applyBorder="1" applyAlignment="1">
      <alignment horizontal="center" vertical="center" wrapText="1"/>
    </xf>
    <xf numFmtId="0" fontId="34" fillId="4" borderId="57" xfId="0" applyFont="1" applyFill="1" applyBorder="1" applyAlignment="1">
      <alignment horizontal="center" vertical="center" wrapText="1"/>
    </xf>
    <xf numFmtId="0" fontId="33" fillId="9" borderId="17" xfId="0" applyFont="1" applyFill="1" applyBorder="1" applyAlignment="1">
      <alignment horizontal="center" vertical="center" wrapText="1"/>
    </xf>
    <xf numFmtId="0" fontId="33" fillId="9" borderId="19" xfId="0" applyFont="1" applyFill="1" applyBorder="1" applyAlignment="1">
      <alignment horizontal="center" vertical="center" wrapText="1"/>
    </xf>
    <xf numFmtId="0" fontId="33" fillId="9" borderId="35" xfId="0" applyFont="1" applyFill="1" applyBorder="1" applyAlignment="1">
      <alignment horizontal="center" vertical="center" wrapText="1"/>
    </xf>
    <xf numFmtId="0" fontId="33" fillId="4" borderId="12" xfId="0" applyFont="1" applyFill="1" applyBorder="1" applyAlignment="1">
      <alignment horizontal="center" vertical="center" wrapText="1"/>
    </xf>
    <xf numFmtId="0" fontId="33" fillId="4" borderId="16" xfId="0" applyFont="1" applyFill="1" applyBorder="1" applyAlignment="1">
      <alignment horizontal="center" vertical="center" wrapText="1"/>
    </xf>
    <xf numFmtId="0" fontId="33" fillId="4" borderId="14" xfId="0" applyFont="1" applyFill="1" applyBorder="1" applyAlignment="1">
      <alignment horizontal="center" vertical="center" wrapText="1"/>
    </xf>
    <xf numFmtId="0" fontId="33" fillId="4" borderId="53" xfId="0" applyFont="1" applyFill="1" applyBorder="1" applyAlignment="1">
      <alignment horizontal="center" vertical="center" wrapText="1"/>
    </xf>
    <xf numFmtId="0" fontId="48" fillId="0" borderId="36" xfId="0" applyFont="1" applyBorder="1" applyAlignment="1">
      <alignment horizontal="center" vertical="center" wrapText="1"/>
    </xf>
    <xf numFmtId="0" fontId="48" fillId="0" borderId="41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center" vertical="center" wrapText="1"/>
    </xf>
    <xf numFmtId="49" fontId="34" fillId="4" borderId="23" xfId="0" applyNumberFormat="1" applyFont="1" applyFill="1" applyBorder="1" applyAlignment="1">
      <alignment horizontal="center" vertical="center" wrapText="1"/>
    </xf>
    <xf numFmtId="49" fontId="34" fillId="4" borderId="28" xfId="0" applyNumberFormat="1" applyFont="1" applyFill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/>
    </xf>
    <xf numFmtId="0" fontId="51" fillId="0" borderId="54" xfId="0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 wrapText="1"/>
    </xf>
    <xf numFmtId="0" fontId="51" fillId="0" borderId="48" xfId="0" applyFont="1" applyBorder="1" applyAlignment="1">
      <alignment horizontal="center" vertical="center" wrapText="1"/>
    </xf>
    <xf numFmtId="0" fontId="51" fillId="0" borderId="55" xfId="0" applyFont="1" applyBorder="1" applyAlignment="1">
      <alignment horizontal="center" vertical="center" wrapText="1"/>
    </xf>
    <xf numFmtId="0" fontId="51" fillId="0" borderId="56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8" fillId="0" borderId="52" xfId="0" applyFont="1" applyBorder="1" applyAlignment="1">
      <alignment horizontal="center" vertical="center" wrapText="1"/>
    </xf>
    <xf numFmtId="0" fontId="34" fillId="4" borderId="60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 wrapText="1"/>
    </xf>
    <xf numFmtId="0" fontId="34" fillId="4" borderId="63" xfId="0" applyFont="1" applyFill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33" fillId="4" borderId="26" xfId="0" applyFont="1" applyFill="1" applyBorder="1" applyAlignment="1">
      <alignment horizontal="center" vertical="center" wrapText="1"/>
    </xf>
    <xf numFmtId="49" fontId="34" fillId="4" borderId="26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3" fillId="9" borderId="36" xfId="0" applyFont="1" applyFill="1" applyBorder="1" applyAlignment="1">
      <alignment horizontal="center" vertical="center" wrapText="1"/>
    </xf>
    <xf numFmtId="0" fontId="33" fillId="9" borderId="23" xfId="0" applyFont="1" applyFill="1" applyBorder="1" applyAlignment="1">
      <alignment horizontal="center" vertical="center" wrapText="1"/>
    </xf>
    <xf numFmtId="0" fontId="33" fillId="9" borderId="24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33" fillId="4" borderId="21" xfId="0" applyFont="1" applyFill="1" applyBorder="1" applyAlignment="1">
      <alignment horizontal="center" vertical="center" wrapText="1"/>
    </xf>
    <xf numFmtId="0" fontId="33" fillId="4" borderId="11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1" fillId="0" borderId="51" xfId="0" applyFont="1" applyBorder="1" applyAlignment="1">
      <alignment horizontal="center" vertical="center"/>
    </xf>
    <xf numFmtId="0" fontId="17" fillId="0" borderId="0" xfId="0" applyFont="1" applyBorder="1" applyAlignment="1">
      <alignment horizontal="left"/>
    </xf>
    <xf numFmtId="0" fontId="4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 textRotation="90" wrapText="1"/>
    </xf>
    <xf numFmtId="0" fontId="11" fillId="0" borderId="31" xfId="0" applyFont="1" applyFill="1" applyBorder="1" applyAlignment="1">
      <alignment horizontal="center" vertical="center" textRotation="90" wrapText="1"/>
    </xf>
    <xf numFmtId="0" fontId="11" fillId="0" borderId="38" xfId="0" applyFont="1" applyFill="1" applyBorder="1" applyAlignment="1">
      <alignment horizontal="center" vertical="center" textRotation="90" wrapText="1"/>
    </xf>
    <xf numFmtId="0" fontId="11" fillId="0" borderId="30" xfId="0" applyFont="1" applyBorder="1" applyAlignment="1">
      <alignment horizontal="center" vertical="center" textRotation="90"/>
    </xf>
    <xf numFmtId="0" fontId="11" fillId="0" borderId="38" xfId="0" applyFont="1" applyBorder="1" applyAlignment="1">
      <alignment horizontal="center" vertical="center" textRotation="90"/>
    </xf>
    <xf numFmtId="0" fontId="11" fillId="0" borderId="3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 textRotation="90"/>
    </xf>
    <xf numFmtId="0" fontId="11" fillId="0" borderId="31" xfId="0" applyFont="1" applyFill="1" applyBorder="1" applyAlignment="1">
      <alignment horizontal="center" vertical="center" textRotation="90"/>
    </xf>
    <xf numFmtId="0" fontId="11" fillId="0" borderId="38" xfId="0" applyFont="1" applyFill="1" applyBorder="1" applyAlignment="1">
      <alignment horizontal="center" vertical="center" textRotation="90"/>
    </xf>
    <xf numFmtId="0" fontId="8" fillId="0" borderId="5" xfId="0" applyFont="1" applyFill="1" applyBorder="1" applyAlignment="1">
      <alignment horizontal="center" vertical="center" textRotation="90" wrapText="1"/>
    </xf>
    <xf numFmtId="0" fontId="8" fillId="0" borderId="7" xfId="0" applyFont="1" applyFill="1" applyBorder="1" applyAlignment="1">
      <alignment horizontal="center" vertical="center" textRotation="90" wrapText="1"/>
    </xf>
    <xf numFmtId="14" fontId="8" fillId="0" borderId="5" xfId="0" applyNumberFormat="1" applyFont="1" applyFill="1" applyBorder="1" applyAlignment="1">
      <alignment horizontal="center" vertical="center" textRotation="90" wrapText="1"/>
    </xf>
    <xf numFmtId="0" fontId="29" fillId="0" borderId="9" xfId="0" applyFont="1" applyFill="1" applyBorder="1" applyAlignment="1">
      <alignment horizontal="center" vertical="center" textRotation="90"/>
    </xf>
    <xf numFmtId="0" fontId="29" fillId="0" borderId="7" xfId="0" applyFont="1" applyFill="1" applyBorder="1" applyAlignment="1">
      <alignment horizontal="center" vertical="center" textRotation="90"/>
    </xf>
    <xf numFmtId="0" fontId="21" fillId="0" borderId="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5" fillId="0" borderId="5" xfId="0" applyFont="1" applyFill="1" applyBorder="1"/>
    <xf numFmtId="0" fontId="8" fillId="0" borderId="18" xfId="0" applyFont="1" applyFill="1" applyBorder="1" applyAlignment="1">
      <alignment horizontal="center" vertical="center" textRotation="90" wrapText="1"/>
    </xf>
    <xf numFmtId="14" fontId="8" fillId="0" borderId="18" xfId="0" applyNumberFormat="1" applyFont="1" applyFill="1" applyBorder="1" applyAlignment="1">
      <alignment horizontal="center" vertical="center" textRotation="90" wrapText="1"/>
    </xf>
    <xf numFmtId="0" fontId="21" fillId="0" borderId="3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horizontal="center" vertical="center" textRotation="90" wrapText="1"/>
    </xf>
    <xf numFmtId="14" fontId="8" fillId="4" borderId="9" xfId="0" applyNumberFormat="1" applyFont="1" applyFill="1" applyBorder="1" applyAlignment="1">
      <alignment horizontal="center" vertical="center" textRotation="90" wrapText="1"/>
    </xf>
    <xf numFmtId="0" fontId="25" fillId="4" borderId="5" xfId="0" applyFont="1" applyFill="1" applyBorder="1"/>
    <xf numFmtId="14" fontId="8" fillId="4" borderId="5" xfId="0" applyNumberFormat="1" applyFont="1" applyFill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textRotation="90" wrapText="1"/>
    </xf>
    <xf numFmtId="0" fontId="8" fillId="4" borderId="18" xfId="0" applyFont="1" applyFill="1" applyBorder="1" applyAlignment="1">
      <alignment horizontal="center" vertical="center" textRotation="90" wrapText="1"/>
    </xf>
    <xf numFmtId="14" fontId="8" fillId="4" borderId="18" xfId="0" applyNumberFormat="1" applyFont="1" applyFill="1" applyBorder="1" applyAlignment="1">
      <alignment horizontal="center" vertical="center" textRotation="90" wrapText="1"/>
    </xf>
    <xf numFmtId="0" fontId="54" fillId="8" borderId="2" xfId="0" applyFont="1" applyFill="1" applyBorder="1" applyAlignment="1">
      <alignment horizontal="center" vertical="center" wrapText="1"/>
    </xf>
    <xf numFmtId="0" fontId="54" fillId="8" borderId="15" xfId="0" applyFont="1" applyFill="1" applyBorder="1" applyAlignment="1">
      <alignment horizontal="center" vertical="center" wrapText="1"/>
    </xf>
    <xf numFmtId="0" fontId="54" fillId="8" borderId="13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textRotation="90" wrapText="1"/>
    </xf>
    <xf numFmtId="14" fontId="11" fillId="0" borderId="5" xfId="0" applyNumberFormat="1" applyFont="1" applyFill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1" fillId="0" borderId="7" xfId="0" applyFont="1" applyFill="1" applyBorder="1" applyAlignment="1">
      <alignment horizontal="center" vertical="center" textRotation="90" wrapText="1"/>
    </xf>
    <xf numFmtId="0" fontId="11" fillId="4" borderId="10" xfId="0" applyFont="1" applyFill="1" applyBorder="1" applyAlignment="1">
      <alignment horizontal="center" vertical="center" textRotation="90" wrapText="1"/>
    </xf>
    <xf numFmtId="0" fontId="11" fillId="4" borderId="31" xfId="0" applyFont="1" applyFill="1" applyBorder="1" applyAlignment="1">
      <alignment horizontal="center" vertical="center" textRotation="90" wrapText="1"/>
    </xf>
    <xf numFmtId="0" fontId="11" fillId="4" borderId="18" xfId="0" applyFont="1" applyFill="1" applyBorder="1" applyAlignment="1">
      <alignment horizontal="center" vertical="center" textRotation="90" wrapText="1"/>
    </xf>
    <xf numFmtId="0" fontId="12" fillId="0" borderId="30" xfId="0" applyFont="1" applyFill="1" applyBorder="1" applyAlignment="1">
      <alignment horizontal="center" vertical="center" textRotation="90"/>
    </xf>
    <xf numFmtId="0" fontId="12" fillId="0" borderId="38" xfId="0" applyFont="1" applyFill="1" applyBorder="1" applyAlignment="1">
      <alignment horizontal="center" vertical="center" textRotation="90"/>
    </xf>
    <xf numFmtId="0" fontId="10" fillId="0" borderId="30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textRotation="90" wrapText="1"/>
    </xf>
    <xf numFmtId="14" fontId="11" fillId="0" borderId="18" xfId="0" applyNumberFormat="1" applyFont="1" applyFill="1" applyBorder="1" applyAlignment="1">
      <alignment horizontal="center" vertical="center" textRotation="90" wrapText="1"/>
    </xf>
    <xf numFmtId="14" fontId="11" fillId="4" borderId="5" xfId="0" applyNumberFormat="1" applyFont="1" applyFill="1" applyBorder="1" applyAlignment="1">
      <alignment horizontal="center" vertical="center" textRotation="90" wrapText="1"/>
    </xf>
    <xf numFmtId="0" fontId="11" fillId="4" borderId="5" xfId="0" applyFont="1" applyFill="1" applyBorder="1" applyAlignment="1">
      <alignment horizontal="center" vertical="center" textRotation="90" wrapText="1"/>
    </xf>
    <xf numFmtId="0" fontId="28" fillId="0" borderId="5" xfId="0" applyFont="1" applyFill="1" applyBorder="1"/>
    <xf numFmtId="0" fontId="9" fillId="0" borderId="5" xfId="0" applyFont="1" applyFill="1" applyBorder="1" applyAlignment="1">
      <alignment horizontal="center" vertical="center" textRotation="90" wrapText="1"/>
    </xf>
    <xf numFmtId="0" fontId="9" fillId="0" borderId="7" xfId="0" applyFont="1" applyFill="1" applyBorder="1" applyAlignment="1">
      <alignment horizontal="center" vertical="center" textRotation="90" wrapText="1"/>
    </xf>
    <xf numFmtId="14" fontId="9" fillId="0" borderId="5" xfId="0" applyNumberFormat="1" applyFont="1" applyFill="1" applyBorder="1" applyAlignment="1">
      <alignment horizontal="center" vertical="center" textRotation="90" wrapText="1"/>
    </xf>
    <xf numFmtId="14" fontId="11" fillId="4" borderId="18" xfId="0" applyNumberFormat="1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14" fontId="2" fillId="0" borderId="5" xfId="0" applyNumberFormat="1" applyFont="1" applyFill="1" applyBorder="1" applyAlignment="1">
      <alignment horizontal="center" vertical="center" textRotation="90" wrapText="1"/>
    </xf>
    <xf numFmtId="0" fontId="21" fillId="0" borderId="30" xfId="0" applyFont="1" applyFill="1" applyBorder="1" applyAlignment="1">
      <alignment horizontal="center" vertical="center" wrapText="1"/>
    </xf>
    <xf numFmtId="0" fontId="21" fillId="0" borderId="38" xfId="0" applyFont="1" applyFill="1" applyBorder="1" applyAlignment="1">
      <alignment horizontal="center" vertical="center" wrapText="1"/>
    </xf>
    <xf numFmtId="0" fontId="22" fillId="0" borderId="30" xfId="0" applyFont="1" applyFill="1" applyBorder="1" applyAlignment="1">
      <alignment horizontal="center" vertical="center" textRotation="90"/>
    </xf>
    <xf numFmtId="0" fontId="22" fillId="0" borderId="38" xfId="0" applyFont="1" applyFill="1" applyBorder="1" applyAlignment="1">
      <alignment horizontal="center" vertical="center" textRotation="90"/>
    </xf>
    <xf numFmtId="0" fontId="35" fillId="0" borderId="5" xfId="0" applyFont="1" applyFill="1" applyBorder="1"/>
    <xf numFmtId="0" fontId="8" fillId="0" borderId="30" xfId="0" applyFont="1" applyFill="1" applyBorder="1" applyAlignment="1">
      <alignment horizontal="center" vertical="center" textRotation="90" wrapText="1"/>
    </xf>
    <xf numFmtId="0" fontId="8" fillId="0" borderId="31" xfId="0" applyFont="1" applyFill="1" applyBorder="1" applyAlignment="1">
      <alignment horizontal="center" vertical="center" textRotation="90" wrapText="1"/>
    </xf>
    <xf numFmtId="0" fontId="8" fillId="0" borderId="38" xfId="0" applyFont="1" applyFill="1" applyBorder="1" applyAlignment="1">
      <alignment horizontal="center" vertical="center" textRotation="90" wrapText="1"/>
    </xf>
    <xf numFmtId="0" fontId="8" fillId="4" borderId="7" xfId="0" applyFont="1" applyFill="1" applyBorder="1" applyAlignment="1">
      <alignment horizontal="center" vertical="center" textRotation="90" wrapText="1"/>
    </xf>
    <xf numFmtId="0" fontId="8" fillId="4" borderId="30" xfId="0" applyFont="1" applyFill="1" applyBorder="1" applyAlignment="1">
      <alignment horizontal="center" vertical="center" textRotation="90" wrapText="1"/>
    </xf>
    <xf numFmtId="0" fontId="35" fillId="4" borderId="31" xfId="0" applyFont="1" applyFill="1" applyBorder="1"/>
    <xf numFmtId="0" fontId="35" fillId="4" borderId="38" xfId="0" applyFont="1" applyFill="1" applyBorder="1"/>
    <xf numFmtId="0" fontId="8" fillId="4" borderId="31" xfId="0" applyFont="1" applyFill="1" applyBorder="1" applyAlignment="1">
      <alignment horizontal="center" vertical="center" textRotation="90" wrapText="1"/>
    </xf>
    <xf numFmtId="0" fontId="8" fillId="4" borderId="38" xfId="0" applyFont="1" applyFill="1" applyBorder="1" applyAlignment="1">
      <alignment horizontal="center" vertical="center" textRotation="90" wrapText="1"/>
    </xf>
    <xf numFmtId="14" fontId="22" fillId="4" borderId="9" xfId="0" applyNumberFormat="1" applyFont="1" applyFill="1" applyBorder="1" applyAlignment="1">
      <alignment horizontal="center" vertical="center" textRotation="90" wrapText="1"/>
    </xf>
    <xf numFmtId="0" fontId="22" fillId="4" borderId="5" xfId="0" applyFont="1" applyFill="1" applyBorder="1" applyAlignment="1">
      <alignment horizontal="center" vertical="center" textRotation="90" wrapText="1"/>
    </xf>
    <xf numFmtId="0" fontId="22" fillId="4" borderId="7" xfId="0" applyFont="1" applyFill="1" applyBorder="1" applyAlignment="1">
      <alignment horizontal="center" vertical="center" textRotation="90" wrapText="1"/>
    </xf>
    <xf numFmtId="0" fontId="22" fillId="4" borderId="30" xfId="0" applyFont="1" applyFill="1" applyBorder="1" applyAlignment="1">
      <alignment horizontal="center" vertical="center" textRotation="90" wrapText="1"/>
    </xf>
    <xf numFmtId="0" fontId="22" fillId="4" borderId="31" xfId="0" applyFont="1" applyFill="1" applyBorder="1" applyAlignment="1">
      <alignment horizontal="center" vertical="center" textRotation="90" wrapText="1"/>
    </xf>
    <xf numFmtId="0" fontId="22" fillId="4" borderId="38" xfId="0" applyFont="1" applyFill="1" applyBorder="1" applyAlignment="1">
      <alignment horizontal="center" vertical="center" textRotation="90" wrapText="1"/>
    </xf>
    <xf numFmtId="0" fontId="22" fillId="4" borderId="30" xfId="0" applyFont="1" applyFill="1" applyBorder="1" applyAlignment="1">
      <alignment horizontal="center" vertical="center" textRotation="90"/>
    </xf>
    <xf numFmtId="0" fontId="22" fillId="4" borderId="38" xfId="0" applyFont="1" applyFill="1" applyBorder="1" applyAlignment="1">
      <alignment horizontal="center" vertical="center" textRotation="90"/>
    </xf>
    <xf numFmtId="0" fontId="21" fillId="4" borderId="30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 wrapText="1"/>
    </xf>
    <xf numFmtId="14" fontId="22" fillId="4" borderId="5" xfId="0" applyNumberFormat="1" applyFont="1" applyFill="1" applyBorder="1" applyAlignment="1">
      <alignment horizontal="center" vertical="center" textRotation="90" wrapText="1"/>
    </xf>
    <xf numFmtId="0" fontId="35" fillId="0" borderId="31" xfId="0" applyFont="1" applyFill="1" applyBorder="1"/>
    <xf numFmtId="0" fontId="35" fillId="0" borderId="38" xfId="0" applyFont="1" applyFill="1" applyBorder="1"/>
    <xf numFmtId="0" fontId="65" fillId="0" borderId="55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65" fillId="0" borderId="57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65" fillId="0" borderId="62" xfId="0" applyFont="1" applyBorder="1" applyAlignment="1">
      <alignment horizontal="center" vertical="center"/>
    </xf>
    <xf numFmtId="0" fontId="22" fillId="8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38100</xdr:rowOff>
    </xdr:to>
    <xdr:pic>
      <xdr:nvPicPr>
        <xdr:cNvPr id="3073" name="Рисунок 1" descr="180528142841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559040" cy="10279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1" sqref="O21"/>
    </sheetView>
  </sheetViews>
  <sheetFormatPr defaultRowHeight="1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view="pageBreakPreview" topLeftCell="A34" zoomScale="45" zoomScaleNormal="40" zoomScaleSheetLayoutView="45" zoomScalePageLayoutView="40" workbookViewId="0">
      <selection activeCell="E47" sqref="E47"/>
    </sheetView>
  </sheetViews>
  <sheetFormatPr defaultRowHeight="15"/>
  <cols>
    <col min="1" max="1" width="5.42578125" customWidth="1"/>
    <col min="2" max="2" width="62.85546875" style="189" customWidth="1"/>
    <col min="3" max="3" width="12.85546875" customWidth="1"/>
    <col min="4" max="4" width="17.28515625" style="189" customWidth="1"/>
    <col min="5" max="5" width="62.85546875" customWidth="1"/>
    <col min="6" max="8" width="60" customWidth="1"/>
    <col min="9" max="9" width="9" customWidth="1"/>
  </cols>
  <sheetData>
    <row r="1" spans="1:11" s="269" customFormat="1" ht="30.75">
      <c r="A1" s="268"/>
      <c r="B1" s="221"/>
      <c r="C1" s="268"/>
      <c r="D1" s="221"/>
      <c r="E1" s="268"/>
      <c r="F1" s="268"/>
      <c r="G1" s="437"/>
      <c r="H1" s="438" t="s">
        <v>132</v>
      </c>
    </row>
    <row r="2" spans="1:11" s="269" customFormat="1" ht="30.75">
      <c r="A2" s="268"/>
      <c r="B2" s="221"/>
      <c r="C2" s="268"/>
      <c r="D2" s="221"/>
      <c r="E2" s="268"/>
      <c r="F2" s="268"/>
      <c r="G2" s="437"/>
      <c r="H2" s="438" t="s">
        <v>166</v>
      </c>
    </row>
    <row r="3" spans="1:11" s="269" customFormat="1" ht="30.75">
      <c r="A3" s="268"/>
      <c r="B3" s="221"/>
      <c r="C3" s="268"/>
      <c r="D3" s="221"/>
      <c r="E3" s="268"/>
      <c r="F3" s="268"/>
      <c r="G3" s="437"/>
      <c r="H3" s="438" t="s">
        <v>161</v>
      </c>
    </row>
    <row r="4" spans="1:11" s="269" customFormat="1" ht="30.75">
      <c r="A4" s="268"/>
      <c r="B4" s="221"/>
      <c r="C4" s="268"/>
      <c r="D4" s="221"/>
      <c r="E4" s="268"/>
      <c r="F4" s="268"/>
      <c r="G4" s="437"/>
      <c r="H4" s="438" t="s">
        <v>101</v>
      </c>
    </row>
    <row r="5" spans="1:11" s="269" customFormat="1" ht="30.75">
      <c r="A5" s="268"/>
      <c r="B5" s="221"/>
      <c r="C5" s="268"/>
      <c r="D5" s="221"/>
      <c r="E5" s="268"/>
      <c r="F5" s="268"/>
      <c r="G5" s="437"/>
      <c r="H5" s="438" t="s">
        <v>102</v>
      </c>
    </row>
    <row r="6" spans="1:11" ht="42.75" customHeight="1">
      <c r="A6" s="671" t="s">
        <v>197</v>
      </c>
      <c r="B6" s="671"/>
      <c r="C6" s="671"/>
      <c r="D6" s="671"/>
      <c r="E6" s="671"/>
      <c r="F6" s="671"/>
      <c r="G6" s="671"/>
      <c r="H6" s="671"/>
    </row>
    <row r="7" spans="1:11" ht="42.75" customHeight="1">
      <c r="A7" s="671" t="s">
        <v>122</v>
      </c>
      <c r="B7" s="671"/>
      <c r="C7" s="671"/>
      <c r="D7" s="671"/>
      <c r="E7" s="671"/>
      <c r="F7" s="671"/>
      <c r="G7" s="671"/>
      <c r="H7" s="671"/>
    </row>
    <row r="8" spans="1:11" ht="173.25" customHeight="1">
      <c r="A8" s="679" t="s">
        <v>209</v>
      </c>
      <c r="B8" s="679"/>
      <c r="C8" s="679"/>
      <c r="D8" s="679"/>
      <c r="E8" s="679"/>
      <c r="F8" s="679"/>
      <c r="G8" s="679"/>
      <c r="H8" s="679"/>
    </row>
    <row r="9" spans="1:11" ht="44.25" customHeight="1">
      <c r="A9" s="662" t="s">
        <v>138</v>
      </c>
      <c r="B9" s="662"/>
      <c r="C9" s="662"/>
      <c r="D9" s="662"/>
      <c r="E9" s="662"/>
      <c r="F9" s="662"/>
      <c r="G9" s="662"/>
      <c r="H9" s="662"/>
      <c r="I9" s="338"/>
      <c r="J9" s="338"/>
      <c r="K9" s="338"/>
    </row>
    <row r="10" spans="1:11" ht="29.25" customHeight="1">
      <c r="A10" s="663" t="s">
        <v>163</v>
      </c>
      <c r="B10" s="663"/>
      <c r="C10" s="663"/>
      <c r="D10" s="663"/>
      <c r="E10" s="663"/>
      <c r="F10" s="663"/>
      <c r="G10" s="663"/>
      <c r="H10" s="663"/>
      <c r="I10" s="339"/>
      <c r="J10" s="339"/>
      <c r="K10" s="339"/>
    </row>
    <row r="11" spans="1:11" ht="30.75" customHeight="1">
      <c r="A11" s="671" t="s">
        <v>90</v>
      </c>
      <c r="B11" s="671"/>
      <c r="C11" s="671"/>
      <c r="D11" s="671"/>
      <c r="E11" s="671"/>
      <c r="F11" s="671"/>
      <c r="G11" s="671"/>
      <c r="H11" s="671"/>
    </row>
    <row r="12" spans="1:11" ht="30.75" customHeight="1">
      <c r="A12" s="678" t="s">
        <v>296</v>
      </c>
      <c r="B12" s="678"/>
      <c r="C12" s="678"/>
      <c r="D12" s="678"/>
      <c r="E12" s="678"/>
      <c r="F12" s="678"/>
      <c r="G12" s="678"/>
      <c r="H12" s="678"/>
    </row>
    <row r="13" spans="1:11" ht="3.75" customHeight="1" thickBot="1">
      <c r="A13" s="222"/>
      <c r="B13" s="223"/>
      <c r="C13" s="222"/>
      <c r="D13" s="223"/>
      <c r="E13" s="222"/>
      <c r="F13" s="222"/>
      <c r="G13" s="222"/>
      <c r="H13" s="222"/>
    </row>
    <row r="14" spans="1:11" ht="24" customHeight="1" thickBot="1">
      <c r="A14" s="656" t="s">
        <v>75</v>
      </c>
      <c r="B14" s="658" t="s">
        <v>103</v>
      </c>
      <c r="C14" s="658" t="s">
        <v>104</v>
      </c>
      <c r="D14" s="660" t="s">
        <v>105</v>
      </c>
      <c r="E14" s="680" t="s">
        <v>106</v>
      </c>
      <c r="F14" s="681"/>
      <c r="G14" s="681"/>
      <c r="H14" s="682"/>
    </row>
    <row r="15" spans="1:11" ht="105.75" thickBot="1">
      <c r="A15" s="657"/>
      <c r="B15" s="659"/>
      <c r="C15" s="659"/>
      <c r="D15" s="661"/>
      <c r="E15" s="439" t="s">
        <v>294</v>
      </c>
      <c r="F15" s="370" t="s">
        <v>125</v>
      </c>
      <c r="G15" s="518" t="s">
        <v>321</v>
      </c>
      <c r="H15" s="371" t="s">
        <v>293</v>
      </c>
    </row>
    <row r="16" spans="1:11" ht="31.5" customHeight="1" thickBot="1">
      <c r="A16" s="657"/>
      <c r="B16" s="659"/>
      <c r="C16" s="659"/>
      <c r="D16" s="661"/>
      <c r="E16" s="440" t="s">
        <v>301</v>
      </c>
      <c r="F16" s="340" t="s">
        <v>11</v>
      </c>
      <c r="G16" s="340" t="s">
        <v>12</v>
      </c>
      <c r="H16" s="341" t="s">
        <v>153</v>
      </c>
    </row>
    <row r="17" spans="1:8" ht="29.25" customHeight="1" thickBot="1">
      <c r="A17" s="224"/>
      <c r="B17" s="225"/>
      <c r="C17" s="226"/>
      <c r="D17" s="227"/>
      <c r="E17" s="680" t="s">
        <v>107</v>
      </c>
      <c r="F17" s="681"/>
      <c r="G17" s="681"/>
      <c r="H17" s="682"/>
    </row>
    <row r="18" spans="1:8" ht="36" customHeight="1">
      <c r="A18" s="630">
        <v>1</v>
      </c>
      <c r="B18" s="632" t="s">
        <v>108</v>
      </c>
      <c r="C18" s="634" t="s">
        <v>185</v>
      </c>
      <c r="D18" s="636" t="s">
        <v>210</v>
      </c>
      <c r="E18" s="589" t="s">
        <v>150</v>
      </c>
      <c r="F18" s="590" t="s">
        <v>150</v>
      </c>
      <c r="G18" s="590" t="s">
        <v>150</v>
      </c>
      <c r="H18" s="591" t="s">
        <v>150</v>
      </c>
    </row>
    <row r="19" spans="1:8" ht="51" customHeight="1" thickBot="1">
      <c r="A19" s="664"/>
      <c r="B19" s="649"/>
      <c r="C19" s="641"/>
      <c r="D19" s="642"/>
      <c r="E19" s="646" t="s">
        <v>251</v>
      </c>
      <c r="F19" s="647"/>
      <c r="G19" s="647"/>
      <c r="H19" s="648"/>
    </row>
    <row r="20" spans="1:8" ht="34.5" customHeight="1">
      <c r="A20" s="630">
        <v>2</v>
      </c>
      <c r="B20" s="632" t="s">
        <v>211</v>
      </c>
      <c r="C20" s="634" t="s">
        <v>186</v>
      </c>
      <c r="D20" s="636" t="s">
        <v>184</v>
      </c>
      <c r="E20" s="638" t="s">
        <v>249</v>
      </c>
      <c r="F20" s="639"/>
      <c r="G20" s="639"/>
      <c r="H20" s="640"/>
    </row>
    <row r="21" spans="1:8" ht="42" customHeight="1" thickBot="1">
      <c r="A21" s="631"/>
      <c r="B21" s="633"/>
      <c r="C21" s="635"/>
      <c r="D21" s="637"/>
      <c r="E21" s="514" t="s">
        <v>250</v>
      </c>
      <c r="F21" s="515" t="s">
        <v>250</v>
      </c>
      <c r="G21" s="515" t="s">
        <v>250</v>
      </c>
      <c r="H21" s="592" t="s">
        <v>250</v>
      </c>
    </row>
    <row r="22" spans="1:8" ht="27.75" customHeight="1">
      <c r="A22" s="650">
        <v>3</v>
      </c>
      <c r="B22" s="652" t="s">
        <v>134</v>
      </c>
      <c r="C22" s="654" t="s">
        <v>219</v>
      </c>
      <c r="D22" s="665" t="s">
        <v>184</v>
      </c>
      <c r="E22" s="675" t="s">
        <v>136</v>
      </c>
      <c r="F22" s="676"/>
      <c r="G22" s="676"/>
      <c r="H22" s="677"/>
    </row>
    <row r="23" spans="1:8" ht="50.25" customHeight="1" thickBot="1">
      <c r="A23" s="651"/>
      <c r="B23" s="653"/>
      <c r="C23" s="655"/>
      <c r="D23" s="667"/>
      <c r="E23" s="514" t="s">
        <v>171</v>
      </c>
      <c r="F23" s="515" t="s">
        <v>245</v>
      </c>
      <c r="G23" s="515" t="s">
        <v>171</v>
      </c>
      <c r="H23" s="592" t="s">
        <v>181</v>
      </c>
    </row>
    <row r="24" spans="1:8" ht="40.5" customHeight="1">
      <c r="A24" s="650">
        <v>4</v>
      </c>
      <c r="B24" s="652" t="s">
        <v>212</v>
      </c>
      <c r="C24" s="654" t="s">
        <v>213</v>
      </c>
      <c r="D24" s="665" t="s">
        <v>184</v>
      </c>
      <c r="E24" s="672" t="s">
        <v>267</v>
      </c>
      <c r="F24" s="673"/>
      <c r="G24" s="673"/>
      <c r="H24" s="674"/>
    </row>
    <row r="25" spans="1:8" ht="40.5" customHeight="1" thickBot="1">
      <c r="A25" s="651"/>
      <c r="B25" s="653"/>
      <c r="C25" s="655"/>
      <c r="D25" s="667"/>
      <c r="E25" s="514" t="s">
        <v>268</v>
      </c>
      <c r="F25" s="516" t="s">
        <v>268</v>
      </c>
      <c r="G25" s="516" t="s">
        <v>268</v>
      </c>
      <c r="H25" s="471" t="s">
        <v>268</v>
      </c>
    </row>
    <row r="26" spans="1:8" ht="43.5" customHeight="1">
      <c r="A26" s="630">
        <v>5</v>
      </c>
      <c r="B26" s="632" t="s">
        <v>135</v>
      </c>
      <c r="C26" s="634" t="s">
        <v>225</v>
      </c>
      <c r="D26" s="636" t="s">
        <v>184</v>
      </c>
      <c r="E26" s="638" t="s">
        <v>242</v>
      </c>
      <c r="F26" s="639"/>
      <c r="G26" s="639"/>
      <c r="H26" s="640"/>
    </row>
    <row r="27" spans="1:8" ht="43.5" customHeight="1" thickBot="1">
      <c r="A27" s="664">
        <v>5</v>
      </c>
      <c r="B27" s="649" t="s">
        <v>135</v>
      </c>
      <c r="C27" s="641"/>
      <c r="D27" s="642"/>
      <c r="E27" s="593" t="s">
        <v>169</v>
      </c>
      <c r="F27" s="594" t="s">
        <v>269</v>
      </c>
      <c r="G27" s="594" t="s">
        <v>137</v>
      </c>
      <c r="H27" s="595" t="s">
        <v>137</v>
      </c>
    </row>
    <row r="28" spans="1:8" ht="43.5" customHeight="1">
      <c r="A28" s="630">
        <v>6</v>
      </c>
      <c r="B28" s="632" t="s">
        <v>220</v>
      </c>
      <c r="C28" s="634" t="s">
        <v>221</v>
      </c>
      <c r="D28" s="636" t="s">
        <v>187</v>
      </c>
      <c r="E28" s="672" t="s">
        <v>255</v>
      </c>
      <c r="F28" s="673"/>
      <c r="G28" s="673"/>
      <c r="H28" s="674"/>
    </row>
    <row r="29" spans="1:8" ht="43.5" customHeight="1" thickBot="1">
      <c r="A29" s="664"/>
      <c r="B29" s="649"/>
      <c r="C29" s="641"/>
      <c r="D29" s="642"/>
      <c r="E29" s="419" t="s">
        <v>270</v>
      </c>
      <c r="F29" s="596" t="s">
        <v>270</v>
      </c>
      <c r="G29" s="596" t="s">
        <v>270</v>
      </c>
      <c r="H29" s="597" t="s">
        <v>270</v>
      </c>
    </row>
    <row r="30" spans="1:8" ht="43.5" customHeight="1">
      <c r="A30" s="630">
        <v>7</v>
      </c>
      <c r="B30" s="632" t="s">
        <v>226</v>
      </c>
      <c r="C30" s="634" t="s">
        <v>188</v>
      </c>
      <c r="D30" s="636" t="s">
        <v>184</v>
      </c>
      <c r="E30" s="643" t="s">
        <v>256</v>
      </c>
      <c r="F30" s="644"/>
      <c r="G30" s="644"/>
      <c r="H30" s="645"/>
    </row>
    <row r="31" spans="1:8" ht="43.5" customHeight="1" thickBot="1">
      <c r="A31" s="631"/>
      <c r="B31" s="633"/>
      <c r="C31" s="635"/>
      <c r="D31" s="637"/>
      <c r="E31" s="514" t="s">
        <v>257</v>
      </c>
      <c r="F31" s="515" t="s">
        <v>257</v>
      </c>
      <c r="G31" s="515" t="s">
        <v>258</v>
      </c>
      <c r="H31" s="592" t="s">
        <v>259</v>
      </c>
    </row>
    <row r="32" spans="1:8" ht="43.5" customHeight="1">
      <c r="A32" s="630">
        <v>8</v>
      </c>
      <c r="B32" s="632" t="s">
        <v>227</v>
      </c>
      <c r="C32" s="634" t="s">
        <v>228</v>
      </c>
      <c r="D32" s="636" t="s">
        <v>184</v>
      </c>
      <c r="E32" s="638" t="s">
        <v>252</v>
      </c>
      <c r="F32" s="639"/>
      <c r="G32" s="639"/>
      <c r="H32" s="640"/>
    </row>
    <row r="33" spans="1:8" ht="43.5" customHeight="1" thickBot="1">
      <c r="A33" s="631"/>
      <c r="B33" s="633"/>
      <c r="C33" s="635"/>
      <c r="D33" s="637"/>
      <c r="E33" s="514" t="s">
        <v>340</v>
      </c>
      <c r="F33" s="515" t="s">
        <v>254</v>
      </c>
      <c r="G33" s="515" t="s">
        <v>253</v>
      </c>
      <c r="H33" s="592" t="s">
        <v>253</v>
      </c>
    </row>
    <row r="34" spans="1:8" ht="43.5" customHeight="1">
      <c r="A34" s="630">
        <v>9</v>
      </c>
      <c r="B34" s="632" t="s">
        <v>233</v>
      </c>
      <c r="C34" s="634" t="s">
        <v>234</v>
      </c>
      <c r="D34" s="636" t="s">
        <v>184</v>
      </c>
      <c r="E34" s="638" t="s">
        <v>240</v>
      </c>
      <c r="F34" s="639"/>
      <c r="G34" s="639"/>
      <c r="H34" s="640"/>
    </row>
    <row r="35" spans="1:8" ht="57" customHeight="1" thickBot="1">
      <c r="A35" s="631"/>
      <c r="B35" s="633"/>
      <c r="C35" s="635"/>
      <c r="D35" s="637"/>
      <c r="E35" s="514" t="s">
        <v>295</v>
      </c>
      <c r="F35" s="515" t="s">
        <v>241</v>
      </c>
      <c r="G35" s="515" t="s">
        <v>241</v>
      </c>
      <c r="H35" s="592" t="s">
        <v>241</v>
      </c>
    </row>
    <row r="36" spans="1:8" ht="43.5" customHeight="1">
      <c r="A36" s="630">
        <v>10</v>
      </c>
      <c r="B36" s="632" t="s">
        <v>235</v>
      </c>
      <c r="C36" s="634" t="s">
        <v>191</v>
      </c>
      <c r="D36" s="636" t="s">
        <v>184</v>
      </c>
      <c r="E36" s="638" t="s">
        <v>246</v>
      </c>
      <c r="F36" s="639"/>
      <c r="G36" s="639"/>
      <c r="H36" s="640"/>
    </row>
    <row r="37" spans="1:8" ht="60" customHeight="1" thickBot="1">
      <c r="A37" s="664"/>
      <c r="B37" s="649"/>
      <c r="C37" s="641"/>
      <c r="D37" s="642"/>
      <c r="E37" s="593" t="s">
        <v>247</v>
      </c>
      <c r="F37" s="594" t="s">
        <v>247</v>
      </c>
      <c r="G37" s="594" t="s">
        <v>303</v>
      </c>
      <c r="H37" s="595" t="s">
        <v>248</v>
      </c>
    </row>
    <row r="38" spans="1:8" ht="27">
      <c r="A38" s="650">
        <v>11</v>
      </c>
      <c r="B38" s="652" t="s">
        <v>109</v>
      </c>
      <c r="C38" s="654" t="s">
        <v>222</v>
      </c>
      <c r="D38" s="665" t="s">
        <v>184</v>
      </c>
      <c r="E38" s="405" t="s">
        <v>140</v>
      </c>
      <c r="F38" s="393" t="s">
        <v>175</v>
      </c>
      <c r="G38" s="393" t="s">
        <v>317</v>
      </c>
      <c r="H38" s="394" t="s">
        <v>117</v>
      </c>
    </row>
    <row r="39" spans="1:8" ht="52.5">
      <c r="A39" s="668"/>
      <c r="B39" s="669"/>
      <c r="C39" s="670"/>
      <c r="D39" s="666"/>
      <c r="E39" s="517" t="s">
        <v>141</v>
      </c>
      <c r="F39" s="472" t="s">
        <v>265</v>
      </c>
      <c r="G39" s="433" t="s">
        <v>318</v>
      </c>
      <c r="H39" s="598" t="s">
        <v>260</v>
      </c>
    </row>
    <row r="40" spans="1:8" ht="52.5">
      <c r="A40" s="668"/>
      <c r="B40" s="669"/>
      <c r="C40" s="670"/>
      <c r="D40" s="666"/>
      <c r="E40" s="517" t="s">
        <v>370</v>
      </c>
      <c r="F40" s="472" t="s">
        <v>266</v>
      </c>
      <c r="G40" s="433" t="s">
        <v>319</v>
      </c>
      <c r="H40" s="598" t="s">
        <v>261</v>
      </c>
    </row>
    <row r="41" spans="1:8" ht="51">
      <c r="A41" s="668"/>
      <c r="B41" s="669"/>
      <c r="C41" s="670"/>
      <c r="D41" s="666"/>
      <c r="E41" s="517"/>
      <c r="F41" s="369" t="s">
        <v>176</v>
      </c>
      <c r="G41" s="369" t="s">
        <v>170</v>
      </c>
      <c r="H41" s="406" t="s">
        <v>326</v>
      </c>
    </row>
    <row r="42" spans="1:8" ht="27.75">
      <c r="A42" s="668"/>
      <c r="B42" s="669"/>
      <c r="C42" s="670"/>
      <c r="D42" s="666"/>
      <c r="E42" s="517"/>
      <c r="F42" s="433" t="s">
        <v>177</v>
      </c>
      <c r="G42" s="433" t="s">
        <v>145</v>
      </c>
      <c r="H42" s="473" t="s">
        <v>328</v>
      </c>
    </row>
    <row r="43" spans="1:8" ht="52.5">
      <c r="A43" s="668"/>
      <c r="B43" s="669"/>
      <c r="C43" s="670"/>
      <c r="D43" s="666"/>
      <c r="E43" s="517"/>
      <c r="F43" s="433" t="s">
        <v>178</v>
      </c>
      <c r="G43" s="433" t="s">
        <v>144</v>
      </c>
      <c r="H43" s="473" t="s">
        <v>329</v>
      </c>
    </row>
    <row r="44" spans="1:8" ht="51">
      <c r="A44" s="668"/>
      <c r="B44" s="669"/>
      <c r="C44" s="670"/>
      <c r="D44" s="666"/>
      <c r="E44" s="418"/>
      <c r="F44" s="369" t="s">
        <v>157</v>
      </c>
      <c r="G44" s="369" t="s">
        <v>189</v>
      </c>
      <c r="H44" s="406" t="s">
        <v>154</v>
      </c>
    </row>
    <row r="45" spans="1:8" ht="27.75">
      <c r="A45" s="668"/>
      <c r="B45" s="669"/>
      <c r="C45" s="670"/>
      <c r="D45" s="666"/>
      <c r="E45" s="418"/>
      <c r="F45" s="433" t="s">
        <v>167</v>
      </c>
      <c r="G45" s="433" t="s">
        <v>262</v>
      </c>
      <c r="H45" s="602" t="s">
        <v>173</v>
      </c>
    </row>
    <row r="46" spans="1:8" ht="84.75" customHeight="1">
      <c r="A46" s="668"/>
      <c r="B46" s="669"/>
      <c r="C46" s="670"/>
      <c r="D46" s="666"/>
      <c r="E46" s="418"/>
      <c r="F46" s="433" t="s">
        <v>168</v>
      </c>
      <c r="G46" s="433" t="s">
        <v>263</v>
      </c>
      <c r="H46" s="602" t="s">
        <v>172</v>
      </c>
    </row>
    <row r="47" spans="1:8" ht="48" customHeight="1">
      <c r="A47" s="668"/>
      <c r="B47" s="669"/>
      <c r="C47" s="670"/>
      <c r="D47" s="666"/>
      <c r="E47" s="418"/>
      <c r="F47" s="617"/>
      <c r="G47" s="617"/>
      <c r="H47" s="406" t="s">
        <v>327</v>
      </c>
    </row>
    <row r="48" spans="1:8" ht="48.75" customHeight="1">
      <c r="A48" s="668"/>
      <c r="B48" s="669"/>
      <c r="C48" s="670"/>
      <c r="D48" s="666"/>
      <c r="E48" s="418"/>
      <c r="F48" s="617"/>
      <c r="G48" s="617"/>
      <c r="H48" s="619" t="s">
        <v>328</v>
      </c>
    </row>
    <row r="49" spans="1:8" ht="64.5" customHeight="1" thickBot="1">
      <c r="A49" s="651"/>
      <c r="B49" s="653"/>
      <c r="C49" s="655"/>
      <c r="D49" s="667"/>
      <c r="E49" s="603"/>
      <c r="F49" s="621"/>
      <c r="G49" s="621"/>
      <c r="H49" s="622" t="s">
        <v>330</v>
      </c>
    </row>
    <row r="50" spans="1:8" ht="27">
      <c r="A50" s="630">
        <v>12</v>
      </c>
      <c r="B50" s="632" t="s">
        <v>147</v>
      </c>
      <c r="C50" s="634" t="s">
        <v>190</v>
      </c>
      <c r="D50" s="636" t="s">
        <v>210</v>
      </c>
      <c r="E50" s="405" t="s">
        <v>140</v>
      </c>
      <c r="F50" s="393" t="s">
        <v>175</v>
      </c>
      <c r="G50" s="393" t="s">
        <v>317</v>
      </c>
      <c r="H50" s="394" t="s">
        <v>117</v>
      </c>
    </row>
    <row r="51" spans="1:8" ht="52.5">
      <c r="A51" s="631"/>
      <c r="B51" s="633"/>
      <c r="C51" s="635"/>
      <c r="D51" s="637"/>
      <c r="E51" s="517" t="s">
        <v>195</v>
      </c>
      <c r="F51" s="472" t="s">
        <v>266</v>
      </c>
      <c r="G51" s="433" t="s">
        <v>320</v>
      </c>
      <c r="H51" s="598" t="s">
        <v>192</v>
      </c>
    </row>
    <row r="52" spans="1:8" ht="51">
      <c r="A52" s="631"/>
      <c r="B52" s="633"/>
      <c r="C52" s="635"/>
      <c r="D52" s="637"/>
      <c r="E52" s="517"/>
      <c r="F52" s="369" t="s">
        <v>176</v>
      </c>
      <c r="G52" s="369" t="s">
        <v>170</v>
      </c>
      <c r="H52" s="406" t="s">
        <v>326</v>
      </c>
    </row>
    <row r="53" spans="1:8" ht="27.75">
      <c r="A53" s="631"/>
      <c r="B53" s="633"/>
      <c r="C53" s="635"/>
      <c r="D53" s="637"/>
      <c r="E53" s="517"/>
      <c r="F53" s="433" t="s">
        <v>193</v>
      </c>
      <c r="G53" s="433" t="s">
        <v>146</v>
      </c>
      <c r="H53" s="473" t="s">
        <v>337</v>
      </c>
    </row>
    <row r="54" spans="1:8" ht="73.5" customHeight="1">
      <c r="A54" s="631"/>
      <c r="B54" s="633"/>
      <c r="C54" s="635"/>
      <c r="D54" s="637"/>
      <c r="E54" s="418"/>
      <c r="F54" s="369" t="s">
        <v>157</v>
      </c>
      <c r="G54" s="369" t="s">
        <v>189</v>
      </c>
      <c r="H54" s="406" t="s">
        <v>154</v>
      </c>
    </row>
    <row r="55" spans="1:8" ht="27.75">
      <c r="A55" s="631"/>
      <c r="B55" s="633"/>
      <c r="C55" s="635"/>
      <c r="D55" s="637"/>
      <c r="E55" s="418"/>
      <c r="F55" s="433" t="s">
        <v>194</v>
      </c>
      <c r="G55" s="433" t="s">
        <v>264</v>
      </c>
      <c r="H55" s="602" t="s">
        <v>148</v>
      </c>
    </row>
    <row r="56" spans="1:8" ht="87.75" customHeight="1">
      <c r="A56" s="631"/>
      <c r="B56" s="633"/>
      <c r="C56" s="635"/>
      <c r="D56" s="637"/>
      <c r="E56" s="604"/>
      <c r="F56" s="617"/>
      <c r="G56" s="617"/>
      <c r="H56" s="406" t="s">
        <v>327</v>
      </c>
    </row>
    <row r="57" spans="1:8" ht="28.5" thickBot="1">
      <c r="A57" s="664"/>
      <c r="B57" s="649"/>
      <c r="C57" s="641"/>
      <c r="D57" s="642"/>
      <c r="E57" s="419"/>
      <c r="F57" s="618"/>
      <c r="G57" s="618"/>
      <c r="H57" s="620" t="s">
        <v>333</v>
      </c>
    </row>
    <row r="58" spans="1:8" s="269" customFormat="1" ht="30.75">
      <c r="A58" s="365" t="s">
        <v>110</v>
      </c>
      <c r="B58" s="366"/>
      <c r="C58" s="365"/>
      <c r="D58" s="366"/>
      <c r="E58" s="365"/>
      <c r="F58" s="365"/>
      <c r="G58" s="365"/>
      <c r="H58" s="365"/>
    </row>
    <row r="59" spans="1:8" s="269" customFormat="1" ht="30.75">
      <c r="A59" s="365" t="s">
        <v>111</v>
      </c>
      <c r="B59" s="366"/>
      <c r="C59" s="365" t="s">
        <v>112</v>
      </c>
      <c r="D59" s="366"/>
      <c r="E59" s="365"/>
      <c r="F59" s="365" t="s">
        <v>113</v>
      </c>
      <c r="G59" s="365"/>
      <c r="H59" s="365" t="s">
        <v>123</v>
      </c>
    </row>
    <row r="60" spans="1:8" s="367" customFormat="1" ht="30.75">
      <c r="A60" s="365" t="s">
        <v>124</v>
      </c>
      <c r="B60" s="366"/>
      <c r="C60" s="365"/>
      <c r="D60" s="366"/>
      <c r="E60" s="365"/>
      <c r="F60" s="365"/>
      <c r="G60" s="365"/>
      <c r="H60" s="365"/>
    </row>
    <row r="61" spans="1:8" s="367" customFormat="1" ht="30.75">
      <c r="A61" s="365" t="s">
        <v>114</v>
      </c>
      <c r="B61" s="366"/>
      <c r="C61" s="365"/>
      <c r="D61" s="366"/>
      <c r="E61" s="365"/>
      <c r="F61" s="365"/>
      <c r="G61" s="365"/>
      <c r="H61" s="365"/>
    </row>
    <row r="62" spans="1:8" s="367" customFormat="1" ht="30.75">
      <c r="A62" s="365" t="s">
        <v>115</v>
      </c>
      <c r="B62" s="366"/>
      <c r="C62" s="365"/>
      <c r="D62" s="366"/>
      <c r="E62" s="365"/>
      <c r="F62" s="365"/>
      <c r="G62" s="365"/>
      <c r="H62" s="365"/>
    </row>
    <row r="63" spans="1:8" s="367" customFormat="1" ht="30.75">
      <c r="A63" s="365"/>
      <c r="B63" s="366"/>
      <c r="C63" s="365"/>
      <c r="D63" s="366"/>
      <c r="E63" s="365"/>
      <c r="F63" s="365"/>
      <c r="G63" s="365"/>
      <c r="H63" s="365"/>
    </row>
    <row r="64" spans="1:8" ht="21">
      <c r="A64" s="30"/>
      <c r="B64" s="190"/>
      <c r="C64" s="30"/>
      <c r="D64" s="190"/>
      <c r="E64" s="30"/>
      <c r="F64" s="30"/>
      <c r="G64" s="30"/>
      <c r="H64" s="30"/>
    </row>
    <row r="77" spans="5:5">
      <c r="E77" s="182"/>
    </row>
  </sheetData>
  <mergeCells count="71">
    <mergeCell ref="A26:A27"/>
    <mergeCell ref="B26:B27"/>
    <mergeCell ref="C26:C27"/>
    <mergeCell ref="D26:D27"/>
    <mergeCell ref="E26:H26"/>
    <mergeCell ref="A28:A29"/>
    <mergeCell ref="B28:B29"/>
    <mergeCell ref="C28:C29"/>
    <mergeCell ref="D28:D29"/>
    <mergeCell ref="E28:H28"/>
    <mergeCell ref="A7:H7"/>
    <mergeCell ref="A6:H6"/>
    <mergeCell ref="D24:D25"/>
    <mergeCell ref="C20:C21"/>
    <mergeCell ref="A18:A19"/>
    <mergeCell ref="E24:H24"/>
    <mergeCell ref="E22:H22"/>
    <mergeCell ref="A22:A23"/>
    <mergeCell ref="B22:B23"/>
    <mergeCell ref="C22:C23"/>
    <mergeCell ref="D22:D23"/>
    <mergeCell ref="A11:H11"/>
    <mergeCell ref="A12:H12"/>
    <mergeCell ref="A8:H8"/>
    <mergeCell ref="E14:H14"/>
    <mergeCell ref="E17:H17"/>
    <mergeCell ref="B50:B57"/>
    <mergeCell ref="A50:A57"/>
    <mergeCell ref="C50:C57"/>
    <mergeCell ref="D50:D57"/>
    <mergeCell ref="D38:D49"/>
    <mergeCell ref="A38:A49"/>
    <mergeCell ref="B38:B49"/>
    <mergeCell ref="C38:C49"/>
    <mergeCell ref="D36:D37"/>
    <mergeCell ref="A36:A37"/>
    <mergeCell ref="E36:H36"/>
    <mergeCell ref="B36:B37"/>
    <mergeCell ref="C36:C37"/>
    <mergeCell ref="A14:A16"/>
    <mergeCell ref="B14:B16"/>
    <mergeCell ref="C14:C16"/>
    <mergeCell ref="D14:D16"/>
    <mergeCell ref="A9:H9"/>
    <mergeCell ref="A10:H10"/>
    <mergeCell ref="C18:C19"/>
    <mergeCell ref="D18:D19"/>
    <mergeCell ref="E30:H30"/>
    <mergeCell ref="A20:A21"/>
    <mergeCell ref="B20:B21"/>
    <mergeCell ref="E20:H20"/>
    <mergeCell ref="D20:D21"/>
    <mergeCell ref="E19:H19"/>
    <mergeCell ref="B18:B19"/>
    <mergeCell ref="A24:A25"/>
    <mergeCell ref="B24:B25"/>
    <mergeCell ref="C24:C25"/>
    <mergeCell ref="D30:D31"/>
    <mergeCell ref="A30:A31"/>
    <mergeCell ref="B30:B31"/>
    <mergeCell ref="C30:C31"/>
    <mergeCell ref="A32:A33"/>
    <mergeCell ref="B32:B33"/>
    <mergeCell ref="C32:C33"/>
    <mergeCell ref="D32:D33"/>
    <mergeCell ref="E32:H32"/>
    <mergeCell ref="A34:A35"/>
    <mergeCell ref="B34:B35"/>
    <mergeCell ref="C34:C35"/>
    <mergeCell ref="D34:D35"/>
    <mergeCell ref="E34:H34"/>
  </mergeCells>
  <pageMargins left="0" right="0" top="0" bottom="0" header="0" footer="0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view="pageBreakPreview" topLeftCell="A7" zoomScale="90" zoomScaleNormal="90" zoomScaleSheetLayoutView="90" zoomScalePageLayoutView="90" workbookViewId="0">
      <selection activeCell="C14" sqref="C14"/>
    </sheetView>
  </sheetViews>
  <sheetFormatPr defaultColWidth="9.140625" defaultRowHeight="15"/>
  <cols>
    <col min="1" max="1" width="5.85546875" style="5" customWidth="1"/>
    <col min="2" max="2" width="66.5703125" style="5" customWidth="1"/>
    <col min="3" max="3" width="44.85546875" style="5" customWidth="1"/>
    <col min="4" max="5" width="9.140625" style="5"/>
    <col min="6" max="6" width="36.85546875" style="5" customWidth="1"/>
    <col min="7" max="7" width="15" style="5" customWidth="1"/>
    <col min="8" max="11" width="9.140625" style="5"/>
    <col min="12" max="12" width="0" style="5" hidden="1" customWidth="1"/>
    <col min="13" max="13" width="37.5703125" style="5" hidden="1" customWidth="1"/>
    <col min="14" max="14" width="16.7109375" style="5" hidden="1" customWidth="1"/>
    <col min="15" max="16384" width="9.140625" style="5"/>
  </cols>
  <sheetData>
    <row r="1" spans="1:14" ht="25.5">
      <c r="A1" s="684" t="s">
        <v>200</v>
      </c>
      <c r="B1" s="684"/>
      <c r="C1" s="684"/>
      <c r="D1" s="15"/>
    </row>
    <row r="2" spans="1:14" ht="25.5">
      <c r="A2" s="684" t="s">
        <v>122</v>
      </c>
      <c r="B2" s="684"/>
      <c r="C2" s="684"/>
      <c r="D2" s="15"/>
    </row>
    <row r="3" spans="1:14" ht="105" customHeight="1">
      <c r="A3" s="687" t="s">
        <v>201</v>
      </c>
      <c r="B3" s="687"/>
      <c r="C3" s="687"/>
      <c r="D3" s="15"/>
    </row>
    <row r="4" spans="1:14" ht="22.5" customHeight="1">
      <c r="A4" s="688" t="s">
        <v>138</v>
      </c>
      <c r="B4" s="688"/>
      <c r="C4" s="688"/>
      <c r="D4" s="15"/>
    </row>
    <row r="5" spans="1:14" ht="29.25" customHeight="1">
      <c r="A5" s="687" t="s">
        <v>143</v>
      </c>
      <c r="B5" s="687"/>
      <c r="C5" s="687"/>
      <c r="D5" s="15"/>
    </row>
    <row r="6" spans="1:14" ht="14.25" customHeight="1">
      <c r="A6" s="685" t="s">
        <v>90</v>
      </c>
      <c r="B6" s="685"/>
      <c r="C6" s="685"/>
      <c r="M6" s="4" t="s">
        <v>20</v>
      </c>
      <c r="N6" s="6" t="s">
        <v>21</v>
      </c>
    </row>
    <row r="7" spans="1:14" ht="19.5" customHeight="1" thickBot="1">
      <c r="A7" s="686" t="s">
        <v>296</v>
      </c>
      <c r="B7" s="686"/>
      <c r="C7" s="686"/>
      <c r="M7" s="4" t="s">
        <v>20</v>
      </c>
      <c r="N7" s="6" t="s">
        <v>21</v>
      </c>
    </row>
    <row r="8" spans="1:14" ht="27" customHeight="1" thickBot="1">
      <c r="A8" s="482" t="s">
        <v>75</v>
      </c>
      <c r="B8" s="483" t="s">
        <v>100</v>
      </c>
      <c r="C8" s="484" t="s">
        <v>19</v>
      </c>
      <c r="M8" s="4" t="s">
        <v>20</v>
      </c>
      <c r="N8" s="6" t="s">
        <v>21</v>
      </c>
    </row>
    <row r="9" spans="1:14" ht="45" customHeight="1">
      <c r="A9" s="485">
        <v>1</v>
      </c>
      <c r="B9" s="486" t="s">
        <v>203</v>
      </c>
      <c r="C9" s="487" t="s">
        <v>180</v>
      </c>
      <c r="M9" s="7" t="s">
        <v>22</v>
      </c>
      <c r="N9" s="8" t="s">
        <v>23</v>
      </c>
    </row>
    <row r="10" spans="1:14" ht="52.5" customHeight="1">
      <c r="A10" s="409">
        <v>2</v>
      </c>
      <c r="B10" s="407" t="s">
        <v>204</v>
      </c>
      <c r="C10" s="410" t="s">
        <v>160</v>
      </c>
      <c r="M10" s="4" t="s">
        <v>24</v>
      </c>
      <c r="N10" s="9" t="s">
        <v>25</v>
      </c>
    </row>
    <row r="11" spans="1:14" ht="63" customHeight="1">
      <c r="A11" s="409">
        <v>3</v>
      </c>
      <c r="B11" s="407" t="s">
        <v>205</v>
      </c>
      <c r="C11" s="410" t="s">
        <v>179</v>
      </c>
      <c r="M11" s="4"/>
      <c r="N11" s="9"/>
    </row>
    <row r="12" spans="1:14" ht="99" customHeight="1">
      <c r="A12" s="409">
        <v>4</v>
      </c>
      <c r="B12" s="407" t="s">
        <v>322</v>
      </c>
      <c r="C12" s="601" t="s">
        <v>324</v>
      </c>
      <c r="M12" s="4" t="s">
        <v>26</v>
      </c>
      <c r="N12" s="9" t="s">
        <v>25</v>
      </c>
    </row>
    <row r="13" spans="1:14" ht="51" customHeight="1">
      <c r="A13" s="409">
        <v>5</v>
      </c>
      <c r="B13" s="407" t="s">
        <v>206</v>
      </c>
      <c r="C13" s="410" t="s">
        <v>133</v>
      </c>
      <c r="M13" s="4" t="s">
        <v>27</v>
      </c>
      <c r="N13" s="9" t="s">
        <v>28</v>
      </c>
    </row>
    <row r="14" spans="1:14" ht="31.5">
      <c r="A14" s="409">
        <v>6</v>
      </c>
      <c r="B14" s="408" t="s">
        <v>207</v>
      </c>
      <c r="C14" s="601" t="s">
        <v>271</v>
      </c>
      <c r="M14" s="4"/>
      <c r="N14" s="9"/>
    </row>
    <row r="15" spans="1:14" ht="54" customHeight="1">
      <c r="A15" s="585">
        <v>7</v>
      </c>
      <c r="B15" s="584" t="s">
        <v>208</v>
      </c>
      <c r="C15" s="586" t="s">
        <v>156</v>
      </c>
      <c r="M15" s="4" t="s">
        <v>29</v>
      </c>
      <c r="N15" s="9" t="s">
        <v>30</v>
      </c>
    </row>
    <row r="16" spans="1:14" ht="54" customHeight="1" thickBot="1">
      <c r="A16" s="499">
        <v>8</v>
      </c>
      <c r="B16" s="587" t="s">
        <v>244</v>
      </c>
      <c r="C16" s="588" t="s">
        <v>243</v>
      </c>
      <c r="M16" s="4"/>
      <c r="N16" s="9"/>
    </row>
    <row r="17" spans="1:14" ht="16.5" customHeight="1">
      <c r="A17" s="16" t="s">
        <v>80</v>
      </c>
      <c r="B17" s="17"/>
      <c r="C17" s="18"/>
      <c r="M17" s="4"/>
      <c r="N17" s="9"/>
    </row>
    <row r="18" spans="1:14" ht="16.5" customHeight="1">
      <c r="A18" s="555" t="s">
        <v>196</v>
      </c>
      <c r="B18" s="17"/>
      <c r="C18" s="18"/>
      <c r="M18" s="4" t="s">
        <v>32</v>
      </c>
      <c r="N18" s="9" t="s">
        <v>31</v>
      </c>
    </row>
    <row r="19" spans="1:14" ht="16.5" customHeight="1">
      <c r="A19" s="683" t="s">
        <v>81</v>
      </c>
      <c r="B19" s="683"/>
      <c r="C19" s="19"/>
      <c r="M19" s="4" t="s">
        <v>33</v>
      </c>
      <c r="N19" s="9" t="s">
        <v>31</v>
      </c>
    </row>
    <row r="20" spans="1:14" ht="15.75">
      <c r="A20" s="683" t="s">
        <v>116</v>
      </c>
      <c r="B20" s="683"/>
      <c r="C20" s="12"/>
      <c r="M20" s="4" t="s">
        <v>34</v>
      </c>
      <c r="N20" s="9" t="s">
        <v>35</v>
      </c>
    </row>
    <row r="21" spans="1:14">
      <c r="A21" s="10"/>
      <c r="B21" s="11"/>
      <c r="C21" s="12"/>
      <c r="M21" s="4" t="s">
        <v>36</v>
      </c>
      <c r="N21" s="9" t="s">
        <v>37</v>
      </c>
    </row>
    <row r="22" spans="1:14" ht="25.5">
      <c r="A22" s="10"/>
      <c r="B22" s="11"/>
      <c r="C22" s="12"/>
      <c r="M22" s="4" t="s">
        <v>38</v>
      </c>
      <c r="N22" s="6" t="s">
        <v>39</v>
      </c>
    </row>
    <row r="23" spans="1:14">
      <c r="A23" s="10"/>
      <c r="B23" s="11"/>
      <c r="C23" s="12"/>
      <c r="M23" s="4" t="s">
        <v>40</v>
      </c>
      <c r="N23" s="9" t="s">
        <v>41</v>
      </c>
    </row>
    <row r="24" spans="1:14">
      <c r="A24" s="10"/>
      <c r="B24" s="11"/>
      <c r="C24" s="13"/>
      <c r="M24" s="4" t="s">
        <v>42</v>
      </c>
      <c r="N24" s="9" t="s">
        <v>43</v>
      </c>
    </row>
    <row r="25" spans="1:14">
      <c r="A25" s="10"/>
      <c r="B25" s="11"/>
      <c r="C25" s="12"/>
      <c r="M25" s="4" t="s">
        <v>44</v>
      </c>
      <c r="N25" s="9" t="s">
        <v>41</v>
      </c>
    </row>
    <row r="26" spans="1:14">
      <c r="A26" s="10"/>
      <c r="B26" s="11"/>
      <c r="C26" s="12"/>
      <c r="M26" s="4" t="s">
        <v>45</v>
      </c>
      <c r="N26" s="9" t="s">
        <v>46</v>
      </c>
    </row>
    <row r="27" spans="1:14">
      <c r="A27" s="10"/>
      <c r="B27" s="11"/>
      <c r="C27" s="12"/>
      <c r="M27" s="4" t="s">
        <v>47</v>
      </c>
      <c r="N27" s="9" t="s">
        <v>48</v>
      </c>
    </row>
    <row r="28" spans="1:14">
      <c r="A28" s="10"/>
      <c r="B28" s="11"/>
      <c r="C28" s="12"/>
      <c r="M28" s="4" t="s">
        <v>49</v>
      </c>
      <c r="N28" s="9" t="s">
        <v>46</v>
      </c>
    </row>
    <row r="29" spans="1:14">
      <c r="A29" s="10"/>
      <c r="B29" s="11"/>
      <c r="C29" s="12"/>
      <c r="M29" s="4" t="s">
        <v>50</v>
      </c>
      <c r="N29" s="9" t="s">
        <v>51</v>
      </c>
    </row>
    <row r="30" spans="1:14">
      <c r="A30" s="10"/>
      <c r="B30" s="11"/>
      <c r="C30" s="12"/>
      <c r="M30" s="4" t="s">
        <v>52</v>
      </c>
      <c r="N30" s="9" t="s">
        <v>53</v>
      </c>
    </row>
    <row r="31" spans="1:14">
      <c r="A31" s="10"/>
      <c r="B31" s="11"/>
      <c r="C31" s="12"/>
      <c r="M31" s="4" t="s">
        <v>54</v>
      </c>
      <c r="N31" s="9" t="s">
        <v>51</v>
      </c>
    </row>
    <row r="32" spans="1:14">
      <c r="A32" s="10"/>
      <c r="B32" s="11"/>
      <c r="C32" s="12"/>
      <c r="M32" s="4" t="s">
        <v>55</v>
      </c>
      <c r="N32" s="9" t="s">
        <v>56</v>
      </c>
    </row>
    <row r="33" spans="1:14">
      <c r="A33" s="10"/>
      <c r="B33" s="11"/>
      <c r="C33" s="12"/>
      <c r="M33" s="4" t="s">
        <v>57</v>
      </c>
      <c r="N33" s="9" t="s">
        <v>46</v>
      </c>
    </row>
    <row r="34" spans="1:14">
      <c r="A34" s="10"/>
      <c r="B34" s="11"/>
      <c r="C34" s="12"/>
      <c r="M34" s="4" t="s">
        <v>58</v>
      </c>
      <c r="N34" s="9" t="s">
        <v>46</v>
      </c>
    </row>
    <row r="35" spans="1:14">
      <c r="A35" s="10"/>
      <c r="B35" s="11"/>
      <c r="C35" s="12"/>
      <c r="M35" s="4" t="s">
        <v>59</v>
      </c>
      <c r="N35" s="6" t="s">
        <v>60</v>
      </c>
    </row>
    <row r="36" spans="1:14" ht="25.5">
      <c r="A36" s="10"/>
      <c r="B36" s="11"/>
      <c r="C36" s="12"/>
      <c r="M36" s="4" t="s">
        <v>61</v>
      </c>
      <c r="N36" s="6" t="s">
        <v>62</v>
      </c>
    </row>
    <row r="37" spans="1:14">
      <c r="A37" s="10"/>
      <c r="B37" s="11"/>
      <c r="C37" s="13"/>
      <c r="M37" s="4" t="s">
        <v>63</v>
      </c>
      <c r="N37" s="6" t="s">
        <v>64</v>
      </c>
    </row>
    <row r="38" spans="1:14">
      <c r="A38" s="10"/>
      <c r="B38" s="11"/>
      <c r="C38" s="13"/>
      <c r="M38" s="4" t="s">
        <v>65</v>
      </c>
      <c r="N38" s="9" t="s">
        <v>66</v>
      </c>
    </row>
    <row r="39" spans="1:14">
      <c r="A39" s="10"/>
      <c r="B39" s="11"/>
      <c r="C39" s="13"/>
      <c r="M39" s="4" t="s">
        <v>67</v>
      </c>
      <c r="N39" s="9" t="s">
        <v>68</v>
      </c>
    </row>
    <row r="40" spans="1:14" ht="25.5">
      <c r="A40" s="10"/>
      <c r="B40" s="11"/>
      <c r="C40" s="12"/>
      <c r="M40" s="4" t="s">
        <v>69</v>
      </c>
      <c r="N40" s="9" t="s">
        <v>70</v>
      </c>
    </row>
    <row r="41" spans="1:14">
      <c r="A41" s="10"/>
      <c r="B41" s="11"/>
      <c r="C41" s="12"/>
      <c r="M41" s="4" t="s">
        <v>71</v>
      </c>
      <c r="N41" s="9" t="s">
        <v>72</v>
      </c>
    </row>
    <row r="42" spans="1:14" ht="25.5">
      <c r="A42" s="10"/>
      <c r="B42" s="11"/>
      <c r="C42" s="12"/>
      <c r="M42" s="4" t="s">
        <v>73</v>
      </c>
      <c r="N42" s="9" t="s">
        <v>31</v>
      </c>
    </row>
    <row r="43" spans="1:14" ht="15.75" thickBot="1">
      <c r="A43" s="10"/>
      <c r="B43" s="11"/>
      <c r="C43" s="12"/>
      <c r="M43" s="14" t="s">
        <v>74</v>
      </c>
      <c r="N43" s="9" t="s">
        <v>72</v>
      </c>
    </row>
    <row r="44" spans="1:14">
      <c r="A44" s="10"/>
      <c r="B44" s="11"/>
      <c r="C44" s="12"/>
    </row>
    <row r="45" spans="1:14">
      <c r="A45" s="10"/>
      <c r="B45" s="11"/>
      <c r="C45" s="12"/>
    </row>
    <row r="46" spans="1:14">
      <c r="A46" s="10"/>
      <c r="B46" s="10"/>
      <c r="C46" s="10"/>
    </row>
  </sheetData>
  <mergeCells count="9">
    <mergeCell ref="A20:B20"/>
    <mergeCell ref="A1:C1"/>
    <mergeCell ref="A6:C6"/>
    <mergeCell ref="A19:B19"/>
    <mergeCell ref="A7:C7"/>
    <mergeCell ref="A2:C2"/>
    <mergeCell ref="A3:C3"/>
    <mergeCell ref="A4:C4"/>
    <mergeCell ref="A5:C5"/>
  </mergeCells>
  <phoneticPr fontId="3" type="noConversion"/>
  <pageMargins left="0" right="0" top="0" bottom="0" header="0" footer="0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56"/>
  <sheetViews>
    <sheetView view="pageBreakPreview" topLeftCell="A4" zoomScale="45" zoomScaleNormal="40" zoomScaleSheetLayoutView="45" zoomScalePageLayoutView="40" workbookViewId="0">
      <selection activeCell="C34" sqref="C34"/>
    </sheetView>
  </sheetViews>
  <sheetFormatPr defaultColWidth="9.140625" defaultRowHeight="23.25"/>
  <cols>
    <col min="1" max="1" width="6" style="465" customWidth="1"/>
    <col min="2" max="2" width="20.85546875" style="465" customWidth="1"/>
    <col min="3" max="6" width="74" style="465" customWidth="1"/>
    <col min="7" max="16384" width="9.140625" style="465"/>
  </cols>
  <sheetData>
    <row r="1" spans="1:7" ht="27" customHeight="1">
      <c r="B1" s="689" t="s">
        <v>197</v>
      </c>
      <c r="C1" s="689"/>
      <c r="D1" s="689"/>
      <c r="E1" s="689"/>
      <c r="F1" s="689"/>
    </row>
    <row r="2" spans="1:7">
      <c r="A2" s="466"/>
      <c r="B2" s="689" t="s">
        <v>122</v>
      </c>
      <c r="C2" s="689"/>
      <c r="D2" s="689"/>
      <c r="E2" s="689"/>
      <c r="F2" s="689"/>
    </row>
    <row r="3" spans="1:7" ht="168" customHeight="1">
      <c r="A3" s="690" t="s">
        <v>201</v>
      </c>
      <c r="B3" s="691"/>
      <c r="C3" s="691"/>
      <c r="D3" s="691"/>
      <c r="E3" s="691"/>
      <c r="F3" s="691"/>
    </row>
    <row r="4" spans="1:7" ht="25.5" customHeight="1">
      <c r="A4" s="692" t="s">
        <v>138</v>
      </c>
      <c r="B4" s="692"/>
      <c r="C4" s="692"/>
      <c r="D4" s="692"/>
      <c r="E4" s="692"/>
      <c r="F4" s="692"/>
    </row>
    <row r="5" spans="1:7" ht="38.25" customHeight="1">
      <c r="A5" s="693" t="s">
        <v>143</v>
      </c>
      <c r="B5" s="693"/>
      <c r="C5" s="693"/>
      <c r="D5" s="693"/>
      <c r="E5" s="693"/>
      <c r="F5" s="693"/>
    </row>
    <row r="6" spans="1:7">
      <c r="A6" s="689" t="s">
        <v>90</v>
      </c>
      <c r="B6" s="689"/>
      <c r="C6" s="689"/>
      <c r="D6" s="689"/>
      <c r="E6" s="689"/>
      <c r="F6" s="689"/>
    </row>
    <row r="7" spans="1:7">
      <c r="A7" s="694" t="s">
        <v>296</v>
      </c>
      <c r="B7" s="694"/>
      <c r="C7" s="694"/>
      <c r="D7" s="694"/>
      <c r="E7" s="694"/>
      <c r="F7" s="694"/>
    </row>
    <row r="8" spans="1:7" ht="24" thickBot="1">
      <c r="A8" s="695" t="s">
        <v>202</v>
      </c>
      <c r="B8" s="696"/>
      <c r="C8" s="696"/>
      <c r="D8" s="696"/>
      <c r="E8" s="696"/>
      <c r="F8" s="696"/>
    </row>
    <row r="9" spans="1:7" ht="27" customHeight="1" thickBot="1">
      <c r="A9" s="700" t="s">
        <v>76</v>
      </c>
      <c r="B9" s="702" t="s">
        <v>77</v>
      </c>
      <c r="C9" s="606" t="s">
        <v>301</v>
      </c>
      <c r="D9" s="607" t="s">
        <v>11</v>
      </c>
      <c r="E9" s="607" t="s">
        <v>12</v>
      </c>
      <c r="F9" s="608" t="s">
        <v>153</v>
      </c>
    </row>
    <row r="10" spans="1:7" ht="111.75" customHeight="1" thickBot="1">
      <c r="A10" s="701"/>
      <c r="B10" s="703"/>
      <c r="C10" s="609" t="s">
        <v>294</v>
      </c>
      <c r="D10" s="610" t="s">
        <v>125</v>
      </c>
      <c r="E10" s="611" t="s">
        <v>321</v>
      </c>
      <c r="F10" s="612" t="s">
        <v>293</v>
      </c>
      <c r="G10" s="467"/>
    </row>
    <row r="11" spans="1:7" ht="45.75" customHeight="1">
      <c r="A11" s="697" t="s">
        <v>0</v>
      </c>
      <c r="B11" s="309" t="s">
        <v>5</v>
      </c>
      <c r="C11" s="200"/>
      <c r="D11" s="450"/>
      <c r="E11" s="450"/>
      <c r="F11" s="451"/>
      <c r="G11" s="467"/>
    </row>
    <row r="12" spans="1:7" ht="45.75" customHeight="1">
      <c r="A12" s="698"/>
      <c r="B12" s="307" t="s">
        <v>6</v>
      </c>
      <c r="C12" s="468"/>
      <c r="D12" s="305"/>
      <c r="E12" s="305"/>
      <c r="F12" s="306"/>
      <c r="G12" s="467"/>
    </row>
    <row r="13" spans="1:7" ht="45.75" customHeight="1">
      <c r="A13" s="698"/>
      <c r="B13" s="307" t="s">
        <v>7</v>
      </c>
      <c r="C13" s="201"/>
      <c r="D13" s="305"/>
      <c r="E13" s="305"/>
      <c r="F13" s="306"/>
      <c r="G13" s="467"/>
    </row>
    <row r="14" spans="1:7" ht="45.75" customHeight="1">
      <c r="A14" s="698"/>
      <c r="B14" s="307" t="s">
        <v>8</v>
      </c>
      <c r="C14" s="201"/>
      <c r="D14" s="305"/>
      <c r="E14" s="305"/>
      <c r="F14" s="306"/>
      <c r="G14" s="467"/>
    </row>
    <row r="15" spans="1:7" ht="45.75" customHeight="1">
      <c r="A15" s="698"/>
      <c r="B15" s="307" t="s">
        <v>10</v>
      </c>
      <c r="C15" s="201"/>
      <c r="D15" s="199"/>
      <c r="E15" s="199"/>
      <c r="F15" s="49"/>
      <c r="G15" s="467"/>
    </row>
    <row r="16" spans="1:7" ht="45.75" customHeight="1">
      <c r="A16" s="698"/>
      <c r="B16" s="307" t="s">
        <v>158</v>
      </c>
      <c r="C16" s="201"/>
      <c r="D16" s="199"/>
      <c r="E16" s="199"/>
      <c r="F16" s="49"/>
    </row>
    <row r="17" spans="1:6" ht="45.75" customHeight="1" thickBot="1">
      <c r="A17" s="699"/>
      <c r="B17" s="452" t="s">
        <v>88</v>
      </c>
      <c r="C17" s="204"/>
      <c r="D17" s="205"/>
      <c r="E17" s="205"/>
      <c r="F17" s="206"/>
    </row>
    <row r="18" spans="1:6" ht="45.75" customHeight="1">
      <c r="A18" s="698" t="s">
        <v>1</v>
      </c>
      <c r="B18" s="449" t="s">
        <v>315</v>
      </c>
      <c r="C18" s="629" t="s">
        <v>368</v>
      </c>
      <c r="D18" s="234"/>
      <c r="E18" s="234" t="s">
        <v>316</v>
      </c>
      <c r="F18" s="235"/>
    </row>
    <row r="19" spans="1:6" ht="45.75" customHeight="1">
      <c r="A19" s="698"/>
      <c r="B19" s="313" t="s">
        <v>131</v>
      </c>
      <c r="C19" s="207" t="s">
        <v>369</v>
      </c>
      <c r="D19" s="234"/>
      <c r="E19" s="234"/>
      <c r="F19" s="235"/>
    </row>
    <row r="20" spans="1:6" ht="45.75" customHeight="1">
      <c r="A20" s="698"/>
      <c r="B20" s="313" t="s">
        <v>6</v>
      </c>
      <c r="C20" s="207"/>
      <c r="D20" s="234"/>
      <c r="E20" s="234"/>
      <c r="F20" s="235"/>
    </row>
    <row r="21" spans="1:6" ht="45.75" customHeight="1">
      <c r="A21" s="698"/>
      <c r="B21" s="313" t="s">
        <v>7</v>
      </c>
      <c r="C21" s="207"/>
      <c r="D21" s="234"/>
      <c r="E21" s="234"/>
      <c r="F21" s="235"/>
    </row>
    <row r="22" spans="1:6" ht="45.75" customHeight="1">
      <c r="A22" s="698"/>
      <c r="B22" s="307" t="s">
        <v>8</v>
      </c>
      <c r="C22" s="207"/>
      <c r="D22" s="234"/>
      <c r="E22" s="346"/>
      <c r="F22" s="235"/>
    </row>
    <row r="23" spans="1:6" ht="93">
      <c r="A23" s="698"/>
      <c r="B23" s="307" t="s">
        <v>10</v>
      </c>
      <c r="C23" s="420"/>
      <c r="D23" s="199" t="s">
        <v>325</v>
      </c>
      <c r="E23" s="199" t="s">
        <v>323</v>
      </c>
      <c r="F23" s="49" t="s">
        <v>339</v>
      </c>
    </row>
    <row r="24" spans="1:6" ht="45.75" customHeight="1">
      <c r="A24" s="698"/>
      <c r="B24" s="307" t="s">
        <v>158</v>
      </c>
      <c r="C24" s="420"/>
      <c r="D24" s="199"/>
      <c r="E24" s="199"/>
      <c r="F24" s="49"/>
    </row>
    <row r="25" spans="1:6" ht="45.75" customHeight="1" thickBot="1">
      <c r="A25" s="699"/>
      <c r="B25" s="308" t="s">
        <v>79</v>
      </c>
      <c r="C25" s="421"/>
      <c r="D25" s="203"/>
      <c r="E25" s="203"/>
      <c r="F25" s="191"/>
    </row>
    <row r="26" spans="1:6" ht="45.75" customHeight="1">
      <c r="A26" s="697" t="s">
        <v>2</v>
      </c>
      <c r="B26" s="309" t="s">
        <v>5</v>
      </c>
      <c r="C26" s="422"/>
      <c r="D26" s="202"/>
      <c r="E26" s="202"/>
      <c r="F26" s="192"/>
    </row>
    <row r="27" spans="1:6" ht="45.75" customHeight="1">
      <c r="A27" s="698"/>
      <c r="B27" s="311" t="s">
        <v>6</v>
      </c>
      <c r="C27" s="423"/>
      <c r="D27" s="234"/>
      <c r="E27" s="234"/>
      <c r="F27" s="235"/>
    </row>
    <row r="28" spans="1:6" ht="45.75" customHeight="1">
      <c r="A28" s="698"/>
      <c r="B28" s="626" t="s">
        <v>7</v>
      </c>
      <c r="C28" s="423"/>
      <c r="D28" s="234"/>
      <c r="E28" s="234"/>
      <c r="F28" s="235"/>
    </row>
    <row r="29" spans="1:6" ht="45.75" customHeight="1">
      <c r="A29" s="698"/>
      <c r="B29" s="310" t="s">
        <v>8</v>
      </c>
      <c r="C29" s="420"/>
      <c r="D29" s="199"/>
      <c r="E29" s="199"/>
      <c r="F29" s="49"/>
    </row>
    <row r="30" spans="1:6" ht="45.75" customHeight="1">
      <c r="A30" s="698"/>
      <c r="B30" s="311" t="s">
        <v>10</v>
      </c>
      <c r="C30" s="420"/>
      <c r="D30" s="199"/>
      <c r="E30" s="199"/>
      <c r="F30" s="301"/>
    </row>
    <row r="31" spans="1:6" ht="45.75" customHeight="1">
      <c r="A31" s="698"/>
      <c r="B31" s="307" t="s">
        <v>78</v>
      </c>
      <c r="C31" s="420"/>
      <c r="D31" s="199"/>
      <c r="E31" s="199"/>
      <c r="F31" s="49"/>
    </row>
    <row r="32" spans="1:6" ht="45.75" customHeight="1" thickBot="1">
      <c r="A32" s="699"/>
      <c r="B32" s="308" t="s">
        <v>79</v>
      </c>
      <c r="C32" s="488"/>
      <c r="D32" s="205"/>
      <c r="E32" s="205"/>
      <c r="F32" s="206"/>
    </row>
    <row r="33" spans="1:6" ht="45.75" customHeight="1">
      <c r="A33" s="704" t="s">
        <v>3</v>
      </c>
      <c r="B33" s="309" t="s">
        <v>5</v>
      </c>
      <c r="C33" s="422"/>
      <c r="D33" s="202"/>
      <c r="E33" s="202"/>
      <c r="F33" s="192"/>
    </row>
    <row r="34" spans="1:6" ht="45.75" customHeight="1">
      <c r="A34" s="705"/>
      <c r="B34" s="307" t="s">
        <v>6</v>
      </c>
      <c r="C34" s="207" t="s">
        <v>363</v>
      </c>
      <c r="D34" s="234"/>
      <c r="E34" s="234"/>
      <c r="F34" s="234" t="s">
        <v>360</v>
      </c>
    </row>
    <row r="35" spans="1:6" ht="45.75" customHeight="1">
      <c r="A35" s="705"/>
      <c r="B35" s="626" t="s">
        <v>7</v>
      </c>
      <c r="C35" s="423"/>
      <c r="D35" s="234"/>
      <c r="E35" s="234"/>
      <c r="F35" s="234" t="s">
        <v>360</v>
      </c>
    </row>
    <row r="36" spans="1:6" ht="45.75" customHeight="1">
      <c r="A36" s="705"/>
      <c r="B36" s="307" t="s">
        <v>8</v>
      </c>
      <c r="C36" s="423"/>
      <c r="D36" s="234"/>
      <c r="E36" s="234"/>
      <c r="F36" s="235"/>
    </row>
    <row r="37" spans="1:6" ht="54" customHeight="1">
      <c r="A37" s="705"/>
      <c r="B37" s="310" t="s">
        <v>10</v>
      </c>
      <c r="C37" s="423"/>
      <c r="D37" s="424"/>
      <c r="E37" s="305"/>
      <c r="F37" s="49" t="s">
        <v>312</v>
      </c>
    </row>
    <row r="38" spans="1:6" ht="45.75" customHeight="1">
      <c r="A38" s="705"/>
      <c r="B38" s="307" t="s">
        <v>78</v>
      </c>
      <c r="C38" s="420"/>
      <c r="D38" s="199"/>
      <c r="E38" s="424" t="s">
        <v>313</v>
      </c>
      <c r="F38" s="49"/>
    </row>
    <row r="39" spans="1:6" ht="45.75" customHeight="1" thickBot="1">
      <c r="A39" s="706"/>
      <c r="B39" s="308" t="s">
        <v>79</v>
      </c>
      <c r="C39" s="488"/>
      <c r="D39" s="205"/>
      <c r="E39" s="205"/>
      <c r="F39" s="206"/>
    </row>
    <row r="40" spans="1:6" ht="45.75" customHeight="1">
      <c r="A40" s="697" t="s">
        <v>4</v>
      </c>
      <c r="B40" s="307" t="s">
        <v>5</v>
      </c>
      <c r="C40" s="200"/>
      <c r="D40" s="202"/>
      <c r="E40" s="202"/>
      <c r="F40" s="192"/>
    </row>
    <row r="41" spans="1:6" ht="45.75" customHeight="1">
      <c r="A41" s="698"/>
      <c r="B41" s="307" t="s">
        <v>6</v>
      </c>
      <c r="C41" s="207"/>
      <c r="D41" s="234"/>
      <c r="E41" s="199"/>
      <c r="F41" s="235"/>
    </row>
    <row r="42" spans="1:6" ht="45.75" customHeight="1">
      <c r="A42" s="698"/>
      <c r="B42" s="307" t="s">
        <v>7</v>
      </c>
      <c r="C42" s="207"/>
      <c r="D42" s="234"/>
      <c r="E42" s="199"/>
      <c r="F42" s="235"/>
    </row>
    <row r="43" spans="1:6" ht="55.5" customHeight="1">
      <c r="A43" s="698"/>
      <c r="B43" s="307" t="s">
        <v>8</v>
      </c>
      <c r="C43" s="207"/>
      <c r="D43" s="234"/>
      <c r="E43" s="199" t="s">
        <v>308</v>
      </c>
      <c r="F43" s="235"/>
    </row>
    <row r="44" spans="1:6" ht="72.75" customHeight="1">
      <c r="A44" s="698"/>
      <c r="B44" s="307" t="s">
        <v>10</v>
      </c>
      <c r="C44" s="207"/>
      <c r="D44" s="234"/>
      <c r="E44" s="199" t="s">
        <v>314</v>
      </c>
      <c r="F44" s="301" t="s">
        <v>359</v>
      </c>
    </row>
    <row r="45" spans="1:6" ht="45.75" customHeight="1">
      <c r="A45" s="698"/>
      <c r="B45" s="307" t="s">
        <v>87</v>
      </c>
      <c r="C45" s="201"/>
      <c r="D45" s="199"/>
      <c r="E45" s="199"/>
      <c r="F45" s="49"/>
    </row>
    <row r="46" spans="1:6" ht="45.75" customHeight="1">
      <c r="A46" s="698"/>
      <c r="B46" s="307" t="s">
        <v>88</v>
      </c>
      <c r="C46" s="201"/>
      <c r="D46" s="199"/>
      <c r="E46" s="199"/>
      <c r="F46" s="49"/>
    </row>
    <row r="47" spans="1:6" ht="45.75" customHeight="1" thickBot="1">
      <c r="A47" s="699"/>
      <c r="B47" s="308" t="s">
        <v>79</v>
      </c>
      <c r="C47" s="204"/>
      <c r="D47" s="205"/>
      <c r="E47" s="205"/>
      <c r="F47" s="206"/>
    </row>
    <row r="48" spans="1:6" ht="45.75" customHeight="1">
      <c r="A48" s="697" t="s">
        <v>18</v>
      </c>
      <c r="B48" s="312" t="s">
        <v>5</v>
      </c>
      <c r="C48" s="200"/>
      <c r="D48" s="202"/>
      <c r="E48" s="202"/>
      <c r="F48" s="192"/>
    </row>
    <row r="49" spans="1:6" ht="45.75" customHeight="1">
      <c r="A49" s="698"/>
      <c r="B49" s="307" t="s">
        <v>6</v>
      </c>
      <c r="C49" s="207"/>
      <c r="D49" s="199"/>
      <c r="E49" s="199"/>
      <c r="F49" s="49"/>
    </row>
    <row r="50" spans="1:6" ht="45.75" customHeight="1">
      <c r="A50" s="698"/>
      <c r="B50" s="307" t="s">
        <v>7</v>
      </c>
      <c r="C50" s="201"/>
      <c r="D50" s="199"/>
      <c r="E50" s="199"/>
      <c r="F50" s="301"/>
    </row>
    <row r="51" spans="1:6" ht="45.75" customHeight="1">
      <c r="A51" s="698"/>
      <c r="B51" s="307" t="s">
        <v>8</v>
      </c>
      <c r="C51" s="201"/>
      <c r="D51" s="199"/>
      <c r="E51" s="199"/>
      <c r="F51" s="49"/>
    </row>
    <row r="52" spans="1:6" ht="45.75" customHeight="1">
      <c r="A52" s="698"/>
      <c r="B52" s="310" t="s">
        <v>10</v>
      </c>
      <c r="C52" s="201"/>
      <c r="D52" s="199"/>
      <c r="E52" s="199"/>
      <c r="F52" s="49"/>
    </row>
    <row r="53" spans="1:6" ht="45.75" customHeight="1">
      <c r="A53" s="698"/>
      <c r="B53" s="307" t="s">
        <v>78</v>
      </c>
      <c r="C53" s="201"/>
      <c r="D53" s="199"/>
      <c r="E53" s="199"/>
      <c r="F53" s="49"/>
    </row>
    <row r="54" spans="1:6" ht="45.75" customHeight="1" thickBot="1">
      <c r="A54" s="699"/>
      <c r="B54" s="308" t="s">
        <v>79</v>
      </c>
      <c r="C54" s="204"/>
      <c r="D54" s="205"/>
      <c r="E54" s="205"/>
      <c r="F54" s="206"/>
    </row>
    <row r="56" spans="1:6" ht="38.25" customHeight="1">
      <c r="C56" s="469" t="s">
        <v>118</v>
      </c>
      <c r="D56" s="469"/>
      <c r="E56" s="469" t="s">
        <v>149</v>
      </c>
    </row>
  </sheetData>
  <mergeCells count="16">
    <mergeCell ref="A7:F7"/>
    <mergeCell ref="A8:F8"/>
    <mergeCell ref="A48:A54"/>
    <mergeCell ref="A9:A10"/>
    <mergeCell ref="B9:B10"/>
    <mergeCell ref="A40:A47"/>
    <mergeCell ref="A18:A25"/>
    <mergeCell ref="A33:A39"/>
    <mergeCell ref="A26:A32"/>
    <mergeCell ref="A11:A17"/>
    <mergeCell ref="A6:F6"/>
    <mergeCell ref="B1:F1"/>
    <mergeCell ref="B2:F2"/>
    <mergeCell ref="A3:F3"/>
    <mergeCell ref="A4:F4"/>
    <mergeCell ref="A5:F5"/>
  </mergeCells>
  <phoneticPr fontId="3" type="noConversion"/>
  <pageMargins left="0" right="0" top="0" bottom="0" header="0" footer="0"/>
  <pageSetup paperSize="9"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40"/>
  <sheetViews>
    <sheetView view="pageBreakPreview" topLeftCell="A16" zoomScale="40" zoomScaleNormal="40" zoomScaleSheetLayoutView="40" zoomScalePageLayoutView="40" workbookViewId="0">
      <selection activeCell="F33" sqref="F33"/>
    </sheetView>
  </sheetViews>
  <sheetFormatPr defaultRowHeight="26.25"/>
  <cols>
    <col min="1" max="1" width="5.140625" style="84" customWidth="1"/>
    <col min="2" max="2" width="5" style="84" customWidth="1"/>
    <col min="3" max="3" width="26.5703125" style="84" customWidth="1"/>
    <col min="4" max="7" width="62.7109375" style="84" customWidth="1"/>
    <col min="8" max="16384" width="9.140625" style="84"/>
  </cols>
  <sheetData>
    <row r="1" spans="1:7" ht="36" customHeight="1">
      <c r="B1" s="726" t="s">
        <v>197</v>
      </c>
      <c r="C1" s="726"/>
      <c r="D1" s="726"/>
      <c r="E1" s="726"/>
      <c r="F1" s="726"/>
      <c r="G1" s="726"/>
    </row>
    <row r="2" spans="1:7" ht="36" customHeight="1">
      <c r="A2" s="86"/>
      <c r="B2" s="726" t="s">
        <v>122</v>
      </c>
      <c r="C2" s="726"/>
      <c r="D2" s="726"/>
      <c r="E2" s="726"/>
      <c r="F2" s="726"/>
      <c r="G2" s="726"/>
    </row>
    <row r="3" spans="1:7" ht="222" customHeight="1">
      <c r="A3" s="679" t="s">
        <v>201</v>
      </c>
      <c r="B3" s="727"/>
      <c r="C3" s="727"/>
      <c r="D3" s="727"/>
      <c r="E3" s="727"/>
      <c r="F3" s="727"/>
      <c r="G3" s="727"/>
    </row>
    <row r="4" spans="1:7" ht="37.5" customHeight="1">
      <c r="A4" s="729" t="s">
        <v>138</v>
      </c>
      <c r="B4" s="729"/>
      <c r="C4" s="729"/>
      <c r="D4" s="729"/>
      <c r="E4" s="729"/>
      <c r="F4" s="729"/>
      <c r="G4" s="729"/>
    </row>
    <row r="5" spans="1:7" ht="37.5" customHeight="1">
      <c r="A5" s="679" t="s">
        <v>143</v>
      </c>
      <c r="B5" s="679"/>
      <c r="C5" s="679"/>
      <c r="D5" s="679"/>
      <c r="E5" s="679"/>
      <c r="F5" s="679"/>
      <c r="G5" s="679"/>
    </row>
    <row r="6" spans="1:7" ht="26.25" customHeight="1">
      <c r="A6" s="86"/>
      <c r="B6" s="726" t="s">
        <v>90</v>
      </c>
      <c r="C6" s="726"/>
      <c r="D6" s="726"/>
      <c r="E6" s="726"/>
      <c r="F6" s="726"/>
      <c r="G6" s="726"/>
    </row>
    <row r="7" spans="1:7" ht="30" customHeight="1" thickBot="1">
      <c r="A7" s="87"/>
      <c r="B7" s="728" t="s">
        <v>296</v>
      </c>
      <c r="C7" s="728"/>
      <c r="D7" s="728"/>
      <c r="E7" s="728"/>
      <c r="F7" s="728"/>
      <c r="G7" s="728"/>
    </row>
    <row r="8" spans="1:7" ht="36" customHeight="1" thickBot="1">
      <c r="A8" s="710" t="s">
        <v>76</v>
      </c>
      <c r="B8" s="710" t="s">
        <v>9</v>
      </c>
      <c r="C8" s="712" t="s">
        <v>77</v>
      </c>
      <c r="D8" s="606" t="s">
        <v>301</v>
      </c>
      <c r="E8" s="607" t="s">
        <v>11</v>
      </c>
      <c r="F8" s="607" t="s">
        <v>12</v>
      </c>
      <c r="G8" s="608" t="s">
        <v>153</v>
      </c>
    </row>
    <row r="9" spans="1:7" ht="120" customHeight="1" thickBot="1">
      <c r="A9" s="711"/>
      <c r="B9" s="711"/>
      <c r="C9" s="713"/>
      <c r="D9" s="609" t="s">
        <v>294</v>
      </c>
      <c r="E9" s="610" t="s">
        <v>125</v>
      </c>
      <c r="F9" s="611" t="s">
        <v>321</v>
      </c>
      <c r="G9" s="612" t="s">
        <v>293</v>
      </c>
    </row>
    <row r="10" spans="1:7" ht="50.25" customHeight="1">
      <c r="A10" s="715" t="s">
        <v>0</v>
      </c>
      <c r="B10" s="716"/>
      <c r="C10" s="46" t="s">
        <v>5</v>
      </c>
      <c r="D10" s="372"/>
      <c r="E10" s="373"/>
      <c r="F10" s="373"/>
      <c r="G10" s="374"/>
    </row>
    <row r="11" spans="1:7" ht="50.25" customHeight="1">
      <c r="A11" s="707"/>
      <c r="B11" s="707"/>
      <c r="C11" s="47" t="s">
        <v>6</v>
      </c>
      <c r="D11" s="58"/>
      <c r="E11" s="32"/>
      <c r="F11" s="32"/>
      <c r="G11" s="33"/>
    </row>
    <row r="12" spans="1:7" ht="50.25" customHeight="1">
      <c r="A12" s="707"/>
      <c r="B12" s="707"/>
      <c r="C12" s="47" t="s">
        <v>7</v>
      </c>
      <c r="D12" s="58"/>
      <c r="E12" s="32"/>
      <c r="F12" s="32"/>
      <c r="G12" s="33"/>
    </row>
    <row r="13" spans="1:7" ht="50.25" customHeight="1">
      <c r="A13" s="707"/>
      <c r="B13" s="707"/>
      <c r="C13" s="47" t="s">
        <v>8</v>
      </c>
      <c r="D13" s="58"/>
      <c r="E13" s="32"/>
      <c r="F13" s="32"/>
      <c r="G13" s="33"/>
    </row>
    <row r="14" spans="1:7" ht="50.25" customHeight="1" thickBot="1">
      <c r="A14" s="707"/>
      <c r="B14" s="707"/>
      <c r="C14" s="48" t="s">
        <v>10</v>
      </c>
      <c r="D14" s="59"/>
      <c r="E14" s="34"/>
      <c r="F14" s="34"/>
      <c r="G14" s="194"/>
    </row>
    <row r="15" spans="1:7" ht="50.25" customHeight="1">
      <c r="A15" s="707" t="s">
        <v>1</v>
      </c>
      <c r="B15" s="709"/>
      <c r="C15" s="46" t="s">
        <v>5</v>
      </c>
      <c r="D15" s="717"/>
      <c r="E15" s="718"/>
      <c r="F15" s="718"/>
      <c r="G15" s="719"/>
    </row>
    <row r="16" spans="1:7" ht="50.25" customHeight="1">
      <c r="A16" s="707"/>
      <c r="B16" s="707"/>
      <c r="C16" s="47" t="s">
        <v>6</v>
      </c>
      <c r="D16" s="723"/>
      <c r="E16" s="724"/>
      <c r="F16" s="724"/>
      <c r="G16" s="725"/>
    </row>
    <row r="17" spans="1:8" ht="50.25" customHeight="1">
      <c r="A17" s="707"/>
      <c r="B17" s="707"/>
      <c r="C17" s="47" t="s">
        <v>7</v>
      </c>
      <c r="D17" s="58"/>
      <c r="E17" s="32"/>
      <c r="F17" s="32"/>
      <c r="G17" s="33"/>
    </row>
    <row r="18" spans="1:8" ht="50.25" customHeight="1">
      <c r="A18" s="707"/>
      <c r="B18" s="707"/>
      <c r="C18" s="47" t="s">
        <v>8</v>
      </c>
      <c r="D18" s="62"/>
      <c r="E18" s="60"/>
      <c r="F18" s="32"/>
      <c r="G18" s="193"/>
    </row>
    <row r="19" spans="1:8" ht="50.25" customHeight="1" thickBot="1">
      <c r="A19" s="707"/>
      <c r="B19" s="707"/>
      <c r="C19" s="48" t="s">
        <v>10</v>
      </c>
      <c r="D19" s="293"/>
      <c r="E19" s="294"/>
      <c r="F19" s="294"/>
      <c r="G19" s="295"/>
      <c r="H19" s="185"/>
    </row>
    <row r="20" spans="1:8" ht="50.25" customHeight="1">
      <c r="A20" s="707" t="s">
        <v>2</v>
      </c>
      <c r="B20" s="709"/>
      <c r="C20" s="46" t="s">
        <v>5</v>
      </c>
      <c r="D20" s="174"/>
      <c r="E20" s="186"/>
      <c r="F20" s="186"/>
      <c r="G20" s="198"/>
    </row>
    <row r="21" spans="1:8" ht="50.25" customHeight="1">
      <c r="A21" s="707"/>
      <c r="B21" s="707"/>
      <c r="C21" s="47" t="s">
        <v>6</v>
      </c>
      <c r="D21" s="58"/>
      <c r="E21" s="184"/>
      <c r="F21" s="184"/>
      <c r="G21" s="292"/>
    </row>
    <row r="22" spans="1:8" ht="50.25" customHeight="1">
      <c r="A22" s="707"/>
      <c r="B22" s="707"/>
      <c r="C22" s="47" t="s">
        <v>7</v>
      </c>
      <c r="D22" s="58"/>
      <c r="E22" s="184"/>
      <c r="F22" s="184"/>
      <c r="G22" s="292"/>
      <c r="H22" s="185"/>
    </row>
    <row r="23" spans="1:8" ht="50.25" customHeight="1">
      <c r="A23" s="707"/>
      <c r="B23" s="707"/>
      <c r="C23" s="47" t="s">
        <v>8</v>
      </c>
      <c r="D23" s="58"/>
      <c r="E23" s="32"/>
      <c r="F23" s="32"/>
      <c r="G23" s="292"/>
    </row>
    <row r="24" spans="1:8" ht="50.25" customHeight="1" thickBot="1">
      <c r="A24" s="707"/>
      <c r="B24" s="707"/>
      <c r="C24" s="48" t="s">
        <v>10</v>
      </c>
      <c r="D24" s="59"/>
      <c r="E24" s="34"/>
      <c r="F24" s="179"/>
      <c r="G24" s="194"/>
    </row>
    <row r="25" spans="1:8" ht="82.5" customHeight="1">
      <c r="A25" s="707" t="s">
        <v>3</v>
      </c>
      <c r="B25" s="709"/>
      <c r="C25" s="46" t="s">
        <v>5</v>
      </c>
      <c r="D25" s="717" t="s">
        <v>306</v>
      </c>
      <c r="E25" s="718"/>
      <c r="F25" s="718"/>
      <c r="G25" s="719"/>
    </row>
    <row r="26" spans="1:8" ht="82.5" customHeight="1">
      <c r="A26" s="714"/>
      <c r="B26" s="707"/>
      <c r="C26" s="47" t="s">
        <v>6</v>
      </c>
      <c r="D26" s="720" t="s">
        <v>311</v>
      </c>
      <c r="E26" s="721"/>
      <c r="F26" s="721"/>
      <c r="G26" s="722"/>
    </row>
    <row r="27" spans="1:8" ht="60" customHeight="1">
      <c r="A27" s="714"/>
      <c r="B27" s="707"/>
      <c r="C27" s="47" t="s">
        <v>7</v>
      </c>
      <c r="D27" s="58"/>
      <c r="E27" s="32"/>
      <c r="F27" s="32"/>
      <c r="G27" s="33"/>
    </row>
    <row r="28" spans="1:8" ht="60" customHeight="1">
      <c r="A28" s="714"/>
      <c r="B28" s="707"/>
      <c r="C28" s="47" t="s">
        <v>8</v>
      </c>
      <c r="D28" s="62"/>
      <c r="E28" s="60"/>
      <c r="F28" s="32"/>
      <c r="G28" s="193"/>
    </row>
    <row r="29" spans="1:8" ht="60" customHeight="1" thickBot="1">
      <c r="A29" s="714"/>
      <c r="B29" s="707"/>
      <c r="C29" s="48" t="s">
        <v>10</v>
      </c>
      <c r="D29" s="293"/>
      <c r="E29" s="294"/>
      <c r="F29" s="294"/>
      <c r="G29" s="295"/>
    </row>
    <row r="30" spans="1:8" ht="50.25" customHeight="1">
      <c r="A30" s="707" t="s">
        <v>4</v>
      </c>
      <c r="B30" s="709"/>
      <c r="C30" s="46" t="s">
        <v>5</v>
      </c>
      <c r="D30" s="174"/>
      <c r="E30" s="599"/>
      <c r="F30" s="599"/>
      <c r="G30" s="600"/>
    </row>
    <row r="31" spans="1:8" ht="50.25" customHeight="1">
      <c r="A31" s="707"/>
      <c r="B31" s="707"/>
      <c r="C31" s="47" t="s">
        <v>6</v>
      </c>
      <c r="D31" s="58"/>
      <c r="E31" s="32"/>
      <c r="F31" s="32"/>
      <c r="G31" s="33"/>
    </row>
    <row r="32" spans="1:8" ht="50.25" customHeight="1">
      <c r="A32" s="707"/>
      <c r="B32" s="707"/>
      <c r="C32" s="47" t="s">
        <v>7</v>
      </c>
      <c r="D32" s="58"/>
      <c r="E32" s="32"/>
      <c r="F32" s="32"/>
      <c r="G32" s="33"/>
    </row>
    <row r="33" spans="1:7" ht="50.25" customHeight="1">
      <c r="A33" s="707"/>
      <c r="B33" s="707"/>
      <c r="C33" s="47" t="s">
        <v>8</v>
      </c>
      <c r="D33" s="62"/>
      <c r="E33" s="63"/>
      <c r="F33" s="57"/>
      <c r="G33" s="33"/>
    </row>
    <row r="34" spans="1:7" ht="50.25" customHeight="1" thickBot="1">
      <c r="A34" s="707"/>
      <c r="B34" s="707"/>
      <c r="C34" s="48" t="s">
        <v>10</v>
      </c>
      <c r="D34" s="293"/>
      <c r="E34" s="294"/>
      <c r="F34" s="294"/>
      <c r="G34" s="295"/>
    </row>
    <row r="35" spans="1:7" ht="50.25" customHeight="1">
      <c r="A35" s="707" t="s">
        <v>18</v>
      </c>
      <c r="B35" s="709"/>
      <c r="C35" s="82" t="s">
        <v>5</v>
      </c>
      <c r="D35" s="372"/>
      <c r="E35" s="373"/>
      <c r="F35" s="373"/>
      <c r="G35" s="374"/>
    </row>
    <row r="36" spans="1:7" ht="50.25" customHeight="1">
      <c r="A36" s="707"/>
      <c r="B36" s="707"/>
      <c r="C36" s="35" t="s">
        <v>6</v>
      </c>
      <c r="D36" s="463"/>
      <c r="E36" s="462"/>
      <c r="F36" s="462"/>
      <c r="G36" s="464"/>
    </row>
    <row r="37" spans="1:7" ht="50.25" customHeight="1">
      <c r="A37" s="707"/>
      <c r="B37" s="707"/>
      <c r="C37" s="35" t="s">
        <v>7</v>
      </c>
      <c r="D37" s="460"/>
      <c r="E37" s="459"/>
      <c r="F37" s="459"/>
      <c r="G37" s="461"/>
    </row>
    <row r="38" spans="1:7" ht="50.25" customHeight="1">
      <c r="A38" s="707"/>
      <c r="B38" s="707"/>
      <c r="C38" s="35" t="s">
        <v>8</v>
      </c>
      <c r="D38" s="460"/>
      <c r="E38" s="459"/>
      <c r="F38" s="459"/>
      <c r="G38" s="461"/>
    </row>
    <row r="39" spans="1:7" ht="50.25" customHeight="1" thickBot="1">
      <c r="A39" s="708"/>
      <c r="B39" s="708"/>
      <c r="C39" s="228" t="s">
        <v>10</v>
      </c>
      <c r="D39" s="180"/>
      <c r="E39" s="181"/>
      <c r="F39" s="181"/>
      <c r="G39" s="197"/>
    </row>
    <row r="40" spans="1:7">
      <c r="A40" s="69"/>
      <c r="B40" s="69"/>
      <c r="C40" s="69"/>
      <c r="D40" s="69"/>
      <c r="E40" s="69"/>
      <c r="F40" s="69"/>
    </row>
  </sheetData>
  <mergeCells count="26">
    <mergeCell ref="D25:G25"/>
    <mergeCell ref="D26:G26"/>
    <mergeCell ref="D15:G15"/>
    <mergeCell ref="D16:G16"/>
    <mergeCell ref="B1:G1"/>
    <mergeCell ref="B2:G2"/>
    <mergeCell ref="A3:G3"/>
    <mergeCell ref="B6:G6"/>
    <mergeCell ref="B7:G7"/>
    <mergeCell ref="A4:G4"/>
    <mergeCell ref="A5:G5"/>
    <mergeCell ref="A35:A39"/>
    <mergeCell ref="B35:B39"/>
    <mergeCell ref="A8:A9"/>
    <mergeCell ref="B8:B9"/>
    <mergeCell ref="C8:C9"/>
    <mergeCell ref="A20:A24"/>
    <mergeCell ref="B20:B24"/>
    <mergeCell ref="A25:A29"/>
    <mergeCell ref="B25:B29"/>
    <mergeCell ref="A30:A34"/>
    <mergeCell ref="B30:B34"/>
    <mergeCell ref="A10:A14"/>
    <mergeCell ref="B10:B14"/>
    <mergeCell ref="A15:A19"/>
    <mergeCell ref="B15:B19"/>
  </mergeCells>
  <pageMargins left="0.7" right="0.7" top="0.75" bottom="0.75" header="0.3" footer="0.3"/>
  <pageSetup paperSize="9" scale="3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67"/>
  <sheetViews>
    <sheetView view="pageBreakPreview" topLeftCell="A19" zoomScale="40" zoomScaleNormal="40" zoomScaleSheetLayoutView="40" zoomScalePageLayoutView="40" workbookViewId="0">
      <selection activeCell="C60" sqref="C60"/>
    </sheetView>
  </sheetViews>
  <sheetFormatPr defaultRowHeight="26.25"/>
  <cols>
    <col min="1" max="1" width="6.5703125" style="84" customWidth="1"/>
    <col min="2" max="2" width="7" style="84" customWidth="1"/>
    <col min="3" max="3" width="27" style="84" customWidth="1"/>
    <col min="4" max="7" width="76.85546875" style="84" customWidth="1"/>
    <col min="8" max="16384" width="9.140625" style="84"/>
  </cols>
  <sheetData>
    <row r="1" spans="1:7" ht="26.25" customHeight="1">
      <c r="B1" s="726" t="s">
        <v>197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192" customHeight="1">
      <c r="A3" s="679" t="s">
        <v>201</v>
      </c>
      <c r="B3" s="727"/>
      <c r="C3" s="727"/>
      <c r="D3" s="727"/>
      <c r="E3" s="727"/>
      <c r="F3" s="727"/>
      <c r="G3" s="727"/>
    </row>
    <row r="4" spans="1:7" ht="34.5" customHeight="1">
      <c r="A4" s="729" t="s">
        <v>138</v>
      </c>
      <c r="B4" s="729"/>
      <c r="C4" s="729"/>
      <c r="D4" s="729"/>
      <c r="E4" s="729"/>
      <c r="F4" s="729"/>
      <c r="G4" s="729"/>
    </row>
    <row r="5" spans="1:7" ht="33.75" customHeight="1">
      <c r="A5" s="679" t="s">
        <v>143</v>
      </c>
      <c r="B5" s="679"/>
      <c r="C5" s="679"/>
      <c r="D5" s="679"/>
      <c r="E5" s="679"/>
      <c r="F5" s="679"/>
      <c r="G5" s="679"/>
    </row>
    <row r="6" spans="1:7" ht="26.25" customHeight="1">
      <c r="A6" s="86"/>
      <c r="B6" s="726" t="s">
        <v>90</v>
      </c>
      <c r="C6" s="726"/>
      <c r="D6" s="726"/>
      <c r="E6" s="726"/>
      <c r="F6" s="726"/>
      <c r="G6" s="726"/>
    </row>
    <row r="7" spans="1:7">
      <c r="A7" s="87"/>
      <c r="B7" s="728" t="s">
        <v>296</v>
      </c>
      <c r="C7" s="728"/>
      <c r="D7" s="728"/>
      <c r="E7" s="728"/>
      <c r="F7" s="728"/>
      <c r="G7" s="728"/>
    </row>
    <row r="8" spans="1:7" ht="2.25" customHeight="1" thickBot="1">
      <c r="A8" s="183"/>
      <c r="B8" s="89"/>
      <c r="C8" s="89"/>
      <c r="D8" s="89"/>
      <c r="E8" s="89"/>
      <c r="F8" s="89"/>
      <c r="G8" s="89"/>
    </row>
    <row r="9" spans="1:7" ht="32.25" customHeight="1" thickBot="1">
      <c r="A9" s="710" t="s">
        <v>76</v>
      </c>
      <c r="B9" s="710" t="s">
        <v>9</v>
      </c>
      <c r="C9" s="712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110.25" customHeight="1" thickBot="1">
      <c r="A10" s="711"/>
      <c r="B10" s="711"/>
      <c r="C10" s="713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63.75" customHeight="1">
      <c r="A11" s="736" t="s">
        <v>0</v>
      </c>
      <c r="B11" s="737">
        <v>46265</v>
      </c>
      <c r="C11" s="105" t="s">
        <v>5</v>
      </c>
      <c r="D11" s="523"/>
      <c r="E11" s="524"/>
      <c r="F11" s="524"/>
      <c r="G11" s="525"/>
    </row>
    <row r="12" spans="1:7" ht="63.75" customHeight="1">
      <c r="A12" s="731"/>
      <c r="B12" s="731"/>
      <c r="C12" s="106" t="s">
        <v>6</v>
      </c>
      <c r="D12" s="526"/>
      <c r="E12" s="527"/>
      <c r="F12" s="527"/>
      <c r="G12" s="528"/>
    </row>
    <row r="13" spans="1:7" ht="63.75" customHeight="1">
      <c r="A13" s="731"/>
      <c r="B13" s="731"/>
      <c r="C13" s="106" t="s">
        <v>7</v>
      </c>
      <c r="D13" s="526"/>
      <c r="E13" s="529"/>
      <c r="F13" s="529"/>
      <c r="G13" s="528"/>
    </row>
    <row r="14" spans="1:7" ht="63.75" customHeight="1">
      <c r="A14" s="731"/>
      <c r="B14" s="731"/>
      <c r="C14" s="106" t="s">
        <v>8</v>
      </c>
      <c r="D14" s="526"/>
      <c r="E14" s="527"/>
      <c r="F14" s="527"/>
      <c r="G14" s="528"/>
    </row>
    <row r="15" spans="1:7" ht="63.75" customHeight="1" thickBot="1">
      <c r="A15" s="731"/>
      <c r="B15" s="731"/>
      <c r="C15" s="107" t="s">
        <v>10</v>
      </c>
      <c r="D15" s="530"/>
      <c r="E15" s="531"/>
      <c r="F15" s="531"/>
      <c r="G15" s="532"/>
    </row>
    <row r="16" spans="1:7" ht="81.75" customHeight="1">
      <c r="A16" s="731" t="s">
        <v>1</v>
      </c>
      <c r="B16" s="734">
        <f>B11+1</f>
        <v>46266</v>
      </c>
      <c r="C16" s="105" t="s">
        <v>5</v>
      </c>
      <c r="D16" s="364"/>
      <c r="E16" s="477"/>
      <c r="F16" s="477"/>
      <c r="G16" s="415"/>
    </row>
    <row r="17" spans="1:9" ht="110.25" customHeight="1">
      <c r="A17" s="731"/>
      <c r="B17" s="731"/>
      <c r="C17" s="106" t="s">
        <v>6</v>
      </c>
      <c r="D17" s="738" t="s">
        <v>291</v>
      </c>
      <c r="E17" s="739"/>
      <c r="F17" s="739"/>
      <c r="G17" s="740"/>
    </row>
    <row r="18" spans="1:9" ht="119.25" customHeight="1">
      <c r="A18" s="731"/>
      <c r="B18" s="731"/>
      <c r="C18" s="106" t="s">
        <v>7</v>
      </c>
      <c r="D18" s="395" t="s">
        <v>297</v>
      </c>
      <c r="E18" s="396" t="s">
        <v>151</v>
      </c>
      <c r="F18" s="396" t="s">
        <v>152</v>
      </c>
      <c r="G18" s="397" t="s">
        <v>298</v>
      </c>
    </row>
    <row r="19" spans="1:9" ht="81.75" customHeight="1">
      <c r="A19" s="731"/>
      <c r="B19" s="731"/>
      <c r="C19" s="106" t="s">
        <v>8</v>
      </c>
      <c r="D19" s="414"/>
      <c r="E19" s="280"/>
      <c r="F19" s="280"/>
      <c r="G19" s="436"/>
    </row>
    <row r="20" spans="1:9" ht="81.75" customHeight="1" thickBot="1">
      <c r="A20" s="735"/>
      <c r="B20" s="735"/>
      <c r="C20" s="378" t="s">
        <v>10</v>
      </c>
      <c r="D20" s="399"/>
      <c r="E20" s="400"/>
      <c r="F20" s="400"/>
      <c r="G20" s="401"/>
      <c r="I20" s="185"/>
    </row>
    <row r="21" spans="1:9" ht="81.75" customHeight="1">
      <c r="A21" s="730" t="s">
        <v>2</v>
      </c>
      <c r="B21" s="732">
        <f>B16+1</f>
        <v>46267</v>
      </c>
      <c r="C21" s="105" t="s">
        <v>5</v>
      </c>
      <c r="D21" s="254" t="s">
        <v>275</v>
      </c>
      <c r="E21" s="255" t="s">
        <v>275</v>
      </c>
      <c r="F21" s="255" t="s">
        <v>275</v>
      </c>
      <c r="G21" s="256" t="s">
        <v>275</v>
      </c>
    </row>
    <row r="22" spans="1:9" ht="99" customHeight="1">
      <c r="A22" s="731"/>
      <c r="B22" s="731"/>
      <c r="C22" s="106" t="s">
        <v>6</v>
      </c>
      <c r="D22" s="257" t="s">
        <v>292</v>
      </c>
      <c r="E22" s="258" t="s">
        <v>292</v>
      </c>
      <c r="F22" s="258" t="s">
        <v>292</v>
      </c>
      <c r="G22" s="248" t="s">
        <v>292</v>
      </c>
    </row>
    <row r="23" spans="1:9" ht="81.75" customHeight="1">
      <c r="A23" s="731"/>
      <c r="B23" s="731"/>
      <c r="C23" s="106" t="s">
        <v>7</v>
      </c>
      <c r="D23" s="257"/>
      <c r="E23" s="259"/>
      <c r="F23" s="258"/>
      <c r="G23" s="248"/>
      <c r="I23" s="185"/>
    </row>
    <row r="24" spans="1:9" ht="81.75" customHeight="1">
      <c r="A24" s="731"/>
      <c r="B24" s="731"/>
      <c r="C24" s="106" t="s">
        <v>8</v>
      </c>
      <c r="D24" s="257"/>
      <c r="E24" s="258"/>
      <c r="F24" s="258"/>
      <c r="G24" s="248"/>
    </row>
    <row r="25" spans="1:9" ht="81.75" customHeight="1" thickBot="1">
      <c r="A25" s="731"/>
      <c r="B25" s="731"/>
      <c r="C25" s="107" t="s">
        <v>10</v>
      </c>
      <c r="D25" s="265"/>
      <c r="E25" s="315"/>
      <c r="F25" s="315"/>
      <c r="G25" s="316"/>
    </row>
    <row r="26" spans="1:9" ht="81.75" customHeight="1">
      <c r="A26" s="731" t="s">
        <v>3</v>
      </c>
      <c r="B26" s="734">
        <f>B21+1</f>
        <v>46268</v>
      </c>
      <c r="C26" s="105" t="s">
        <v>5</v>
      </c>
      <c r="D26" s="289" t="s">
        <v>273</v>
      </c>
      <c r="E26" s="329" t="s">
        <v>273</v>
      </c>
      <c r="F26" s="329" t="s">
        <v>273</v>
      </c>
      <c r="G26" s="334" t="s">
        <v>273</v>
      </c>
    </row>
    <row r="27" spans="1:9" ht="81.75" customHeight="1">
      <c r="A27" s="733"/>
      <c r="B27" s="731"/>
      <c r="C27" s="106" t="s">
        <v>6</v>
      </c>
      <c r="D27" s="335" t="s">
        <v>274</v>
      </c>
      <c r="E27" s="358" t="s">
        <v>274</v>
      </c>
      <c r="F27" s="358" t="s">
        <v>274</v>
      </c>
      <c r="G27" s="359" t="s">
        <v>274</v>
      </c>
    </row>
    <row r="28" spans="1:9" ht="106.5" customHeight="1">
      <c r="A28" s="733"/>
      <c r="B28" s="731"/>
      <c r="C28" s="106" t="s">
        <v>7</v>
      </c>
      <c r="D28" s="364" t="s">
        <v>272</v>
      </c>
      <c r="E28" s="434" t="s">
        <v>272</v>
      </c>
      <c r="F28" s="434" t="s">
        <v>272</v>
      </c>
      <c r="G28" s="415" t="s">
        <v>272</v>
      </c>
    </row>
    <row r="29" spans="1:9" ht="106.5" customHeight="1">
      <c r="A29" s="733"/>
      <c r="B29" s="731"/>
      <c r="C29" s="106" t="s">
        <v>8</v>
      </c>
      <c r="D29" s="364" t="s">
        <v>272</v>
      </c>
      <c r="E29" s="434" t="s">
        <v>272</v>
      </c>
      <c r="F29" s="434" t="s">
        <v>272</v>
      </c>
      <c r="G29" s="415" t="s">
        <v>272</v>
      </c>
    </row>
    <row r="30" spans="1:9" ht="81.75" customHeight="1" thickBot="1">
      <c r="A30" s="733"/>
      <c r="B30" s="731"/>
      <c r="C30" s="107" t="s">
        <v>10</v>
      </c>
      <c r="D30" s="265"/>
      <c r="E30" s="474"/>
      <c r="F30" s="474"/>
      <c r="G30" s="475"/>
    </row>
    <row r="31" spans="1:9" ht="81.75" customHeight="1">
      <c r="A31" s="707" t="s">
        <v>4</v>
      </c>
      <c r="B31" s="709">
        <f>B26+1</f>
        <v>46269</v>
      </c>
      <c r="C31" s="46" t="s">
        <v>5</v>
      </c>
      <c r="D31" s="254"/>
      <c r="E31" s="255"/>
      <c r="F31" s="255"/>
      <c r="G31" s="334"/>
    </row>
    <row r="32" spans="1:9" ht="81.75" customHeight="1">
      <c r="A32" s="707"/>
      <c r="B32" s="707"/>
      <c r="C32" s="47" t="s">
        <v>6</v>
      </c>
      <c r="D32" s="257" t="s">
        <v>280</v>
      </c>
      <c r="E32" s="258" t="s">
        <v>280</v>
      </c>
      <c r="F32" s="258" t="s">
        <v>280</v>
      </c>
      <c r="G32" s="248" t="s">
        <v>280</v>
      </c>
    </row>
    <row r="33" spans="1:7" ht="81.75" customHeight="1">
      <c r="A33" s="707"/>
      <c r="B33" s="707"/>
      <c r="C33" s="47" t="s">
        <v>7</v>
      </c>
      <c r="D33" s="335" t="s">
        <v>279</v>
      </c>
      <c r="E33" s="402" t="s">
        <v>279</v>
      </c>
      <c r="F33" s="402" t="s">
        <v>279</v>
      </c>
      <c r="G33" s="403" t="s">
        <v>279</v>
      </c>
    </row>
    <row r="34" spans="1:7" ht="81.75" customHeight="1">
      <c r="A34" s="707"/>
      <c r="B34" s="707"/>
      <c r="C34" s="47" t="s">
        <v>8</v>
      </c>
      <c r="D34" s="335" t="s">
        <v>281</v>
      </c>
      <c r="E34" s="358" t="s">
        <v>281</v>
      </c>
      <c r="F34" s="358" t="s">
        <v>281</v>
      </c>
      <c r="G34" s="359" t="s">
        <v>281</v>
      </c>
    </row>
    <row r="35" spans="1:7" ht="81.75" customHeight="1" thickBot="1">
      <c r="A35" s="707"/>
      <c r="B35" s="707"/>
      <c r="C35" s="48" t="s">
        <v>10</v>
      </c>
      <c r="D35" s="265"/>
      <c r="E35" s="315"/>
      <c r="F35" s="315"/>
      <c r="G35" s="316"/>
    </row>
    <row r="36" spans="1:7" ht="60" customHeight="1">
      <c r="A36" s="707" t="s">
        <v>18</v>
      </c>
      <c r="B36" s="709">
        <f>B31+1</f>
        <v>46270</v>
      </c>
      <c r="C36" s="46" t="s">
        <v>5</v>
      </c>
      <c r="D36" s="187"/>
      <c r="E36" s="77"/>
      <c r="F36" s="77"/>
      <c r="G36" s="218"/>
    </row>
    <row r="37" spans="1:7" ht="60" customHeight="1">
      <c r="A37" s="707"/>
      <c r="B37" s="707"/>
      <c r="C37" s="47" t="s">
        <v>6</v>
      </c>
      <c r="D37" s="62"/>
      <c r="E37" s="57"/>
      <c r="F37" s="57"/>
      <c r="G37" s="61"/>
    </row>
    <row r="38" spans="1:7" ht="60" customHeight="1">
      <c r="A38" s="707"/>
      <c r="B38" s="707"/>
      <c r="C38" s="47" t="s">
        <v>7</v>
      </c>
      <c r="D38" s="62"/>
      <c r="E38" s="57"/>
      <c r="F38" s="57"/>
      <c r="G38" s="61"/>
    </row>
    <row r="39" spans="1:7" ht="60" customHeight="1">
      <c r="A39" s="707"/>
      <c r="B39" s="707"/>
      <c r="C39" s="47" t="s">
        <v>8</v>
      </c>
      <c r="D39" s="62"/>
      <c r="E39" s="63"/>
      <c r="F39" s="57"/>
      <c r="G39" s="219"/>
    </row>
    <row r="40" spans="1:7" ht="60" customHeight="1" thickBot="1">
      <c r="A40" s="708"/>
      <c r="B40" s="708"/>
      <c r="C40" s="48" t="s">
        <v>10</v>
      </c>
      <c r="D40" s="173"/>
      <c r="E40" s="78"/>
      <c r="F40" s="78"/>
      <c r="G40" s="220"/>
    </row>
    <row r="41" spans="1:7">
      <c r="A41" s="69"/>
      <c r="B41" s="69"/>
      <c r="C41" s="69"/>
      <c r="D41" s="69"/>
      <c r="E41" s="69"/>
      <c r="F41" s="69"/>
    </row>
    <row r="42" spans="1:7">
      <c r="A42" s="69"/>
      <c r="B42" s="69">
        <v>10</v>
      </c>
      <c r="C42" s="582" t="s">
        <v>215</v>
      </c>
      <c r="D42" s="28">
        <f>COUNTIF(D$11:D$40,$C42)</f>
        <v>1</v>
      </c>
      <c r="E42" s="28">
        <f t="shared" ref="E42:G57" si="0">COUNTIF(E$11:E$40,$C42)</f>
        <v>1</v>
      </c>
      <c r="F42" s="28">
        <f t="shared" si="0"/>
        <v>1</v>
      </c>
      <c r="G42" s="28">
        <f t="shared" si="0"/>
        <v>1</v>
      </c>
    </row>
    <row r="43" spans="1:7">
      <c r="A43" s="69"/>
      <c r="B43" s="69">
        <v>22</v>
      </c>
      <c r="C43" s="582" t="s">
        <v>216</v>
      </c>
      <c r="D43" s="28">
        <f t="shared" ref="D43:G67" si="1">COUNTIF(D$11:D$40,$C43)</f>
        <v>0</v>
      </c>
      <c r="E43" s="28">
        <f t="shared" si="0"/>
        <v>0</v>
      </c>
      <c r="F43" s="28">
        <f t="shared" si="0"/>
        <v>0</v>
      </c>
      <c r="G43" s="28">
        <f t="shared" si="0"/>
        <v>0</v>
      </c>
    </row>
    <row r="44" spans="1:7">
      <c r="A44" s="69"/>
      <c r="B44" s="69">
        <v>10</v>
      </c>
      <c r="C44" s="582" t="s">
        <v>217</v>
      </c>
      <c r="D44" s="28">
        <f t="shared" si="1"/>
        <v>1</v>
      </c>
      <c r="E44" s="28">
        <f t="shared" si="0"/>
        <v>1</v>
      </c>
      <c r="F44" s="28">
        <f t="shared" si="0"/>
        <v>1</v>
      </c>
      <c r="G44" s="28">
        <f t="shared" si="0"/>
        <v>1</v>
      </c>
    </row>
    <row r="45" spans="1:7">
      <c r="A45" s="69"/>
      <c r="B45" s="69">
        <v>10</v>
      </c>
      <c r="C45" s="582" t="s">
        <v>218</v>
      </c>
      <c r="D45" s="28">
        <f t="shared" si="1"/>
        <v>0</v>
      </c>
      <c r="E45" s="28">
        <f t="shared" si="0"/>
        <v>0</v>
      </c>
      <c r="F45" s="28">
        <f t="shared" si="0"/>
        <v>0</v>
      </c>
      <c r="G45" s="28">
        <f t="shared" si="0"/>
        <v>0</v>
      </c>
    </row>
    <row r="46" spans="1:7">
      <c r="A46" s="69"/>
      <c r="B46" s="69">
        <v>8</v>
      </c>
      <c r="C46" s="582" t="s">
        <v>84</v>
      </c>
      <c r="D46" s="28">
        <f t="shared" si="1"/>
        <v>0</v>
      </c>
      <c r="E46" s="28">
        <f t="shared" si="0"/>
        <v>0</v>
      </c>
      <c r="F46" s="28">
        <f t="shared" si="0"/>
        <v>0</v>
      </c>
      <c r="G46" s="28">
        <f t="shared" si="0"/>
        <v>0</v>
      </c>
    </row>
    <row r="47" spans="1:7">
      <c r="A47" s="69"/>
      <c r="B47" s="69">
        <v>24</v>
      </c>
      <c r="C47" s="582" t="s">
        <v>85</v>
      </c>
      <c r="D47" s="28">
        <f t="shared" si="1"/>
        <v>0</v>
      </c>
      <c r="E47" s="28">
        <f t="shared" si="0"/>
        <v>0</v>
      </c>
      <c r="F47" s="28">
        <f t="shared" si="0"/>
        <v>0</v>
      </c>
      <c r="G47" s="28">
        <f t="shared" si="0"/>
        <v>0</v>
      </c>
    </row>
    <row r="48" spans="1:7">
      <c r="A48" s="69"/>
      <c r="B48" s="69">
        <v>10</v>
      </c>
      <c r="C48" s="582" t="s">
        <v>92</v>
      </c>
      <c r="D48" s="28">
        <f t="shared" si="1"/>
        <v>1</v>
      </c>
      <c r="E48" s="28">
        <f t="shared" si="0"/>
        <v>1</v>
      </c>
      <c r="F48" s="28">
        <f t="shared" si="0"/>
        <v>1</v>
      </c>
      <c r="G48" s="28">
        <f t="shared" si="0"/>
        <v>1</v>
      </c>
    </row>
    <row r="49" spans="1:7">
      <c r="A49" s="69"/>
      <c r="B49" s="26">
        <v>90</v>
      </c>
      <c r="C49" s="582" t="s">
        <v>93</v>
      </c>
      <c r="D49" s="28">
        <f t="shared" si="1"/>
        <v>0</v>
      </c>
      <c r="E49" s="28">
        <f t="shared" si="0"/>
        <v>0</v>
      </c>
      <c r="F49" s="28">
        <f t="shared" si="0"/>
        <v>0</v>
      </c>
      <c r="G49" s="28">
        <f t="shared" si="0"/>
        <v>0</v>
      </c>
    </row>
    <row r="50" spans="1:7">
      <c r="A50" s="69"/>
      <c r="B50" s="69">
        <v>4</v>
      </c>
      <c r="C50" s="582" t="s">
        <v>223</v>
      </c>
      <c r="D50" s="28">
        <f t="shared" si="1"/>
        <v>2</v>
      </c>
      <c r="E50" s="28">
        <f t="shared" si="0"/>
        <v>2</v>
      </c>
      <c r="F50" s="28">
        <f t="shared" si="0"/>
        <v>2</v>
      </c>
      <c r="G50" s="28">
        <f t="shared" si="0"/>
        <v>2</v>
      </c>
    </row>
    <row r="51" spans="1:7">
      <c r="A51" s="69"/>
      <c r="B51" s="69">
        <v>28</v>
      </c>
      <c r="C51" s="582" t="s">
        <v>224</v>
      </c>
      <c r="D51" s="28">
        <f t="shared" si="1"/>
        <v>0</v>
      </c>
      <c r="E51" s="28">
        <f t="shared" si="0"/>
        <v>0</v>
      </c>
      <c r="F51" s="28">
        <f t="shared" si="0"/>
        <v>0</v>
      </c>
      <c r="G51" s="28">
        <f t="shared" si="0"/>
        <v>0</v>
      </c>
    </row>
    <row r="52" spans="1:7">
      <c r="A52" s="69"/>
      <c r="B52" s="84">
        <v>6</v>
      </c>
      <c r="C52" s="512" t="s">
        <v>214</v>
      </c>
      <c r="D52" s="28">
        <f t="shared" si="1"/>
        <v>3</v>
      </c>
      <c r="E52" s="28">
        <f t="shared" si="0"/>
        <v>3</v>
      </c>
      <c r="F52" s="28">
        <f t="shared" si="0"/>
        <v>3</v>
      </c>
      <c r="G52" s="28">
        <f t="shared" si="0"/>
        <v>3</v>
      </c>
    </row>
    <row r="53" spans="1:7">
      <c r="A53" s="69"/>
      <c r="B53" s="69">
        <v>40</v>
      </c>
      <c r="C53" s="512" t="s">
        <v>86</v>
      </c>
      <c r="D53" s="28">
        <f t="shared" si="1"/>
        <v>0</v>
      </c>
      <c r="E53" s="28">
        <f t="shared" si="0"/>
        <v>0</v>
      </c>
      <c r="F53" s="28">
        <f t="shared" si="0"/>
        <v>0</v>
      </c>
      <c r="G53" s="28">
        <f t="shared" si="0"/>
        <v>0</v>
      </c>
    </row>
    <row r="54" spans="1:7">
      <c r="A54" s="69"/>
      <c r="B54" s="69">
        <v>2</v>
      </c>
      <c r="C54" s="582" t="s">
        <v>236</v>
      </c>
      <c r="D54" s="28">
        <f t="shared" si="1"/>
        <v>1</v>
      </c>
      <c r="E54" s="28">
        <f t="shared" si="0"/>
        <v>1</v>
      </c>
      <c r="F54" s="28">
        <f t="shared" si="0"/>
        <v>1</v>
      </c>
      <c r="G54" s="28">
        <f t="shared" si="0"/>
        <v>1</v>
      </c>
    </row>
    <row r="55" spans="1:7">
      <c r="A55" s="69"/>
      <c r="B55" s="69">
        <v>18</v>
      </c>
      <c r="C55" s="582" t="s">
        <v>237</v>
      </c>
      <c r="D55" s="28">
        <f t="shared" si="1"/>
        <v>0</v>
      </c>
      <c r="E55" s="28">
        <f t="shared" si="0"/>
        <v>0</v>
      </c>
      <c r="F55" s="28">
        <f t="shared" si="0"/>
        <v>0</v>
      </c>
      <c r="G55" s="28">
        <f t="shared" si="0"/>
        <v>0</v>
      </c>
    </row>
    <row r="56" spans="1:7">
      <c r="B56" s="84">
        <v>2</v>
      </c>
      <c r="C56" s="582" t="s">
        <v>229</v>
      </c>
      <c r="D56" s="28">
        <f t="shared" si="1"/>
        <v>1</v>
      </c>
      <c r="E56" s="28">
        <f t="shared" si="0"/>
        <v>1</v>
      </c>
      <c r="F56" s="28">
        <f t="shared" si="0"/>
        <v>1</v>
      </c>
      <c r="G56" s="28">
        <f t="shared" si="0"/>
        <v>1</v>
      </c>
    </row>
    <row r="57" spans="1:7">
      <c r="B57" s="84">
        <v>46</v>
      </c>
      <c r="C57" s="582" t="s">
        <v>230</v>
      </c>
      <c r="D57" s="28">
        <f t="shared" si="1"/>
        <v>0</v>
      </c>
      <c r="E57" s="28">
        <f t="shared" si="0"/>
        <v>0</v>
      </c>
      <c r="F57" s="28">
        <f t="shared" si="0"/>
        <v>0</v>
      </c>
      <c r="G57" s="28">
        <f t="shared" si="0"/>
        <v>0</v>
      </c>
    </row>
    <row r="58" spans="1:7">
      <c r="B58" s="84">
        <v>2</v>
      </c>
      <c r="C58" s="582" t="s">
        <v>231</v>
      </c>
      <c r="D58" s="28">
        <f t="shared" si="1"/>
        <v>0</v>
      </c>
      <c r="E58" s="28">
        <f t="shared" si="1"/>
        <v>0</v>
      </c>
      <c r="F58" s="28">
        <f t="shared" si="1"/>
        <v>0</v>
      </c>
      <c r="G58" s="28">
        <f t="shared" si="1"/>
        <v>0</v>
      </c>
    </row>
    <row r="59" spans="1:7" ht="26.25" customHeight="1">
      <c r="A59" s="216"/>
      <c r="B59" s="217">
        <v>62</v>
      </c>
      <c r="C59" s="582" t="s">
        <v>232</v>
      </c>
      <c r="D59" s="28">
        <f t="shared" si="1"/>
        <v>0</v>
      </c>
      <c r="E59" s="28">
        <f t="shared" si="1"/>
        <v>0</v>
      </c>
      <c r="F59" s="28">
        <f t="shared" si="1"/>
        <v>0</v>
      </c>
      <c r="G59" s="28">
        <f t="shared" si="1"/>
        <v>0</v>
      </c>
    </row>
    <row r="60" spans="1:7">
      <c r="A60" s="216"/>
      <c r="B60" s="84">
        <v>2</v>
      </c>
      <c r="C60" s="511" t="s">
        <v>238</v>
      </c>
      <c r="D60" s="28">
        <f t="shared" si="1"/>
        <v>1</v>
      </c>
      <c r="E60" s="28">
        <f t="shared" si="1"/>
        <v>0</v>
      </c>
      <c r="F60" s="28">
        <f t="shared" si="1"/>
        <v>0</v>
      </c>
      <c r="G60" s="28">
        <f t="shared" si="1"/>
        <v>0</v>
      </c>
    </row>
    <row r="61" spans="1:7">
      <c r="B61" s="118">
        <v>4</v>
      </c>
      <c r="C61" s="512" t="s">
        <v>239</v>
      </c>
      <c r="D61" s="28">
        <f t="shared" si="1"/>
        <v>0</v>
      </c>
      <c r="E61" s="28">
        <f t="shared" si="1"/>
        <v>0</v>
      </c>
      <c r="F61" s="28">
        <f t="shared" si="1"/>
        <v>0</v>
      </c>
      <c r="G61" s="28">
        <f t="shared" si="1"/>
        <v>0</v>
      </c>
    </row>
    <row r="62" spans="1:7">
      <c r="B62" s="118">
        <v>32</v>
      </c>
      <c r="C62" s="583" t="s">
        <v>91</v>
      </c>
      <c r="D62" s="28">
        <f t="shared" si="1"/>
        <v>0</v>
      </c>
      <c r="E62" s="28">
        <f t="shared" si="1"/>
        <v>0</v>
      </c>
      <c r="F62" s="28">
        <f t="shared" si="1"/>
        <v>0</v>
      </c>
      <c r="G62" s="28">
        <f t="shared" si="1"/>
        <v>0</v>
      </c>
    </row>
    <row r="63" spans="1:7">
      <c r="B63" s="118"/>
      <c r="C63" s="511"/>
      <c r="D63" s="28">
        <f t="shared" si="1"/>
        <v>0</v>
      </c>
      <c r="E63" s="28">
        <f t="shared" si="1"/>
        <v>0</v>
      </c>
      <c r="F63" s="28">
        <f t="shared" si="1"/>
        <v>0</v>
      </c>
      <c r="G63" s="28">
        <f t="shared" si="1"/>
        <v>0</v>
      </c>
    </row>
    <row r="64" spans="1:7">
      <c r="B64" s="118"/>
      <c r="C64" s="512"/>
      <c r="D64" s="28">
        <f t="shared" si="1"/>
        <v>0</v>
      </c>
      <c r="E64" s="28">
        <f t="shared" si="1"/>
        <v>0</v>
      </c>
      <c r="F64" s="28">
        <f t="shared" si="1"/>
        <v>0</v>
      </c>
      <c r="G64" s="28">
        <f t="shared" si="1"/>
        <v>0</v>
      </c>
    </row>
    <row r="65" spans="2:7">
      <c r="B65" s="118"/>
      <c r="C65" s="511"/>
      <c r="D65" s="28">
        <f t="shared" si="1"/>
        <v>0</v>
      </c>
      <c r="E65" s="28">
        <f t="shared" si="1"/>
        <v>0</v>
      </c>
      <c r="F65" s="28">
        <f t="shared" si="1"/>
        <v>0</v>
      </c>
      <c r="G65" s="28">
        <f t="shared" si="1"/>
        <v>0</v>
      </c>
    </row>
    <row r="66" spans="2:7">
      <c r="C66" s="511"/>
      <c r="D66" s="28">
        <f t="shared" si="1"/>
        <v>0</v>
      </c>
      <c r="E66" s="28">
        <f t="shared" si="1"/>
        <v>0</v>
      </c>
      <c r="F66" s="28">
        <f t="shared" si="1"/>
        <v>0</v>
      </c>
      <c r="G66" s="28">
        <f t="shared" si="1"/>
        <v>0</v>
      </c>
    </row>
    <row r="67" spans="2:7">
      <c r="C67" s="27"/>
      <c r="D67" s="28">
        <f t="shared" si="1"/>
        <v>0</v>
      </c>
      <c r="E67" s="28">
        <f t="shared" si="1"/>
        <v>0</v>
      </c>
      <c r="F67" s="28">
        <f t="shared" si="1"/>
        <v>0</v>
      </c>
      <c r="G67" s="28">
        <f t="shared" si="1"/>
        <v>0</v>
      </c>
    </row>
  </sheetData>
  <mergeCells count="23">
    <mergeCell ref="B16:B20"/>
    <mergeCell ref="A3:G3"/>
    <mergeCell ref="B1:G1"/>
    <mergeCell ref="B2:G2"/>
    <mergeCell ref="B6:G6"/>
    <mergeCell ref="B7:G7"/>
    <mergeCell ref="B9:B10"/>
    <mergeCell ref="A9:A10"/>
    <mergeCell ref="C9:C10"/>
    <mergeCell ref="A11:A15"/>
    <mergeCell ref="B11:B15"/>
    <mergeCell ref="A16:A20"/>
    <mergeCell ref="A4:G4"/>
    <mergeCell ref="A5:G5"/>
    <mergeCell ref="D17:G17"/>
    <mergeCell ref="A36:A40"/>
    <mergeCell ref="B36:B40"/>
    <mergeCell ref="A21:A25"/>
    <mergeCell ref="B21:B25"/>
    <mergeCell ref="A26:A30"/>
    <mergeCell ref="B26:B30"/>
    <mergeCell ref="A31:A35"/>
    <mergeCell ref="B31:B35"/>
  </mergeCells>
  <phoneticPr fontId="3" type="noConversion"/>
  <pageMargins left="0" right="0" top="0" bottom="0" header="0" footer="0"/>
  <pageSetup paperSize="9" scale="28" orientation="portrait" r:id="rId1"/>
  <rowBreaks count="1" manualBreakCount="1">
    <brk id="40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7"/>
  <sheetViews>
    <sheetView view="pageBreakPreview" topLeftCell="A4" zoomScale="40" zoomScaleNormal="40" zoomScaleSheetLayoutView="40" zoomScalePageLayoutView="40" workbookViewId="0">
      <selection activeCell="F10" sqref="F10"/>
    </sheetView>
  </sheetViews>
  <sheetFormatPr defaultRowHeight="26.25"/>
  <cols>
    <col min="1" max="1" width="6" style="84" customWidth="1"/>
    <col min="2" max="2" width="5.42578125" style="84" customWidth="1"/>
    <col min="3" max="3" width="25.140625" style="84" customWidth="1"/>
    <col min="4" max="7" width="76.85546875" style="84" customWidth="1"/>
    <col min="8" max="16384" width="9.140625" style="84"/>
  </cols>
  <sheetData>
    <row r="1" spans="1:9" ht="30">
      <c r="B1" s="726" t="s">
        <v>197</v>
      </c>
      <c r="C1" s="726"/>
      <c r="D1" s="726"/>
      <c r="E1" s="726"/>
      <c r="F1" s="726"/>
      <c r="G1" s="726"/>
    </row>
    <row r="2" spans="1:9" ht="30">
      <c r="A2" s="86"/>
      <c r="B2" s="726" t="s">
        <v>122</v>
      </c>
      <c r="C2" s="726"/>
      <c r="D2" s="726"/>
      <c r="E2" s="726"/>
      <c r="F2" s="726"/>
      <c r="G2" s="726"/>
    </row>
    <row r="3" spans="1:9" ht="33">
      <c r="A3" s="743" t="s">
        <v>119</v>
      </c>
      <c r="B3" s="743"/>
      <c r="C3" s="743"/>
      <c r="D3" s="743"/>
      <c r="E3" s="743"/>
      <c r="F3" s="743"/>
      <c r="G3" s="743"/>
    </row>
    <row r="4" spans="1:9" ht="33">
      <c r="A4" s="343"/>
      <c r="B4" s="744" t="s">
        <v>138</v>
      </c>
      <c r="C4" s="744"/>
      <c r="D4" s="744"/>
      <c r="E4" s="744"/>
      <c r="F4" s="744"/>
      <c r="G4" s="744"/>
      <c r="H4" s="343"/>
      <c r="I4" s="343"/>
    </row>
    <row r="5" spans="1:9" ht="33">
      <c r="A5" s="342"/>
      <c r="B5" s="744" t="s">
        <v>142</v>
      </c>
      <c r="C5" s="744"/>
      <c r="D5" s="744"/>
      <c r="E5" s="744"/>
      <c r="F5" s="744"/>
      <c r="G5" s="744"/>
      <c r="H5" s="342"/>
      <c r="I5" s="342"/>
    </row>
    <row r="6" spans="1:9" ht="30">
      <c r="A6" s="86"/>
      <c r="B6" s="726" t="s">
        <v>90</v>
      </c>
      <c r="C6" s="726"/>
      <c r="D6" s="726"/>
      <c r="E6" s="726"/>
      <c r="F6" s="726"/>
      <c r="G6" s="726"/>
    </row>
    <row r="7" spans="1:9">
      <c r="A7" s="87"/>
      <c r="B7" s="728" t="s">
        <v>296</v>
      </c>
      <c r="C7" s="728"/>
      <c r="D7" s="728"/>
      <c r="E7" s="728"/>
      <c r="F7" s="728"/>
      <c r="G7" s="728"/>
    </row>
    <row r="8" spans="1:9" ht="4.5" customHeight="1" thickBot="1">
      <c r="A8" s="183"/>
      <c r="B8" s="89"/>
      <c r="C8" s="89"/>
      <c r="D8" s="89"/>
      <c r="E8" s="89"/>
      <c r="F8" s="89"/>
      <c r="G8" s="89"/>
    </row>
    <row r="9" spans="1:9" ht="36.75" customHeight="1" thickBot="1">
      <c r="A9" s="710" t="s">
        <v>76</v>
      </c>
      <c r="B9" s="710" t="s">
        <v>9</v>
      </c>
      <c r="C9" s="74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9" ht="120.75" customHeight="1" thickBot="1">
      <c r="A10" s="711"/>
      <c r="B10" s="711"/>
      <c r="C10" s="74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9" ht="99" customHeight="1">
      <c r="A11" s="715" t="s">
        <v>0</v>
      </c>
      <c r="B11" s="716">
        <v>46272</v>
      </c>
      <c r="C11" s="46" t="s">
        <v>5</v>
      </c>
      <c r="D11" s="519" t="s">
        <v>282</v>
      </c>
      <c r="E11" s="360" t="s">
        <v>286</v>
      </c>
      <c r="F11" s="360"/>
      <c r="G11" s="520"/>
    </row>
    <row r="12" spans="1:9" ht="99" customHeight="1">
      <c r="A12" s="707"/>
      <c r="B12" s="707"/>
      <c r="C12" s="47" t="s">
        <v>6</v>
      </c>
      <c r="D12" s="395" t="s">
        <v>302</v>
      </c>
      <c r="E12" s="396" t="s">
        <v>302</v>
      </c>
      <c r="F12" s="396" t="s">
        <v>302</v>
      </c>
      <c r="G12" s="397" t="s">
        <v>302</v>
      </c>
    </row>
    <row r="13" spans="1:9" ht="99" customHeight="1">
      <c r="A13" s="707"/>
      <c r="B13" s="707"/>
      <c r="C13" s="47" t="s">
        <v>7</v>
      </c>
      <c r="D13" s="395" t="s">
        <v>280</v>
      </c>
      <c r="E13" s="396" t="s">
        <v>280</v>
      </c>
      <c r="F13" s="396" t="s">
        <v>280</v>
      </c>
      <c r="G13" s="397" t="s">
        <v>280</v>
      </c>
    </row>
    <row r="14" spans="1:9" ht="99" customHeight="1">
      <c r="A14" s="707"/>
      <c r="B14" s="707"/>
      <c r="C14" s="47" t="s">
        <v>8</v>
      </c>
      <c r="D14" s="395" t="s">
        <v>304</v>
      </c>
      <c r="E14" s="442" t="s">
        <v>304</v>
      </c>
      <c r="F14" s="442" t="s">
        <v>304</v>
      </c>
      <c r="G14" s="397" t="s">
        <v>304</v>
      </c>
    </row>
    <row r="15" spans="1:9" ht="72.75" customHeight="1" thickBot="1">
      <c r="A15" s="707"/>
      <c r="B15" s="707"/>
      <c r="C15" s="48" t="s">
        <v>10</v>
      </c>
      <c r="D15" s="546"/>
      <c r="E15" s="547"/>
      <c r="F15" s="547"/>
      <c r="G15" s="548"/>
    </row>
    <row r="16" spans="1:9" ht="112.5" customHeight="1">
      <c r="A16" s="707" t="s">
        <v>1</v>
      </c>
      <c r="B16" s="709">
        <f>B11+1</f>
        <v>46273</v>
      </c>
      <c r="C16" s="46" t="s">
        <v>5</v>
      </c>
      <c r="D16" s="479" t="s">
        <v>299</v>
      </c>
      <c r="E16" s="404" t="s">
        <v>276</v>
      </c>
      <c r="F16" s="404" t="s">
        <v>277</v>
      </c>
      <c r="G16" s="559" t="s">
        <v>300</v>
      </c>
    </row>
    <row r="17" spans="1:9" ht="110.25" customHeight="1">
      <c r="A17" s="707"/>
      <c r="B17" s="707"/>
      <c r="C17" s="47" t="s">
        <v>6</v>
      </c>
      <c r="D17" s="395" t="s">
        <v>299</v>
      </c>
      <c r="E17" s="396" t="s">
        <v>276</v>
      </c>
      <c r="F17" s="396" t="s">
        <v>277</v>
      </c>
      <c r="G17" s="397" t="s">
        <v>300</v>
      </c>
    </row>
    <row r="18" spans="1:9" ht="99" customHeight="1">
      <c r="A18" s="707"/>
      <c r="B18" s="707"/>
      <c r="C18" s="47" t="s">
        <v>7</v>
      </c>
      <c r="D18" s="395" t="s">
        <v>278</v>
      </c>
      <c r="E18" s="396" t="s">
        <v>286</v>
      </c>
      <c r="F18" s="396"/>
      <c r="G18" s="397" t="s">
        <v>285</v>
      </c>
    </row>
    <row r="19" spans="1:9" ht="99" customHeight="1">
      <c r="A19" s="707"/>
      <c r="B19" s="707"/>
      <c r="C19" s="47" t="s">
        <v>8</v>
      </c>
      <c r="D19" s="395" t="s">
        <v>286</v>
      </c>
      <c r="E19" s="396" t="s">
        <v>278</v>
      </c>
      <c r="F19" s="396"/>
      <c r="G19" s="397"/>
    </row>
    <row r="20" spans="1:9" ht="99" customHeight="1" thickBot="1">
      <c r="A20" s="707"/>
      <c r="B20" s="707"/>
      <c r="C20" s="48" t="s">
        <v>10</v>
      </c>
      <c r="D20" s="399"/>
      <c r="E20" s="400"/>
      <c r="F20" s="400"/>
      <c r="G20" s="401"/>
      <c r="I20" s="185"/>
    </row>
    <row r="21" spans="1:9" ht="99" customHeight="1">
      <c r="A21" s="707" t="s">
        <v>2</v>
      </c>
      <c r="B21" s="709">
        <f>B16+1</f>
        <v>46274</v>
      </c>
      <c r="C21" s="46" t="s">
        <v>5</v>
      </c>
      <c r="D21" s="325"/>
      <c r="E21" s="326"/>
      <c r="F21" s="326" t="s">
        <v>285</v>
      </c>
      <c r="G21" s="398" t="s">
        <v>282</v>
      </c>
    </row>
    <row r="22" spans="1:9" ht="99" customHeight="1">
      <c r="A22" s="707"/>
      <c r="B22" s="707"/>
      <c r="C22" s="47" t="s">
        <v>6</v>
      </c>
      <c r="D22" s="257"/>
      <c r="E22" s="258" t="s">
        <v>284</v>
      </c>
      <c r="F22" s="442" t="s">
        <v>282</v>
      </c>
      <c r="G22" s="248" t="s">
        <v>290</v>
      </c>
    </row>
    <row r="23" spans="1:9" ht="99" customHeight="1">
      <c r="A23" s="707"/>
      <c r="B23" s="707"/>
      <c r="C23" s="47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  <c r="I23" s="185"/>
    </row>
    <row r="24" spans="1:9" ht="99" customHeight="1">
      <c r="A24" s="707"/>
      <c r="B24" s="707"/>
      <c r="C24" s="47" t="s">
        <v>8</v>
      </c>
      <c r="D24" s="257" t="s">
        <v>286</v>
      </c>
      <c r="E24" s="258" t="s">
        <v>289</v>
      </c>
      <c r="F24" s="258"/>
      <c r="G24" s="248" t="s">
        <v>307</v>
      </c>
    </row>
    <row r="25" spans="1:9" ht="99" customHeight="1" thickBot="1">
      <c r="A25" s="707"/>
      <c r="B25" s="707"/>
      <c r="C25" s="48" t="s">
        <v>10</v>
      </c>
      <c r="D25" s="265"/>
      <c r="E25" s="315"/>
      <c r="F25" s="315"/>
      <c r="G25" s="316"/>
    </row>
    <row r="26" spans="1:9" ht="99" customHeight="1">
      <c r="A26" s="707" t="s">
        <v>3</v>
      </c>
      <c r="B26" s="709">
        <f>B21+1</f>
        <v>46275</v>
      </c>
      <c r="C26" s="46" t="s">
        <v>5</v>
      </c>
      <c r="D26" s="289"/>
      <c r="E26" s="329"/>
      <c r="F26" s="329"/>
      <c r="G26" s="334"/>
    </row>
    <row r="27" spans="1:9" ht="99" customHeight="1">
      <c r="A27" s="714"/>
      <c r="B27" s="707"/>
      <c r="C27" s="47" t="s">
        <v>6</v>
      </c>
      <c r="D27" s="335"/>
      <c r="E27" s="358"/>
      <c r="F27" s="358"/>
      <c r="G27" s="359"/>
    </row>
    <row r="28" spans="1:9" ht="99" customHeight="1">
      <c r="A28" s="714"/>
      <c r="B28" s="707"/>
      <c r="C28" s="47" t="s">
        <v>7</v>
      </c>
      <c r="D28" s="395"/>
      <c r="E28" s="442"/>
      <c r="F28" s="442" t="s">
        <v>290</v>
      </c>
      <c r="G28" s="397"/>
    </row>
    <row r="29" spans="1:9" ht="99" customHeight="1">
      <c r="A29" s="714"/>
      <c r="B29" s="707"/>
      <c r="C29" s="47" t="s">
        <v>8</v>
      </c>
      <c r="D29" s="395"/>
      <c r="E29" s="442"/>
      <c r="F29" s="442" t="s">
        <v>287</v>
      </c>
      <c r="G29" s="248"/>
    </row>
    <row r="30" spans="1:9" ht="99" customHeight="1" thickBot="1">
      <c r="A30" s="714"/>
      <c r="B30" s="707"/>
      <c r="C30" s="48" t="s">
        <v>10</v>
      </c>
      <c r="D30" s="265"/>
      <c r="E30" s="474"/>
      <c r="F30" s="474"/>
      <c r="G30" s="475"/>
    </row>
    <row r="31" spans="1:9" ht="99" customHeight="1">
      <c r="A31" s="707" t="s">
        <v>4</v>
      </c>
      <c r="B31" s="709">
        <f>B26+1</f>
        <v>46276</v>
      </c>
      <c r="C31" s="46" t="s">
        <v>5</v>
      </c>
      <c r="D31" s="254"/>
      <c r="E31" s="255"/>
      <c r="F31" s="255"/>
      <c r="G31" s="334"/>
    </row>
    <row r="32" spans="1:9" ht="99" customHeight="1">
      <c r="A32" s="707"/>
      <c r="B32" s="707"/>
      <c r="C32" s="47" t="s">
        <v>6</v>
      </c>
      <c r="D32" s="257" t="s">
        <v>283</v>
      </c>
      <c r="E32" s="358" t="s">
        <v>284</v>
      </c>
      <c r="F32" s="442" t="s">
        <v>287</v>
      </c>
      <c r="G32" s="397" t="s">
        <v>288</v>
      </c>
    </row>
    <row r="33" spans="1:7" ht="118.5" customHeight="1">
      <c r="A33" s="707"/>
      <c r="B33" s="707"/>
      <c r="C33" s="47" t="s">
        <v>7</v>
      </c>
      <c r="D33" s="395" t="s">
        <v>299</v>
      </c>
      <c r="E33" s="396" t="s">
        <v>276</v>
      </c>
      <c r="F33" s="396" t="s">
        <v>277</v>
      </c>
      <c r="G33" s="397" t="s">
        <v>300</v>
      </c>
    </row>
    <row r="34" spans="1:7" ht="122.25" customHeight="1">
      <c r="A34" s="707"/>
      <c r="B34" s="707"/>
      <c r="C34" s="47" t="s">
        <v>8</v>
      </c>
      <c r="D34" s="395" t="s">
        <v>299</v>
      </c>
      <c r="E34" s="396" t="s">
        <v>276</v>
      </c>
      <c r="F34" s="396" t="s">
        <v>277</v>
      </c>
      <c r="G34" s="397" t="s">
        <v>300</v>
      </c>
    </row>
    <row r="35" spans="1:7" ht="99" customHeight="1" thickBot="1">
      <c r="A35" s="707"/>
      <c r="B35" s="707"/>
      <c r="C35" s="48" t="s">
        <v>10</v>
      </c>
      <c r="D35" s="362"/>
      <c r="E35" s="363"/>
      <c r="F35" s="315"/>
      <c r="G35" s="445"/>
    </row>
    <row r="36" spans="1:7" ht="68.25" customHeight="1">
      <c r="A36" s="707" t="s">
        <v>18</v>
      </c>
      <c r="B36" s="709">
        <f>B31+1</f>
        <v>46277</v>
      </c>
      <c r="C36" s="43" t="s">
        <v>5</v>
      </c>
      <c r="D36" s="289"/>
      <c r="E36" s="290"/>
      <c r="F36" s="290"/>
      <c r="G36" s="291"/>
    </row>
    <row r="37" spans="1:7" ht="68.25" customHeight="1">
      <c r="A37" s="707"/>
      <c r="B37" s="707"/>
      <c r="C37" s="44" t="s">
        <v>6</v>
      </c>
      <c r="D37" s="281"/>
      <c r="E37" s="287"/>
      <c r="F37" s="287"/>
      <c r="G37" s="288"/>
    </row>
    <row r="38" spans="1:7" ht="68.25" customHeight="1">
      <c r="A38" s="707"/>
      <c r="B38" s="707"/>
      <c r="C38" s="44" t="s">
        <v>7</v>
      </c>
      <c r="D38" s="257"/>
      <c r="E38" s="285"/>
      <c r="F38" s="285"/>
      <c r="G38" s="286"/>
    </row>
    <row r="39" spans="1:7" ht="68.25" customHeight="1">
      <c r="A39" s="707"/>
      <c r="B39" s="707"/>
      <c r="C39" s="44" t="s">
        <v>8</v>
      </c>
      <c r="D39" s="257"/>
      <c r="E39" s="285"/>
      <c r="F39" s="258"/>
      <c r="G39" s="296"/>
    </row>
    <row r="40" spans="1:7" ht="68.25" customHeight="1" thickBot="1">
      <c r="A40" s="708"/>
      <c r="B40" s="708"/>
      <c r="C40" s="45" t="s">
        <v>10</v>
      </c>
      <c r="D40" s="297"/>
      <c r="E40" s="298"/>
      <c r="F40" s="298"/>
      <c r="G40" s="299"/>
    </row>
    <row r="41" spans="1:7" ht="30.75">
      <c r="A41" s="69"/>
      <c r="B41" s="69"/>
      <c r="C41" s="69"/>
      <c r="D41" s="211" t="s">
        <v>120</v>
      </c>
      <c r="E41" s="69"/>
      <c r="F41" s="69"/>
    </row>
    <row r="42" spans="1:7">
      <c r="A42" s="69"/>
      <c r="B42" s="69"/>
      <c r="C42" s="27" t="str">
        <f>'01.09'!C42</f>
        <v>*Л. Речевое общение в профессиональной деятельности*</v>
      </c>
      <c r="D42" s="50">
        <f>'01.09'!D42+COUNTIF(D$11:D$40,$C42)</f>
        <v>2</v>
      </c>
      <c r="E42" s="50">
        <f>'01.09'!E42+COUNTIF(E$11:E$40,$C42)</f>
        <v>2</v>
      </c>
      <c r="F42" s="50">
        <f>'01.09'!F42+COUNTIF(F$11:F$40,$C42)</f>
        <v>2</v>
      </c>
      <c r="G42" s="50">
        <f>'01.09'!G42+COUNTIF(G$11:G$40,$C42)</f>
        <v>2</v>
      </c>
    </row>
    <row r="43" spans="1:7">
      <c r="A43" s="69"/>
      <c r="B43" s="69"/>
      <c r="C43" s="27" t="str">
        <f>'01.09'!C43</f>
        <v>*Пр. Речевое общение в профессиональной деятельности*</v>
      </c>
      <c r="D43" s="50">
        <f>'01.09'!D43+COUNTIF(D$11:D$40,$C43)</f>
        <v>0</v>
      </c>
      <c r="E43" s="50">
        <f>'01.09'!E43+COUNTIF(E$11:E$40,$C43)</f>
        <v>0</v>
      </c>
      <c r="F43" s="50">
        <f>'01.09'!F43+COUNTIF(F$11:F$40,$C43)</f>
        <v>0</v>
      </c>
      <c r="G43" s="50">
        <f>'01.09'!G43+COUNTIF(G$11:G$40,$C43)</f>
        <v>0</v>
      </c>
    </row>
    <row r="44" spans="1:7">
      <c r="A44" s="69"/>
      <c r="B44" s="69"/>
      <c r="C44" s="27" t="str">
        <f>'01.09'!C44</f>
        <v>*Л. Физическая культура и спорт*</v>
      </c>
      <c r="D44" s="50">
        <f>'01.09'!D44+COUNTIF(D$11:D$40,$C44)</f>
        <v>2</v>
      </c>
      <c r="E44" s="50">
        <f>'01.09'!E44+COUNTIF(E$11:E$40,$C44)</f>
        <v>2</v>
      </c>
      <c r="F44" s="50">
        <f>'01.09'!F44+COUNTIF(F$11:F$40,$C44)</f>
        <v>2</v>
      </c>
      <c r="G44" s="50">
        <f>'01.09'!G44+COUNTIF(G$11:G$40,$C44)</f>
        <v>2</v>
      </c>
    </row>
    <row r="45" spans="1:7">
      <c r="A45" s="69"/>
      <c r="B45" s="69"/>
      <c r="C45" s="27" t="str">
        <f>'01.09'!C45</f>
        <v>*Пр. Физическая культура и спорт*</v>
      </c>
      <c r="D45" s="50">
        <f>'01.09'!D45+COUNTIF(D$11:D$40,$C45)</f>
        <v>0</v>
      </c>
      <c r="E45" s="50">
        <f>'01.09'!E45+COUNTIF(E$11:E$40,$C45)</f>
        <v>0</v>
      </c>
      <c r="F45" s="50">
        <f>'01.09'!F45+COUNTIF(F$11:F$40,$C45)</f>
        <v>0</v>
      </c>
      <c r="G45" s="50">
        <f>'01.09'!G45+COUNTIF(G$11:G$40,$C45)</f>
        <v>0</v>
      </c>
    </row>
    <row r="46" spans="1:7">
      <c r="A46" s="69"/>
      <c r="B46" s="69"/>
      <c r="C46" s="27" t="str">
        <f>'01.09'!C46</f>
        <v>*Л. Анатомия*</v>
      </c>
      <c r="D46" s="50">
        <f>'01.09'!D46+COUNTIF(D$11:D$40,$C46)</f>
        <v>1</v>
      </c>
      <c r="E46" s="50">
        <f>'01.09'!E46+COUNTIF(E$11:E$40,$C46)</f>
        <v>1</v>
      </c>
      <c r="F46" s="50">
        <f>'01.09'!F46+COUNTIF(F$11:F$40,$C46)</f>
        <v>1</v>
      </c>
      <c r="G46" s="50">
        <f>'01.09'!G46+COUNTIF(G$11:G$40,$C46)</f>
        <v>1</v>
      </c>
    </row>
    <row r="47" spans="1:7">
      <c r="A47" s="69"/>
      <c r="B47" s="69"/>
      <c r="C47" s="27" t="str">
        <f>'01.09'!C47</f>
        <v>*Пр. Анатомия*</v>
      </c>
      <c r="D47" s="50">
        <f>'01.09'!D47+COUNTIF(D$11:D$40,$C47)</f>
        <v>0</v>
      </c>
      <c r="E47" s="50">
        <f>'01.09'!E47+COUNTIF(E$11:E$40,$C47)</f>
        <v>0</v>
      </c>
      <c r="F47" s="50">
        <f>'01.09'!F47+COUNTIF(F$11:F$40,$C47)</f>
        <v>0</v>
      </c>
      <c r="G47" s="50">
        <f>'01.09'!G47+COUNTIF(G$11:G$40,$C47)</f>
        <v>0</v>
      </c>
    </row>
    <row r="48" spans="1:7">
      <c r="A48" s="69"/>
      <c r="B48" s="69"/>
      <c r="C48" s="27" t="str">
        <f>'01.09'!C48</f>
        <v>*Л. Теория и методика*</v>
      </c>
      <c r="D48" s="50">
        <f>'01.09'!D48+COUNTIF(D$11:D$40,$C48)</f>
        <v>1</v>
      </c>
      <c r="E48" s="50">
        <f>'01.09'!E48+COUNTIF(E$11:E$40,$C48)</f>
        <v>1</v>
      </c>
      <c r="F48" s="50">
        <f>'01.09'!F48+COUNTIF(F$11:F$40,$C48)</f>
        <v>1</v>
      </c>
      <c r="G48" s="50">
        <f>'01.09'!G48+COUNTIF(G$11:G$40,$C48)</f>
        <v>1</v>
      </c>
    </row>
    <row r="49" spans="1:7">
      <c r="A49" s="69"/>
      <c r="B49" s="69"/>
      <c r="C49" s="27" t="str">
        <f>'01.09'!C49</f>
        <v>*Пр. Теория и методика*</v>
      </c>
      <c r="D49" s="50">
        <f>'01.09'!D49+COUNTIF(D$11:D$40,$C49)</f>
        <v>4</v>
      </c>
      <c r="E49" s="50">
        <f>'01.09'!E49+COUNTIF(E$11:E$40,$C49)</f>
        <v>4</v>
      </c>
      <c r="F49" s="50">
        <f>'01.09'!F49+COUNTIF(F$11:F$40,$C49)</f>
        <v>4</v>
      </c>
      <c r="G49" s="50">
        <f>'01.09'!G49+COUNTIF(G$11:G$40,$C49)</f>
        <v>4</v>
      </c>
    </row>
    <row r="50" spans="1:7">
      <c r="A50" s="69"/>
      <c r="B50" s="69"/>
      <c r="C50" s="27" t="str">
        <f>'01.09'!C50</f>
        <v>*Л. Информационные технологии*</v>
      </c>
      <c r="D50" s="50">
        <f>'01.09'!D50+COUNTIF(D$11:D$40,$C50)</f>
        <v>2</v>
      </c>
      <c r="E50" s="50">
        <f>'01.09'!E50+COUNTIF(E$11:E$40,$C50)</f>
        <v>2</v>
      </c>
      <c r="F50" s="50">
        <f>'01.09'!F50+COUNTIF(F$11:F$40,$C50)</f>
        <v>2</v>
      </c>
      <c r="G50" s="50">
        <f>'01.09'!G50+COUNTIF(G$11:G$40,$C50)</f>
        <v>2</v>
      </c>
    </row>
    <row r="51" spans="1:7">
      <c r="A51" s="69"/>
      <c r="B51" s="69"/>
      <c r="C51" s="27" t="str">
        <f>'01.09'!C51</f>
        <v>*Пр. Информационные технологии*</v>
      </c>
      <c r="D51" s="50">
        <f>'01.09'!D51+COUNTIF(D$11:D$40,$C51)</f>
        <v>1</v>
      </c>
      <c r="E51" s="50">
        <f>'01.09'!E51+COUNTIF(E$11:E$40,$C51)</f>
        <v>1</v>
      </c>
      <c r="F51" s="50">
        <f>'01.09'!F51+COUNTIF(F$11:F$40,$C51)</f>
        <v>1</v>
      </c>
      <c r="G51" s="50">
        <f>'01.09'!G51+COUNTIF(G$11:G$40,$C51)</f>
        <v>1</v>
      </c>
    </row>
    <row r="52" spans="1:7">
      <c r="A52" s="69"/>
      <c r="B52" s="69"/>
      <c r="C52" s="27" t="str">
        <f>'01.09'!C52</f>
        <v>*Л. Гимнастика*</v>
      </c>
      <c r="D52" s="50">
        <f>'01.09'!D52+COUNTIF(D$11:D$40,$C52)</f>
        <v>3</v>
      </c>
      <c r="E52" s="50">
        <f>'01.09'!E52+COUNTIF(E$11:E$40,$C52)</f>
        <v>3</v>
      </c>
      <c r="F52" s="50">
        <f>'01.09'!F52+COUNTIF(F$11:F$40,$C52)</f>
        <v>3</v>
      </c>
      <c r="G52" s="50">
        <f>'01.09'!G52+COUNTIF(G$11:G$40,$C52)</f>
        <v>3</v>
      </c>
    </row>
    <row r="53" spans="1:7">
      <c r="A53" s="69"/>
      <c r="B53" s="69"/>
      <c r="C53" s="27" t="str">
        <f>'01.09'!C53</f>
        <v>*Пр. Гимнастика*</v>
      </c>
      <c r="D53" s="50">
        <f>'01.09'!D53+COUNTIF(D$11:D$40,$C53)</f>
        <v>1</v>
      </c>
      <c r="E53" s="50">
        <f>'01.09'!E53+COUNTIF(E$11:E$40,$C53)</f>
        <v>2</v>
      </c>
      <c r="F53" s="50">
        <f>'01.09'!F53+COUNTIF(F$11:F$40,$C53)</f>
        <v>1</v>
      </c>
      <c r="G53" s="50">
        <f>'01.09'!G53+COUNTIF(G$11:G$40,$C53)</f>
        <v>1</v>
      </c>
    </row>
    <row r="54" spans="1:7">
      <c r="A54" s="69"/>
      <c r="B54" s="69"/>
      <c r="C54" s="27" t="str">
        <f>'01.09'!C54</f>
        <v>*Л. Элективные дисциплины по ФКиС: Подвижные игры*</v>
      </c>
      <c r="D54" s="50">
        <f>'01.09'!D54+COUNTIF(D$11:D$40,$C54)</f>
        <v>1</v>
      </c>
      <c r="E54" s="50">
        <f>'01.09'!E54+COUNTIF(E$11:E$40,$C54)</f>
        <v>1</v>
      </c>
      <c r="F54" s="50">
        <f>'01.09'!F54+COUNTIF(F$11:F$40,$C54)</f>
        <v>1</v>
      </c>
      <c r="G54" s="50">
        <f>'01.09'!G54+COUNTIF(G$11:G$40,$C54)</f>
        <v>1</v>
      </c>
    </row>
    <row r="55" spans="1:7">
      <c r="A55" s="69"/>
      <c r="B55" s="69"/>
      <c r="C55" s="27" t="str">
        <f>'01.09'!C55</f>
        <v>*Пр. Элективные дисциплины по ФКиС: Подвижные игры*</v>
      </c>
      <c r="D55" s="50">
        <f>'01.09'!D55+COUNTIF(D$11:D$40,$C55)</f>
        <v>1</v>
      </c>
      <c r="E55" s="50">
        <f>'01.09'!E55+COUNTIF(E$11:E$40,$C55)</f>
        <v>1</v>
      </c>
      <c r="F55" s="50">
        <f>'01.09'!F55+COUNTIF(F$11:F$40,$C55)</f>
        <v>1</v>
      </c>
      <c r="G55" s="50">
        <f>'01.09'!G55+COUNTIF(G$11:G$40,$C55)</f>
        <v>1</v>
      </c>
    </row>
    <row r="56" spans="1:7">
      <c r="C56" s="27" t="str">
        <f>'01.09'!C56</f>
        <v>*Л. Волейбол*</v>
      </c>
      <c r="D56" s="50">
        <f>'01.09'!D56+COUNTIF(D$11:D$40,$C56)</f>
        <v>1</v>
      </c>
      <c r="E56" s="50">
        <f>'01.09'!E56+COUNTIF(E$11:E$40,$C56)</f>
        <v>1</v>
      </c>
      <c r="F56" s="50">
        <f>'01.09'!F56+COUNTIF(F$11:F$40,$C56)</f>
        <v>1</v>
      </c>
      <c r="G56" s="50">
        <f>'01.09'!G56+COUNTIF(G$11:G$40,$C56)</f>
        <v>1</v>
      </c>
    </row>
    <row r="57" spans="1:7">
      <c r="C57" s="27" t="str">
        <f>'01.09'!C57</f>
        <v>*Пр. Волейбол*</v>
      </c>
      <c r="D57" s="50">
        <f>'01.09'!D57+COUNTIF(D$11:D$40,$C57)</f>
        <v>2</v>
      </c>
      <c r="E57" s="50">
        <f>'01.09'!E57+COUNTIF(E$11:E$40,$C57)</f>
        <v>2</v>
      </c>
      <c r="F57" s="50">
        <f>'01.09'!F57+COUNTIF(F$11:F$40,$C57)</f>
        <v>2</v>
      </c>
      <c r="G57" s="50">
        <f>'01.09'!G57+COUNTIF(G$11:G$40,$C57)</f>
        <v>2</v>
      </c>
    </row>
    <row r="58" spans="1:7">
      <c r="C58" s="27" t="str">
        <f>'01.09'!C58</f>
        <v>*Л. Лыжные гонки*</v>
      </c>
      <c r="D58" s="50">
        <f>'01.09'!D58+COUNTIF(D$11:D$40,$C58)</f>
        <v>0</v>
      </c>
      <c r="E58" s="50">
        <f>'01.09'!E58+COUNTIF(E$11:E$40,$C58)</f>
        <v>0</v>
      </c>
      <c r="F58" s="50">
        <f>'01.09'!F58+COUNTIF(F$11:F$40,$C58)</f>
        <v>0</v>
      </c>
      <c r="G58" s="50">
        <f>'01.09'!G58+COUNTIF(G$11:G$40,$C58)</f>
        <v>0</v>
      </c>
    </row>
    <row r="59" spans="1:7">
      <c r="C59" s="27" t="str">
        <f>'01.09'!C59</f>
        <v>*Пр. Лыжные гонки*</v>
      </c>
      <c r="D59" s="50">
        <f>'01.09'!D59+COUNTIF(D$11:D$40,$C59)</f>
        <v>0</v>
      </c>
      <c r="E59" s="50">
        <f>'01.09'!E59+COUNTIF(E$11:E$40,$C59)</f>
        <v>0</v>
      </c>
      <c r="F59" s="50">
        <f>'01.09'!F59+COUNTIF(F$11:F$40,$C59)</f>
        <v>0</v>
      </c>
      <c r="G59" s="50">
        <f>'01.09'!G59+COUNTIF(G$11:G$40,$C59)</f>
        <v>0</v>
      </c>
    </row>
    <row r="60" spans="1:7">
      <c r="C60" s="27" t="str">
        <f>'01.09'!C60</f>
        <v>*Л. Использование электронной*</v>
      </c>
      <c r="D60" s="50">
        <f>'01.09'!D60+COUNTIF(D$11:D$40,$C60)</f>
        <v>1</v>
      </c>
      <c r="E60" s="50">
        <f>'01.09'!E60+COUNTIF(E$11:E$40,$C60)</f>
        <v>0</v>
      </c>
      <c r="F60" s="50">
        <f>'01.09'!F60+COUNTIF(F$11:F$40,$C60)</f>
        <v>0</v>
      </c>
      <c r="G60" s="50">
        <f>'01.09'!G60+COUNTIF(G$11:G$40,$C60)</f>
        <v>0</v>
      </c>
    </row>
    <row r="61" spans="1:7">
      <c r="C61" s="27" t="str">
        <f>'01.09'!C61</f>
        <v>*Пр. Использование электронной*</v>
      </c>
      <c r="D61" s="50">
        <f>'01.09'!D61+COUNTIF(D$11:D$40,$C61)</f>
        <v>0</v>
      </c>
      <c r="E61" s="50">
        <f>'01.09'!E61+COUNTIF(E$11:E$40,$C61)</f>
        <v>0</v>
      </c>
      <c r="F61" s="50">
        <f>'01.09'!F61+COUNTIF(F$11:F$40,$C61)</f>
        <v>0</v>
      </c>
      <c r="G61" s="50">
        <f>'01.09'!G61+COUNTIF(G$11:G$40,$C61)</f>
        <v>0</v>
      </c>
    </row>
    <row r="62" spans="1:7">
      <c r="C62" s="27" t="str">
        <f>'01.09'!C62</f>
        <v>*Пр. Иностранный*</v>
      </c>
      <c r="D62" s="50">
        <f>'01.09'!D62+COUNTIF(D$11:D$40,$C62)</f>
        <v>1</v>
      </c>
      <c r="E62" s="50">
        <f>'01.09'!E62+COUNTIF(E$11:E$40,$C62)</f>
        <v>1</v>
      </c>
      <c r="F62" s="50">
        <f>'01.09'!F62+COUNTIF(F$11:F$40,$C62)</f>
        <v>1</v>
      </c>
      <c r="G62" s="50">
        <f>'01.09'!G62+COUNTIF(G$11:G$40,$C62)</f>
        <v>1</v>
      </c>
    </row>
    <row r="63" spans="1:7">
      <c r="C63" s="27">
        <f>'01.09'!C63</f>
        <v>0</v>
      </c>
      <c r="D63" s="50">
        <f>'01.09'!D63+COUNTIF(D$11:D$40,$C63)</f>
        <v>0</v>
      </c>
      <c r="E63" s="50">
        <f>'01.09'!E63+COUNTIF(E$11:E$40,$C63)</f>
        <v>0</v>
      </c>
      <c r="F63" s="50">
        <f>'01.09'!F63+COUNTIF(F$11:F$40,$C63)</f>
        <v>0</v>
      </c>
      <c r="G63" s="50">
        <f>'01.09'!G63+COUNTIF(G$11:G$40,$C63)</f>
        <v>0</v>
      </c>
    </row>
    <row r="64" spans="1:7">
      <c r="C64" s="27">
        <f>'01.09'!C64</f>
        <v>0</v>
      </c>
      <c r="D64" s="50">
        <f>'01.09'!D64+COUNTIF(D$11:D$40,$C64)</f>
        <v>0</v>
      </c>
      <c r="E64" s="50">
        <f>'01.09'!E64+COUNTIF(E$11:E$40,$C64)</f>
        <v>0</v>
      </c>
      <c r="F64" s="50">
        <f>'01.09'!F64+COUNTIF(F$11:F$40,$C64)</f>
        <v>0</v>
      </c>
      <c r="G64" s="50">
        <f>'01.09'!G64+COUNTIF(G$11:G$40,$C64)</f>
        <v>0</v>
      </c>
    </row>
    <row r="65" spans="3:7">
      <c r="C65" s="27">
        <f>'01.09'!C65</f>
        <v>0</v>
      </c>
      <c r="D65" s="50">
        <f>'01.09'!D65+COUNTIF(D$11:D$40,$C65)</f>
        <v>0</v>
      </c>
      <c r="E65" s="50">
        <f>'01.09'!E65+COUNTIF(E$11:E$40,$C65)</f>
        <v>0</v>
      </c>
      <c r="F65" s="50">
        <f>'01.09'!F65+COUNTIF(F$11:F$40,$C65)</f>
        <v>0</v>
      </c>
      <c r="G65" s="50">
        <f>'01.09'!G65+COUNTIF(G$11:G$40,$C65)</f>
        <v>0</v>
      </c>
    </row>
    <row r="66" spans="3:7">
      <c r="C66" s="27">
        <f>'01.09'!C66</f>
        <v>0</v>
      </c>
      <c r="D66" s="50">
        <f>'01.09'!D66+COUNTIF(D$11:D$40,$C66)</f>
        <v>0</v>
      </c>
      <c r="E66" s="50">
        <f>'01.09'!E66+COUNTIF(E$11:E$40,$C66)</f>
        <v>0</v>
      </c>
      <c r="F66" s="50">
        <f>'01.09'!F66+COUNTIF(F$11:F$40,$C66)</f>
        <v>0</v>
      </c>
      <c r="G66" s="50">
        <f>'01.09'!G66+COUNTIF(G$11:G$40,$C66)</f>
        <v>0</v>
      </c>
    </row>
    <row r="67" spans="3:7">
      <c r="C67" s="27">
        <f>'01.09'!C67</f>
        <v>0</v>
      </c>
      <c r="D67" s="50">
        <f>'01.09'!D67+COUNTIF(D$11:D$40,$C67)</f>
        <v>0</v>
      </c>
      <c r="E67" s="50">
        <f>'01.09'!E67+COUNTIF(E$11:E$40,$C67)</f>
        <v>0</v>
      </c>
      <c r="F67" s="50">
        <f>'01.09'!F67+COUNTIF(F$11:F$40,$C67)</f>
        <v>0</v>
      </c>
      <c r="G67" s="50">
        <f>'01.09'!G67+COUNTIF(G$11:G$40,$C67)</f>
        <v>0</v>
      </c>
    </row>
  </sheetData>
  <mergeCells count="22"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A26:A30"/>
    <mergeCell ref="B26:B30"/>
    <mergeCell ref="A31:A35"/>
    <mergeCell ref="B31:B35"/>
    <mergeCell ref="A21:A25"/>
    <mergeCell ref="B21:B25"/>
    <mergeCell ref="A9:A10"/>
    <mergeCell ref="C9:C10"/>
    <mergeCell ref="A11:A15"/>
    <mergeCell ref="B11:B15"/>
    <mergeCell ref="A16:A20"/>
    <mergeCell ref="B16:B20"/>
    <mergeCell ref="B9:B10"/>
  </mergeCells>
  <phoneticPr fontId="3" type="noConversion"/>
  <pageMargins left="0" right="0" top="0" bottom="0" header="0" footer="0"/>
  <pageSetup paperSize="9" scale="2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topLeftCell="A22" zoomScale="40" zoomScaleNormal="40" zoomScaleSheetLayoutView="40" zoomScalePageLayoutView="40" workbookViewId="0">
      <selection activeCell="E31" sqref="E31"/>
    </sheetView>
  </sheetViews>
  <sheetFormatPr defaultRowHeight="26.25"/>
  <cols>
    <col min="1" max="1" width="5.140625" style="84" customWidth="1"/>
    <col min="2" max="2" width="5" style="84" customWidth="1"/>
    <col min="3" max="3" width="29.140625" style="84" customWidth="1"/>
    <col min="4" max="7" width="73.5703125" style="84" customWidth="1"/>
    <col min="8" max="16384" width="9.140625" style="84"/>
  </cols>
  <sheetData>
    <row r="1" spans="1:7" ht="36" customHeight="1">
      <c r="B1" s="726" t="s">
        <v>182</v>
      </c>
      <c r="C1" s="726"/>
      <c r="D1" s="726"/>
      <c r="E1" s="726"/>
      <c r="F1" s="726"/>
      <c r="G1" s="726"/>
    </row>
    <row r="2" spans="1:7" ht="36" customHeight="1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6" customHeight="1">
      <c r="A6" s="86"/>
      <c r="B6" s="726" t="s">
        <v>183</v>
      </c>
      <c r="C6" s="726"/>
      <c r="D6" s="726"/>
      <c r="E6" s="726"/>
      <c r="F6" s="726"/>
      <c r="G6" s="726"/>
    </row>
    <row r="7" spans="1:7" ht="36" customHeight="1">
      <c r="A7" s="87"/>
      <c r="B7" s="728" t="s">
        <v>296</v>
      </c>
      <c r="C7" s="728"/>
      <c r="D7" s="728"/>
      <c r="E7" s="728"/>
      <c r="F7" s="728"/>
      <c r="G7" s="728"/>
    </row>
    <row r="8" spans="1:7" ht="2.25" customHeight="1" thickBot="1">
      <c r="A8" s="212"/>
      <c r="B8" s="745"/>
      <c r="C8" s="745"/>
      <c r="D8" s="745"/>
      <c r="E8" s="745"/>
      <c r="F8" s="745"/>
      <c r="G8" s="745"/>
    </row>
    <row r="9" spans="1:7" ht="36" customHeight="1" thickBot="1">
      <c r="A9" s="710" t="s">
        <v>76</v>
      </c>
      <c r="B9" s="710" t="s">
        <v>9</v>
      </c>
      <c r="C9" s="74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117.75" customHeight="1" thickBot="1">
      <c r="A10" s="711"/>
      <c r="B10" s="711"/>
      <c r="C10" s="74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93.75" customHeight="1">
      <c r="A11" s="715" t="s">
        <v>0</v>
      </c>
      <c r="B11" s="716">
        <v>46279</v>
      </c>
      <c r="C11" s="46" t="s">
        <v>5</v>
      </c>
      <c r="D11" s="519" t="s">
        <v>282</v>
      </c>
      <c r="E11" s="360" t="s">
        <v>286</v>
      </c>
      <c r="F11" s="360"/>
      <c r="G11" s="520"/>
    </row>
    <row r="12" spans="1:7" ht="80.25" customHeight="1">
      <c r="A12" s="707"/>
      <c r="B12" s="707"/>
      <c r="C12" s="47" t="s">
        <v>6</v>
      </c>
      <c r="D12" s="395" t="s">
        <v>302</v>
      </c>
      <c r="E12" s="442" t="s">
        <v>302</v>
      </c>
      <c r="F12" s="442" t="s">
        <v>302</v>
      </c>
      <c r="G12" s="397" t="s">
        <v>302</v>
      </c>
    </row>
    <row r="13" spans="1:7" ht="93.75" customHeight="1">
      <c r="A13" s="707"/>
      <c r="B13" s="707"/>
      <c r="C13" s="47" t="s">
        <v>7</v>
      </c>
      <c r="D13" s="395" t="s">
        <v>305</v>
      </c>
      <c r="E13" s="396" t="s">
        <v>305</v>
      </c>
      <c r="F13" s="396" t="s">
        <v>305</v>
      </c>
      <c r="G13" s="397" t="s">
        <v>305</v>
      </c>
    </row>
    <row r="14" spans="1:7" ht="87.75" customHeight="1">
      <c r="A14" s="707"/>
      <c r="B14" s="707"/>
      <c r="C14" s="47" t="s">
        <v>8</v>
      </c>
      <c r="D14" s="395" t="s">
        <v>304</v>
      </c>
      <c r="E14" s="442" t="s">
        <v>304</v>
      </c>
      <c r="F14" s="442" t="s">
        <v>304</v>
      </c>
      <c r="G14" s="397" t="s">
        <v>304</v>
      </c>
    </row>
    <row r="15" spans="1:7" ht="27" thickBot="1">
      <c r="A15" s="707"/>
      <c r="B15" s="707"/>
      <c r="C15" s="48" t="s">
        <v>10</v>
      </c>
      <c r="D15" s="428"/>
      <c r="E15" s="613"/>
      <c r="F15" s="613"/>
      <c r="G15" s="429"/>
    </row>
    <row r="16" spans="1:7" ht="122.25" customHeight="1">
      <c r="A16" s="707" t="s">
        <v>1</v>
      </c>
      <c r="B16" s="709">
        <f>B11+1</f>
        <v>46280</v>
      </c>
      <c r="C16" s="46" t="s">
        <v>5</v>
      </c>
      <c r="D16" s="605" t="s">
        <v>299</v>
      </c>
      <c r="E16" s="404" t="s">
        <v>276</v>
      </c>
      <c r="F16" s="404" t="s">
        <v>277</v>
      </c>
      <c r="G16" s="476" t="s">
        <v>300</v>
      </c>
    </row>
    <row r="17" spans="1:9" ht="129.75" customHeight="1">
      <c r="A17" s="707"/>
      <c r="B17" s="707"/>
      <c r="C17" s="47" t="s">
        <v>6</v>
      </c>
      <c r="D17" s="364" t="s">
        <v>299</v>
      </c>
      <c r="E17" s="396" t="s">
        <v>276</v>
      </c>
      <c r="F17" s="396" t="s">
        <v>277</v>
      </c>
      <c r="G17" s="415" t="s">
        <v>300</v>
      </c>
    </row>
    <row r="18" spans="1:9" ht="80.25" customHeight="1">
      <c r="A18" s="707"/>
      <c r="B18" s="707"/>
      <c r="C18" s="47" t="s">
        <v>7</v>
      </c>
      <c r="D18" s="395" t="s">
        <v>278</v>
      </c>
      <c r="E18" s="396" t="s">
        <v>286</v>
      </c>
      <c r="F18" s="396"/>
      <c r="G18" s="397" t="s">
        <v>285</v>
      </c>
    </row>
    <row r="19" spans="1:9" ht="80.25" customHeight="1">
      <c r="A19" s="707"/>
      <c r="B19" s="707"/>
      <c r="C19" s="47" t="s">
        <v>8</v>
      </c>
      <c r="D19" s="395" t="s">
        <v>286</v>
      </c>
      <c r="E19" s="396" t="s">
        <v>278</v>
      </c>
      <c r="F19" s="396"/>
      <c r="G19" s="397"/>
    </row>
    <row r="20" spans="1:9" ht="53.25" customHeight="1" thickBot="1">
      <c r="A20" s="707"/>
      <c r="B20" s="707"/>
      <c r="C20" s="48" t="s">
        <v>10</v>
      </c>
      <c r="D20" s="399"/>
      <c r="E20" s="400"/>
      <c r="F20" s="400"/>
      <c r="G20" s="401"/>
      <c r="I20" s="185"/>
    </row>
    <row r="21" spans="1:9" ht="90" customHeight="1">
      <c r="A21" s="707" t="s">
        <v>2</v>
      </c>
      <c r="B21" s="709">
        <f>B16+1</f>
        <v>46281</v>
      </c>
      <c r="C21" s="46" t="s">
        <v>5</v>
      </c>
      <c r="D21" s="325"/>
      <c r="E21" s="326"/>
      <c r="F21" s="326" t="s">
        <v>285</v>
      </c>
      <c r="G21" s="398" t="s">
        <v>282</v>
      </c>
    </row>
    <row r="22" spans="1:9" ht="97.5" customHeight="1">
      <c r="A22" s="707"/>
      <c r="B22" s="707"/>
      <c r="C22" s="47" t="s">
        <v>6</v>
      </c>
      <c r="D22" s="257"/>
      <c r="E22" s="258" t="s">
        <v>284</v>
      </c>
      <c r="F22" s="442" t="s">
        <v>282</v>
      </c>
      <c r="G22" s="248" t="s">
        <v>290</v>
      </c>
    </row>
    <row r="23" spans="1:9" ht="97.5" customHeight="1">
      <c r="A23" s="707"/>
      <c r="B23" s="707"/>
      <c r="C23" s="47" t="s">
        <v>7</v>
      </c>
      <c r="D23" s="395" t="s">
        <v>289</v>
      </c>
      <c r="E23" s="259" t="s">
        <v>282</v>
      </c>
      <c r="F23" s="258" t="s">
        <v>307</v>
      </c>
      <c r="G23" s="397" t="s">
        <v>288</v>
      </c>
      <c r="I23" s="185"/>
    </row>
    <row r="24" spans="1:9" ht="80.25" customHeight="1">
      <c r="A24" s="707"/>
      <c r="B24" s="707"/>
      <c r="C24" s="47" t="s">
        <v>8</v>
      </c>
      <c r="D24" s="257" t="s">
        <v>286</v>
      </c>
      <c r="E24" s="258" t="s">
        <v>289</v>
      </c>
      <c r="F24" s="258"/>
      <c r="G24" s="614" t="s">
        <v>307</v>
      </c>
    </row>
    <row r="25" spans="1:9" ht="58.5" customHeight="1" thickBot="1">
      <c r="A25" s="707"/>
      <c r="B25" s="707"/>
      <c r="C25" s="48" t="s">
        <v>10</v>
      </c>
      <c r="D25" s="265"/>
      <c r="E25" s="315"/>
      <c r="F25" s="315"/>
      <c r="G25" s="316"/>
    </row>
    <row r="26" spans="1:9" ht="77.25" customHeight="1">
      <c r="A26" s="707" t="s">
        <v>3</v>
      </c>
      <c r="B26" s="709">
        <f>B21+1</f>
        <v>46282</v>
      </c>
      <c r="C26" s="46" t="s">
        <v>5</v>
      </c>
      <c r="D26" s="289"/>
      <c r="E26" s="329"/>
      <c r="F26" s="329"/>
      <c r="G26" s="334"/>
    </row>
    <row r="27" spans="1:9" ht="77.25" customHeight="1">
      <c r="A27" s="714"/>
      <c r="B27" s="707"/>
      <c r="C27" s="47" t="s">
        <v>6</v>
      </c>
      <c r="D27" s="335"/>
      <c r="E27" s="358"/>
      <c r="F27" s="358"/>
      <c r="G27" s="359"/>
    </row>
    <row r="28" spans="1:9" ht="110.25" customHeight="1">
      <c r="A28" s="714"/>
      <c r="B28" s="707"/>
      <c r="C28" s="47" t="s">
        <v>7</v>
      </c>
      <c r="D28" s="395"/>
      <c r="E28" s="442"/>
      <c r="F28" s="442" t="s">
        <v>290</v>
      </c>
      <c r="G28" s="397"/>
    </row>
    <row r="29" spans="1:9" ht="80.25" customHeight="1">
      <c r="A29" s="714"/>
      <c r="B29" s="707"/>
      <c r="C29" s="47" t="s">
        <v>8</v>
      </c>
      <c r="D29" s="395"/>
      <c r="E29" s="442"/>
      <c r="F29" s="442" t="s">
        <v>287</v>
      </c>
      <c r="G29" s="248"/>
    </row>
    <row r="30" spans="1:9" ht="28.5" thickBot="1">
      <c r="A30" s="714"/>
      <c r="B30" s="707"/>
      <c r="C30" s="48" t="s">
        <v>10</v>
      </c>
      <c r="D30" s="265"/>
      <c r="E30" s="474"/>
      <c r="F30" s="474"/>
      <c r="G30" s="475"/>
    </row>
    <row r="31" spans="1:9" ht="80.25" customHeight="1">
      <c r="A31" s="707" t="s">
        <v>4</v>
      </c>
      <c r="B31" s="709">
        <f>B26+1</f>
        <v>46283</v>
      </c>
      <c r="C31" s="46" t="s">
        <v>5</v>
      </c>
      <c r="D31" s="254"/>
      <c r="E31" s="255"/>
      <c r="F31" s="255"/>
      <c r="G31" s="334"/>
    </row>
    <row r="32" spans="1:9" ht="80.25" customHeight="1">
      <c r="A32" s="707"/>
      <c r="B32" s="707"/>
      <c r="C32" s="47" t="s">
        <v>6</v>
      </c>
      <c r="D32" s="257" t="s">
        <v>283</v>
      </c>
      <c r="E32" s="358" t="s">
        <v>284</v>
      </c>
      <c r="F32" s="442" t="s">
        <v>287</v>
      </c>
      <c r="G32" s="397" t="s">
        <v>288</v>
      </c>
    </row>
    <row r="33" spans="1:7" ht="111">
      <c r="A33" s="707"/>
      <c r="B33" s="707"/>
      <c r="C33" s="47" t="s">
        <v>7</v>
      </c>
      <c r="D33" s="364" t="s">
        <v>299</v>
      </c>
      <c r="E33" s="396" t="s">
        <v>276</v>
      </c>
      <c r="F33" s="396" t="s">
        <v>277</v>
      </c>
      <c r="G33" s="415" t="s">
        <v>300</v>
      </c>
    </row>
    <row r="34" spans="1:7" ht="111">
      <c r="A34" s="707"/>
      <c r="B34" s="707"/>
      <c r="C34" s="47" t="s">
        <v>8</v>
      </c>
      <c r="D34" s="364" t="s">
        <v>299</v>
      </c>
      <c r="E34" s="396" t="s">
        <v>276</v>
      </c>
      <c r="F34" s="396" t="s">
        <v>277</v>
      </c>
      <c r="G34" s="415" t="s">
        <v>300</v>
      </c>
    </row>
    <row r="35" spans="1:7" ht="80.25" customHeight="1" thickBot="1">
      <c r="A35" s="707"/>
      <c r="B35" s="707"/>
      <c r="C35" s="48" t="s">
        <v>10</v>
      </c>
      <c r="D35" s="362"/>
      <c r="E35" s="363"/>
      <c r="F35" s="315"/>
      <c r="G35" s="445"/>
    </row>
    <row r="36" spans="1:7" ht="45" customHeight="1">
      <c r="A36" s="707" t="s">
        <v>18</v>
      </c>
      <c r="B36" s="709">
        <f>B31+1</f>
        <v>46284</v>
      </c>
      <c r="C36" s="236" t="s">
        <v>5</v>
      </c>
      <c r="D36" s="208"/>
      <c r="E36" s="230"/>
      <c r="F36" s="230"/>
      <c r="G36" s="231"/>
    </row>
    <row r="37" spans="1:7" ht="45" customHeight="1">
      <c r="A37" s="707"/>
      <c r="B37" s="707"/>
      <c r="C37" s="36" t="s">
        <v>6</v>
      </c>
      <c r="D37" s="209"/>
      <c r="E37" s="210"/>
      <c r="F37" s="210"/>
      <c r="G37" s="233"/>
    </row>
    <row r="38" spans="1:7" ht="45" customHeight="1">
      <c r="A38" s="707"/>
      <c r="B38" s="707"/>
      <c r="C38" s="36" t="s">
        <v>7</v>
      </c>
      <c r="D38" s="239"/>
      <c r="E38" s="232"/>
      <c r="F38" s="210"/>
      <c r="G38" s="233"/>
    </row>
    <row r="39" spans="1:7" ht="45" customHeight="1">
      <c r="A39" s="707"/>
      <c r="B39" s="707"/>
      <c r="C39" s="36" t="s">
        <v>8</v>
      </c>
      <c r="D39" s="209"/>
      <c r="E39" s="210"/>
      <c r="F39" s="210"/>
      <c r="G39" s="233"/>
    </row>
    <row r="40" spans="1:7" ht="45" customHeight="1" thickBot="1">
      <c r="A40" s="708"/>
      <c r="B40" s="708"/>
      <c r="C40" s="237" t="s">
        <v>10</v>
      </c>
      <c r="D40" s="180"/>
      <c r="E40" s="181"/>
      <c r="F40" s="181"/>
      <c r="G40" s="197"/>
    </row>
    <row r="41" spans="1:7" ht="30.75">
      <c r="A41" s="69"/>
      <c r="B41" s="69"/>
      <c r="C41" s="69"/>
      <c r="D41" s="213" t="s">
        <v>120</v>
      </c>
      <c r="E41" s="69"/>
      <c r="F41" s="69"/>
    </row>
    <row r="42" spans="1:7">
      <c r="A42" s="69"/>
      <c r="B42" s="69"/>
      <c r="C42" s="27" t="str">
        <f>'01.09'!C42</f>
        <v>*Л. Речевое общение в профессиональной деятельности*</v>
      </c>
      <c r="D42" s="50">
        <f>'07.09'!D42+COUNTIF(D$11:D$40,$C42)</f>
        <v>3</v>
      </c>
      <c r="E42" s="50">
        <f>'07.09'!E42+COUNTIF(E$11:E$40,$C42)</f>
        <v>3</v>
      </c>
      <c r="F42" s="50">
        <f>'07.09'!F42+COUNTIF(F$11:F$40,$C42)</f>
        <v>3</v>
      </c>
      <c r="G42" s="50">
        <f>'07.09'!G42+COUNTIF(G$11:G$40,$C42)</f>
        <v>3</v>
      </c>
    </row>
    <row r="43" spans="1:7">
      <c r="A43" s="69"/>
      <c r="B43" s="69"/>
      <c r="C43" s="27" t="str">
        <f>'01.09'!C43</f>
        <v>*Пр. Речевое общение в профессиональной деятельности*</v>
      </c>
      <c r="D43" s="50">
        <f>'07.09'!D43+COUNTIF(D$11:D$40,$C43)</f>
        <v>0</v>
      </c>
      <c r="E43" s="50">
        <f>'07.09'!E43+COUNTIF(E$11:E$40,$C43)</f>
        <v>0</v>
      </c>
      <c r="F43" s="50">
        <f>'07.09'!F43+COUNTIF(F$11:F$40,$C43)</f>
        <v>0</v>
      </c>
      <c r="G43" s="50">
        <f>'07.09'!G43+COUNTIF(G$11:G$40,$C43)</f>
        <v>0</v>
      </c>
    </row>
    <row r="44" spans="1:7">
      <c r="A44" s="69"/>
      <c r="B44" s="69"/>
      <c r="C44" s="27" t="str">
        <f>'01.09'!C44</f>
        <v>*Л. Физическая культура и спорт*</v>
      </c>
      <c r="D44" s="50">
        <f>'07.09'!D44+COUNTIF(D$11:D$40,$C44)</f>
        <v>3</v>
      </c>
      <c r="E44" s="50">
        <f>'07.09'!E44+COUNTIF(E$11:E$40,$C44)</f>
        <v>3</v>
      </c>
      <c r="F44" s="50">
        <f>'07.09'!F44+COUNTIF(F$11:F$40,$C44)</f>
        <v>3</v>
      </c>
      <c r="G44" s="50">
        <f>'07.09'!G44+COUNTIF(G$11:G$40,$C44)</f>
        <v>3</v>
      </c>
    </row>
    <row r="45" spans="1:7">
      <c r="A45" s="69"/>
      <c r="B45" s="69"/>
      <c r="C45" s="27" t="str">
        <f>'01.09'!C45</f>
        <v>*Пр. Физическая культура и спорт*</v>
      </c>
      <c r="D45" s="50">
        <f>'07.09'!D45+COUNTIF(D$11:D$40,$C45)</f>
        <v>0</v>
      </c>
      <c r="E45" s="50">
        <f>'07.09'!E45+COUNTIF(E$11:E$40,$C45)</f>
        <v>0</v>
      </c>
      <c r="F45" s="50">
        <f>'07.09'!F45+COUNTIF(F$11:F$40,$C45)</f>
        <v>0</v>
      </c>
      <c r="G45" s="50">
        <f>'07.09'!G45+COUNTIF(G$11:G$40,$C45)</f>
        <v>0</v>
      </c>
    </row>
    <row r="46" spans="1:7">
      <c r="A46" s="69"/>
      <c r="B46" s="69"/>
      <c r="C46" s="27" t="str">
        <f>'01.09'!C46</f>
        <v>*Л. Анатомия*</v>
      </c>
      <c r="D46" s="50">
        <f>'07.09'!D46+COUNTIF(D$11:D$40,$C46)</f>
        <v>2</v>
      </c>
      <c r="E46" s="50">
        <f>'07.09'!E46+COUNTIF(E$11:E$40,$C46)</f>
        <v>2</v>
      </c>
      <c r="F46" s="50">
        <f>'07.09'!F46+COUNTIF(F$11:F$40,$C46)</f>
        <v>2</v>
      </c>
      <c r="G46" s="50">
        <f>'07.09'!G46+COUNTIF(G$11:G$40,$C46)</f>
        <v>2</v>
      </c>
    </row>
    <row r="47" spans="1:7">
      <c r="A47" s="69"/>
      <c r="B47" s="69"/>
      <c r="C47" s="27" t="str">
        <f>'01.09'!C47</f>
        <v>*Пр. Анатомия*</v>
      </c>
      <c r="D47" s="50">
        <f>'07.09'!D47+COUNTIF(D$11:D$40,$C47)</f>
        <v>0</v>
      </c>
      <c r="E47" s="50">
        <f>'07.09'!E47+COUNTIF(E$11:E$40,$C47)</f>
        <v>0</v>
      </c>
      <c r="F47" s="50">
        <f>'07.09'!F47+COUNTIF(F$11:F$40,$C47)</f>
        <v>0</v>
      </c>
      <c r="G47" s="50">
        <f>'07.09'!G47+COUNTIF(G$11:G$40,$C47)</f>
        <v>0</v>
      </c>
    </row>
    <row r="48" spans="1:7">
      <c r="A48" s="69"/>
      <c r="B48" s="69"/>
      <c r="C48" s="27" t="str">
        <f>'01.09'!C48</f>
        <v>*Л. Теория и методика*</v>
      </c>
      <c r="D48" s="50">
        <f>'07.09'!D48+COUNTIF(D$11:D$40,$C48)</f>
        <v>1</v>
      </c>
      <c r="E48" s="50">
        <f>'07.09'!E48+COUNTIF(E$11:E$40,$C48)</f>
        <v>1</v>
      </c>
      <c r="F48" s="50">
        <f>'07.09'!F48+COUNTIF(F$11:F$40,$C48)</f>
        <v>1</v>
      </c>
      <c r="G48" s="50">
        <f>'07.09'!G48+COUNTIF(G$11:G$40,$C48)</f>
        <v>1</v>
      </c>
    </row>
    <row r="49" spans="1:7">
      <c r="A49" s="69"/>
      <c r="B49" s="69"/>
      <c r="C49" s="27" t="str">
        <f>'01.09'!C49</f>
        <v>*Пр. Теория и методика*</v>
      </c>
      <c r="D49" s="50">
        <f>'07.09'!D49+COUNTIF(D$11:D$40,$C49)</f>
        <v>8</v>
      </c>
      <c r="E49" s="50">
        <f>'07.09'!E49+COUNTIF(E$11:E$40,$C49)</f>
        <v>8</v>
      </c>
      <c r="F49" s="50">
        <f>'07.09'!F49+COUNTIF(F$11:F$40,$C49)</f>
        <v>8</v>
      </c>
      <c r="G49" s="50">
        <f>'07.09'!G49+COUNTIF(G$11:G$40,$C49)</f>
        <v>8</v>
      </c>
    </row>
    <row r="50" spans="1:7">
      <c r="A50" s="69"/>
      <c r="B50" s="69"/>
      <c r="C50" s="27" t="str">
        <f>'01.09'!C50</f>
        <v>*Л. Информационные технологии*</v>
      </c>
      <c r="D50" s="50">
        <f>'07.09'!D50+COUNTIF(D$11:D$40,$C50)</f>
        <v>2</v>
      </c>
      <c r="E50" s="50">
        <f>'07.09'!E50+COUNTIF(E$11:E$40,$C50)</f>
        <v>2</v>
      </c>
      <c r="F50" s="50">
        <f>'07.09'!F50+COUNTIF(F$11:F$40,$C50)</f>
        <v>2</v>
      </c>
      <c r="G50" s="50">
        <f>'07.09'!G50+COUNTIF(G$11:G$40,$C50)</f>
        <v>2</v>
      </c>
    </row>
    <row r="51" spans="1:7">
      <c r="A51" s="69"/>
      <c r="B51" s="69"/>
      <c r="C51" s="27" t="str">
        <f>'01.09'!C51</f>
        <v>*Пр. Информационные технологии*</v>
      </c>
      <c r="D51" s="50">
        <f>'07.09'!D51+COUNTIF(D$11:D$40,$C51)</f>
        <v>2</v>
      </c>
      <c r="E51" s="50">
        <f>'07.09'!E51+COUNTIF(E$11:E$40,$C51)</f>
        <v>2</v>
      </c>
      <c r="F51" s="50">
        <f>'07.09'!F51+COUNTIF(F$11:F$40,$C51)</f>
        <v>2</v>
      </c>
      <c r="G51" s="50">
        <f>'07.09'!G51+COUNTIF(G$11:G$40,$C51)</f>
        <v>2</v>
      </c>
    </row>
    <row r="52" spans="1:7">
      <c r="A52" s="69"/>
      <c r="B52" s="69"/>
      <c r="C52" s="27" t="str">
        <f>'01.09'!C52</f>
        <v>*Л. Гимнастика*</v>
      </c>
      <c r="D52" s="50">
        <f>'07.09'!D52+COUNTIF(D$11:D$40,$C52)</f>
        <v>3</v>
      </c>
      <c r="E52" s="50">
        <f>'07.09'!E52+COUNTIF(E$11:E$40,$C52)</f>
        <v>3</v>
      </c>
      <c r="F52" s="50">
        <f>'07.09'!F52+COUNTIF(F$11:F$40,$C52)</f>
        <v>3</v>
      </c>
      <c r="G52" s="50">
        <f>'07.09'!G52+COUNTIF(G$11:G$40,$C52)</f>
        <v>3</v>
      </c>
    </row>
    <row r="53" spans="1:7">
      <c r="A53" s="69"/>
      <c r="B53" s="69"/>
      <c r="C53" s="27" t="str">
        <f>'01.09'!C53</f>
        <v>*Пр. Гимнастика*</v>
      </c>
      <c r="D53" s="50">
        <f>'07.09'!D53+COUNTIF(D$11:D$40,$C53)</f>
        <v>2</v>
      </c>
      <c r="E53" s="50">
        <f>'07.09'!E53+COUNTIF(E$11:E$40,$C53)</f>
        <v>4</v>
      </c>
      <c r="F53" s="50">
        <f>'07.09'!F53+COUNTIF(F$11:F$40,$C53)</f>
        <v>2</v>
      </c>
      <c r="G53" s="50">
        <f>'07.09'!G53+COUNTIF(G$11:G$40,$C53)</f>
        <v>2</v>
      </c>
    </row>
    <row r="54" spans="1:7">
      <c r="A54" s="69"/>
      <c r="B54" s="69"/>
      <c r="C54" s="27" t="str">
        <f>'01.09'!C54</f>
        <v>*Л. Элективные дисциплины по ФКиС: Подвижные игры*</v>
      </c>
      <c r="D54" s="50">
        <f>'07.09'!D54+COUNTIF(D$11:D$40,$C54)</f>
        <v>1</v>
      </c>
      <c r="E54" s="50">
        <f>'07.09'!E54+COUNTIF(E$11:E$40,$C54)</f>
        <v>1</v>
      </c>
      <c r="F54" s="50">
        <f>'07.09'!F54+COUNTIF(F$11:F$40,$C54)</f>
        <v>1</v>
      </c>
      <c r="G54" s="50">
        <f>'07.09'!G54+COUNTIF(G$11:G$40,$C54)</f>
        <v>1</v>
      </c>
    </row>
    <row r="55" spans="1:7">
      <c r="A55" s="69"/>
      <c r="B55" s="69"/>
      <c r="C55" s="27" t="str">
        <f>'01.09'!C55</f>
        <v>*Пр. Элективные дисциплины по ФКиС: Подвижные игры*</v>
      </c>
      <c r="D55" s="50">
        <f>'07.09'!D55+COUNTIF(D$11:D$40,$C55)</f>
        <v>2</v>
      </c>
      <c r="E55" s="50">
        <f>'07.09'!E55+COUNTIF(E$11:E$40,$C55)</f>
        <v>2</v>
      </c>
      <c r="F55" s="50">
        <f>'07.09'!F55+COUNTIF(F$11:F$40,$C55)</f>
        <v>2</v>
      </c>
      <c r="G55" s="50">
        <f>'07.09'!G55+COUNTIF(G$11:G$40,$C55)</f>
        <v>2</v>
      </c>
    </row>
    <row r="56" spans="1:7">
      <c r="C56" s="27" t="str">
        <f>'01.09'!C56</f>
        <v>*Л. Волейбол*</v>
      </c>
      <c r="D56" s="50">
        <f>'07.09'!D56+COUNTIF(D$11:D$40,$C56)</f>
        <v>1</v>
      </c>
      <c r="E56" s="50">
        <f>'07.09'!E56+COUNTIF(E$11:E$40,$C56)</f>
        <v>1</v>
      </c>
      <c r="F56" s="50">
        <f>'07.09'!F56+COUNTIF(F$11:F$40,$C56)</f>
        <v>1</v>
      </c>
      <c r="G56" s="50">
        <f>'07.09'!G56+COUNTIF(G$11:G$40,$C56)</f>
        <v>1</v>
      </c>
    </row>
    <row r="57" spans="1:7">
      <c r="C57" s="27" t="str">
        <f>'01.09'!C57</f>
        <v>*Пр. Волейбол*</v>
      </c>
      <c r="D57" s="50">
        <f>'07.09'!D57+COUNTIF(D$11:D$40,$C57)</f>
        <v>4</v>
      </c>
      <c r="E57" s="50">
        <f>'07.09'!E57+COUNTIF(E$11:E$40,$C57)</f>
        <v>4</v>
      </c>
      <c r="F57" s="50">
        <f>'07.09'!F57+COUNTIF(F$11:F$40,$C57)</f>
        <v>4</v>
      </c>
      <c r="G57" s="50">
        <f>'07.09'!G57+COUNTIF(G$11:G$40,$C57)</f>
        <v>4</v>
      </c>
    </row>
    <row r="58" spans="1:7">
      <c r="C58" s="27" t="str">
        <f>'01.09'!C58</f>
        <v>*Л. Лыжные гонки*</v>
      </c>
      <c r="D58" s="50">
        <f>'07.09'!D58+COUNTIF(D$11:D$40,$C58)</f>
        <v>0</v>
      </c>
      <c r="E58" s="50">
        <f>'07.09'!E58+COUNTIF(E$11:E$40,$C58)</f>
        <v>0</v>
      </c>
      <c r="F58" s="50">
        <f>'07.09'!F58+COUNTIF(F$11:F$40,$C58)</f>
        <v>0</v>
      </c>
      <c r="G58" s="50">
        <f>'07.09'!G58+COUNTIF(G$11:G$40,$C58)</f>
        <v>0</v>
      </c>
    </row>
    <row r="59" spans="1:7">
      <c r="C59" s="27" t="str">
        <f>'01.09'!C59</f>
        <v>*Пр. Лыжные гонки*</v>
      </c>
      <c r="D59" s="50">
        <f>'07.09'!D59+COUNTIF(D$11:D$40,$C59)</f>
        <v>0</v>
      </c>
      <c r="E59" s="50">
        <f>'07.09'!E59+COUNTIF(E$11:E$40,$C59)</f>
        <v>0</v>
      </c>
      <c r="F59" s="50">
        <f>'07.09'!F59+COUNTIF(F$11:F$40,$C59)</f>
        <v>0</v>
      </c>
      <c r="G59" s="50">
        <f>'07.09'!G59+COUNTIF(G$11:G$40,$C59)</f>
        <v>0</v>
      </c>
    </row>
    <row r="60" spans="1:7">
      <c r="C60" s="27" t="str">
        <f>'01.09'!C60</f>
        <v>*Л. Использование электронной*</v>
      </c>
      <c r="D60" s="50">
        <f>'07.09'!D60+COUNTIF(D$11:D$40,$C60)</f>
        <v>1</v>
      </c>
      <c r="E60" s="50">
        <f>'07.09'!E60+COUNTIF(E$11:E$40,$C60)</f>
        <v>0</v>
      </c>
      <c r="F60" s="50">
        <f>'07.09'!F60+COUNTIF(F$11:F$40,$C60)</f>
        <v>0</v>
      </c>
      <c r="G60" s="50">
        <f>'07.09'!G60+COUNTIF(G$11:G$40,$C60)</f>
        <v>0</v>
      </c>
    </row>
    <row r="61" spans="1:7">
      <c r="C61" s="27" t="str">
        <f>'01.09'!C61</f>
        <v>*Пр. Использование электронной*</v>
      </c>
      <c r="D61" s="50">
        <f>'07.09'!D61+COUNTIF(D$11:D$40,$C61)</f>
        <v>0</v>
      </c>
      <c r="E61" s="50">
        <f>'07.09'!E61+COUNTIF(E$11:E$40,$C61)</f>
        <v>0</v>
      </c>
      <c r="F61" s="50">
        <f>'07.09'!F61+COUNTIF(F$11:F$40,$C61)</f>
        <v>0</v>
      </c>
      <c r="G61" s="50">
        <f>'07.09'!G61+COUNTIF(G$11:G$40,$C61)</f>
        <v>0</v>
      </c>
    </row>
    <row r="62" spans="1:7">
      <c r="C62" s="27" t="str">
        <f>'01.09'!C62</f>
        <v>*Пр. Иностранный*</v>
      </c>
      <c r="D62" s="50">
        <f>'07.09'!D62+COUNTIF(D$11:D$40,$C62)</f>
        <v>2</v>
      </c>
      <c r="E62" s="50">
        <f>'07.09'!E62+COUNTIF(E$11:E$40,$C62)</f>
        <v>2</v>
      </c>
      <c r="F62" s="50">
        <f>'07.09'!F62+COUNTIF(F$11:F$40,$C62)</f>
        <v>2</v>
      </c>
      <c r="G62" s="50">
        <f>'07.09'!G62+COUNTIF(G$11:G$40,$C62)</f>
        <v>2</v>
      </c>
    </row>
    <row r="63" spans="1:7">
      <c r="C63" s="27">
        <f>'01.09'!C63</f>
        <v>0</v>
      </c>
      <c r="D63" s="50">
        <f>'07.09'!D63+COUNTIF(D$11:D$40,$C63)</f>
        <v>0</v>
      </c>
      <c r="E63" s="50">
        <f>'07.09'!E63+COUNTIF(E$11:E$40,$C63)</f>
        <v>0</v>
      </c>
      <c r="F63" s="50">
        <f>'07.09'!F63+COUNTIF(F$11:F$40,$C63)</f>
        <v>0</v>
      </c>
      <c r="G63" s="50">
        <f>'07.09'!G63+COUNTIF(G$11:G$40,$C63)</f>
        <v>0</v>
      </c>
    </row>
    <row r="64" spans="1:7">
      <c r="C64" s="27">
        <f>'01.09'!C64</f>
        <v>0</v>
      </c>
      <c r="D64" s="50">
        <f>'07.09'!D64+COUNTIF(D$11:D$40,$C64)</f>
        <v>0</v>
      </c>
      <c r="E64" s="50">
        <f>'07.09'!E64+COUNTIF(E$11:E$40,$C64)</f>
        <v>0</v>
      </c>
      <c r="F64" s="50">
        <f>'07.09'!F64+COUNTIF(F$11:F$40,$C64)</f>
        <v>0</v>
      </c>
      <c r="G64" s="50">
        <f>'07.09'!G64+COUNTIF(G$11:G$40,$C64)</f>
        <v>0</v>
      </c>
    </row>
    <row r="65" spans="3:7">
      <c r="C65" s="27">
        <f>'01.09'!C65</f>
        <v>0</v>
      </c>
      <c r="D65" s="50">
        <f>'07.09'!D65+COUNTIF(D$11:D$40,$C65)</f>
        <v>0</v>
      </c>
      <c r="E65" s="50">
        <f>'07.09'!E65+COUNTIF(E$11:E$40,$C65)</f>
        <v>0</v>
      </c>
      <c r="F65" s="50">
        <f>'07.09'!F65+COUNTIF(F$11:F$40,$C65)</f>
        <v>0</v>
      </c>
      <c r="G65" s="50">
        <f>'07.09'!G65+COUNTIF(G$11:G$40,$C65)</f>
        <v>0</v>
      </c>
    </row>
    <row r="66" spans="3:7">
      <c r="C66" s="27">
        <f>'01.09'!C66</f>
        <v>0</v>
      </c>
      <c r="D66" s="50">
        <f>'07.09'!D66+COUNTIF(D$11:D$40,$C66)</f>
        <v>0</v>
      </c>
      <c r="E66" s="50">
        <f>'07.09'!E66+COUNTIF(E$11:E$40,$C66)</f>
        <v>0</v>
      </c>
      <c r="F66" s="50">
        <f>'07.09'!F66+COUNTIF(F$11:F$40,$C66)</f>
        <v>0</v>
      </c>
      <c r="G66" s="50">
        <f>'07.09'!G66+COUNTIF(G$11:G$40,$C66)</f>
        <v>0</v>
      </c>
    </row>
    <row r="67" spans="3:7">
      <c r="C67" s="27">
        <f>'01.09'!C67</f>
        <v>0</v>
      </c>
      <c r="D67" s="50">
        <f>'07.09'!D67+COUNTIF(D$11:D$40,$C67)</f>
        <v>0</v>
      </c>
      <c r="E67" s="50">
        <f>'07.09'!E67+COUNTIF(E$11:E$40,$C67)</f>
        <v>0</v>
      </c>
      <c r="F67" s="50">
        <f>'07.09'!F67+COUNTIF(F$11:F$40,$C67)</f>
        <v>0</v>
      </c>
      <c r="G67" s="50">
        <f>'07.09'!G67+COUNTIF(G$11:G$40,$C67)</f>
        <v>0</v>
      </c>
    </row>
  </sheetData>
  <mergeCells count="23">
    <mergeCell ref="B1:G1"/>
    <mergeCell ref="B2:G2"/>
    <mergeCell ref="B6:G6"/>
    <mergeCell ref="B8:G8"/>
    <mergeCell ref="A3:G3"/>
    <mergeCell ref="B7:G7"/>
    <mergeCell ref="B4:G4"/>
    <mergeCell ref="B5:G5"/>
    <mergeCell ref="B9:B10"/>
    <mergeCell ref="A9:A10"/>
    <mergeCell ref="C9:C10"/>
    <mergeCell ref="A36:A40"/>
    <mergeCell ref="B36:B40"/>
    <mergeCell ref="A21:A25"/>
    <mergeCell ref="B21:B25"/>
    <mergeCell ref="A26:A30"/>
    <mergeCell ref="B26:B30"/>
    <mergeCell ref="A11:A15"/>
    <mergeCell ref="B11:B15"/>
    <mergeCell ref="A31:A35"/>
    <mergeCell ref="B31:B35"/>
    <mergeCell ref="A16:A20"/>
    <mergeCell ref="B16:B20"/>
  </mergeCells>
  <phoneticPr fontId="3" type="noConversion"/>
  <pageMargins left="0" right="0" top="0" bottom="0" header="0.31496062992125984" footer="0.31496062992125984"/>
  <pageSetup paperSize="9" scale="3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76"/>
  <sheetViews>
    <sheetView view="pageBreakPreview" topLeftCell="A22" zoomScale="40" zoomScaleNormal="40" zoomScaleSheetLayoutView="40" zoomScalePageLayoutView="40" workbookViewId="0">
      <selection activeCell="D27" sqref="D27:D28"/>
    </sheetView>
  </sheetViews>
  <sheetFormatPr defaultRowHeight="15"/>
  <cols>
    <col min="1" max="2" width="5.5703125" customWidth="1"/>
    <col min="3" max="3" width="24.7109375" customWidth="1"/>
    <col min="4" max="7" width="74.140625" customWidth="1"/>
  </cols>
  <sheetData>
    <row r="1" spans="1:7" s="3" customFormat="1" ht="30">
      <c r="A1" s="84"/>
      <c r="B1" s="726" t="s">
        <v>182</v>
      </c>
      <c r="C1" s="726"/>
      <c r="D1" s="726"/>
      <c r="E1" s="726"/>
      <c r="F1" s="726"/>
      <c r="G1" s="726"/>
    </row>
    <row r="2" spans="1:7" s="3" customFormat="1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2.9" customHeight="1">
      <c r="A7" s="87"/>
      <c r="B7" s="728" t="s">
        <v>296</v>
      </c>
      <c r="C7" s="728"/>
      <c r="D7" s="728"/>
      <c r="E7" s="728"/>
      <c r="F7" s="728"/>
      <c r="G7" s="728"/>
    </row>
    <row r="8" spans="1:7" ht="7.5" customHeight="1" thickBot="1">
      <c r="A8" s="23"/>
      <c r="B8" s="23"/>
      <c r="C8" s="23"/>
      <c r="D8" s="23"/>
      <c r="E8" s="23"/>
      <c r="F8" s="23"/>
      <c r="G8" s="23"/>
    </row>
    <row r="9" spans="1:7" ht="33.75" customHeight="1" thickBot="1">
      <c r="A9" s="753" t="s">
        <v>76</v>
      </c>
      <c r="B9" s="753" t="s">
        <v>9</v>
      </c>
      <c r="C9" s="755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7" customHeight="1" thickBot="1">
      <c r="A10" s="754"/>
      <c r="B10" s="754"/>
      <c r="C10" s="756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2.5" customHeight="1">
      <c r="A11" s="697" t="s">
        <v>0</v>
      </c>
      <c r="B11" s="758">
        <v>46286</v>
      </c>
      <c r="C11" s="55" t="s">
        <v>5</v>
      </c>
      <c r="D11" s="519" t="s">
        <v>282</v>
      </c>
      <c r="E11" s="360" t="s">
        <v>286</v>
      </c>
      <c r="F11" s="360"/>
      <c r="G11" s="520"/>
    </row>
    <row r="12" spans="1:7" ht="82.5" customHeight="1">
      <c r="A12" s="698"/>
      <c r="B12" s="748"/>
      <c r="C12" s="54" t="s">
        <v>6</v>
      </c>
      <c r="D12" s="395" t="s">
        <v>334</v>
      </c>
      <c r="E12" s="442" t="s">
        <v>334</v>
      </c>
      <c r="F12" s="442" t="s">
        <v>334</v>
      </c>
      <c r="G12" s="397" t="s">
        <v>334</v>
      </c>
    </row>
    <row r="13" spans="1:7" ht="111" customHeight="1">
      <c r="A13" s="698"/>
      <c r="B13" s="748"/>
      <c r="C13" s="54" t="s">
        <v>7</v>
      </c>
      <c r="D13" s="395" t="s">
        <v>335</v>
      </c>
      <c r="E13" s="396" t="s">
        <v>335</v>
      </c>
      <c r="F13" s="396" t="s">
        <v>335</v>
      </c>
      <c r="G13" s="397" t="s">
        <v>335</v>
      </c>
    </row>
    <row r="14" spans="1:7" ht="82.5" customHeight="1">
      <c r="A14" s="698"/>
      <c r="B14" s="748"/>
      <c r="C14" s="54" t="s">
        <v>8</v>
      </c>
      <c r="D14" s="395" t="s">
        <v>336</v>
      </c>
      <c r="E14" s="442" t="s">
        <v>336</v>
      </c>
      <c r="F14" s="442" t="s">
        <v>336</v>
      </c>
      <c r="G14" s="397" t="s">
        <v>336</v>
      </c>
    </row>
    <row r="15" spans="1:7" ht="63.75" customHeight="1" thickBot="1">
      <c r="A15" s="757"/>
      <c r="B15" s="748"/>
      <c r="C15" s="56" t="s">
        <v>10</v>
      </c>
      <c r="D15" s="428"/>
      <c r="E15" s="615"/>
      <c r="F15" s="615"/>
      <c r="G15" s="429"/>
    </row>
    <row r="16" spans="1:7" ht="111">
      <c r="A16" s="746" t="s">
        <v>1</v>
      </c>
      <c r="B16" s="747">
        <f>B11+1</f>
        <v>46287</v>
      </c>
      <c r="C16" s="55" t="s">
        <v>5</v>
      </c>
      <c r="D16" s="605" t="s">
        <v>299</v>
      </c>
      <c r="E16" s="404" t="s">
        <v>276</v>
      </c>
      <c r="F16" s="404" t="s">
        <v>277</v>
      </c>
      <c r="G16" s="476" t="s">
        <v>300</v>
      </c>
    </row>
    <row r="17" spans="1:7" ht="111">
      <c r="A17" s="698"/>
      <c r="B17" s="748"/>
      <c r="C17" s="54" t="s">
        <v>6</v>
      </c>
      <c r="D17" s="364" t="s">
        <v>299</v>
      </c>
      <c r="E17" s="396" t="s">
        <v>276</v>
      </c>
      <c r="F17" s="396" t="s">
        <v>277</v>
      </c>
      <c r="G17" s="415" t="s">
        <v>300</v>
      </c>
    </row>
    <row r="18" spans="1:7" ht="82.5" customHeight="1">
      <c r="A18" s="698"/>
      <c r="B18" s="748"/>
      <c r="C18" s="54" t="s">
        <v>7</v>
      </c>
      <c r="D18" s="395" t="s">
        <v>278</v>
      </c>
      <c r="E18" s="396" t="s">
        <v>286</v>
      </c>
      <c r="F18" s="396"/>
      <c r="G18" s="397" t="s">
        <v>285</v>
      </c>
    </row>
    <row r="19" spans="1:7" ht="82.5" customHeight="1">
      <c r="A19" s="698"/>
      <c r="B19" s="748"/>
      <c r="C19" s="54" t="s">
        <v>8</v>
      </c>
      <c r="D19" s="395" t="s">
        <v>286</v>
      </c>
      <c r="E19" s="396" t="s">
        <v>278</v>
      </c>
      <c r="F19" s="396"/>
      <c r="G19" s="397"/>
    </row>
    <row r="20" spans="1:7" ht="57.75" customHeight="1" thickBot="1">
      <c r="A20" s="757"/>
      <c r="B20" s="748"/>
      <c r="C20" s="56" t="s">
        <v>10</v>
      </c>
      <c r="D20" s="399"/>
      <c r="E20" s="400"/>
      <c r="F20" s="400"/>
      <c r="G20" s="401"/>
    </row>
    <row r="21" spans="1:7" ht="99.75" customHeight="1">
      <c r="A21" s="750" t="s">
        <v>2</v>
      </c>
      <c r="B21" s="759">
        <f>B16+1</f>
        <v>46288</v>
      </c>
      <c r="C21" s="282" t="s">
        <v>5</v>
      </c>
      <c r="D21" s="325"/>
      <c r="E21" s="326"/>
      <c r="F21" s="326" t="s">
        <v>285</v>
      </c>
      <c r="G21" s="398" t="s">
        <v>282</v>
      </c>
    </row>
    <row r="22" spans="1:7" ht="124.5" customHeight="1">
      <c r="A22" s="751"/>
      <c r="B22" s="760"/>
      <c r="C22" s="283" t="s">
        <v>6</v>
      </c>
      <c r="D22" s="257"/>
      <c r="E22" s="258" t="s">
        <v>284</v>
      </c>
      <c r="F22" s="442" t="s">
        <v>282</v>
      </c>
      <c r="G22" s="248" t="s">
        <v>290</v>
      </c>
    </row>
    <row r="23" spans="1:7" ht="99.75" customHeight="1">
      <c r="A23" s="751"/>
      <c r="B23" s="760"/>
      <c r="C23" s="283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</row>
    <row r="24" spans="1:7" ht="99.75" customHeight="1">
      <c r="A24" s="751"/>
      <c r="B24" s="760"/>
      <c r="C24" s="283" t="s">
        <v>8</v>
      </c>
      <c r="D24" s="257" t="s">
        <v>286</v>
      </c>
      <c r="E24" s="258" t="s">
        <v>289</v>
      </c>
      <c r="F24" s="258"/>
      <c r="G24" s="614" t="s">
        <v>307</v>
      </c>
    </row>
    <row r="25" spans="1:7" ht="82.5" customHeight="1" thickBot="1">
      <c r="A25" s="752"/>
      <c r="B25" s="760"/>
      <c r="C25" s="284" t="s">
        <v>10</v>
      </c>
      <c r="D25" s="265"/>
      <c r="E25" s="315"/>
      <c r="F25" s="315"/>
      <c r="G25" s="316"/>
    </row>
    <row r="26" spans="1:7" ht="54" customHeight="1">
      <c r="A26" s="750" t="s">
        <v>3</v>
      </c>
      <c r="B26" s="759">
        <f>B21+1</f>
        <v>46289</v>
      </c>
      <c r="C26" s="282" t="s">
        <v>5</v>
      </c>
      <c r="D26" s="289"/>
      <c r="E26" s="329"/>
      <c r="F26" s="329"/>
      <c r="G26" s="334"/>
    </row>
    <row r="27" spans="1:7" ht="54" customHeight="1">
      <c r="A27" s="751"/>
      <c r="B27" s="760"/>
      <c r="C27" s="283" t="s">
        <v>6</v>
      </c>
      <c r="D27" s="335"/>
      <c r="E27" s="358"/>
      <c r="F27" s="358"/>
      <c r="G27" s="359"/>
    </row>
    <row r="28" spans="1:7" ht="82.5" customHeight="1">
      <c r="A28" s="751"/>
      <c r="B28" s="760"/>
      <c r="C28" s="283" t="s">
        <v>7</v>
      </c>
      <c r="D28" s="395"/>
      <c r="E28" s="442"/>
      <c r="F28" s="442" t="s">
        <v>290</v>
      </c>
      <c r="G28" s="397"/>
    </row>
    <row r="29" spans="1:7" ht="82.5" customHeight="1">
      <c r="A29" s="751"/>
      <c r="B29" s="760"/>
      <c r="C29" s="283" t="s">
        <v>8</v>
      </c>
      <c r="D29" s="395"/>
      <c r="E29" s="442"/>
      <c r="F29" s="442" t="s">
        <v>287</v>
      </c>
      <c r="G29" s="248"/>
    </row>
    <row r="30" spans="1:7" ht="50.25" customHeight="1" thickBot="1">
      <c r="A30" s="752"/>
      <c r="B30" s="760"/>
      <c r="C30" s="284" t="s">
        <v>10</v>
      </c>
      <c r="D30" s="265"/>
      <c r="E30" s="474"/>
      <c r="F30" s="474"/>
      <c r="G30" s="475"/>
    </row>
    <row r="31" spans="1:7" ht="82.5" customHeight="1">
      <c r="A31" s="750" t="s">
        <v>4</v>
      </c>
      <c r="B31" s="759">
        <f>B26+1</f>
        <v>46290</v>
      </c>
      <c r="C31" s="282" t="s">
        <v>5</v>
      </c>
      <c r="D31" s="254"/>
      <c r="E31" s="255"/>
      <c r="F31" s="255"/>
      <c r="G31" s="334"/>
    </row>
    <row r="32" spans="1:7" ht="82.5" customHeight="1">
      <c r="A32" s="751"/>
      <c r="B32" s="760"/>
      <c r="C32" s="283" t="s">
        <v>6</v>
      </c>
      <c r="D32" s="257" t="s">
        <v>283</v>
      </c>
      <c r="E32" s="358" t="s">
        <v>284</v>
      </c>
      <c r="F32" s="442" t="s">
        <v>287</v>
      </c>
      <c r="G32" s="397" t="s">
        <v>288</v>
      </c>
    </row>
    <row r="33" spans="1:7" ht="111">
      <c r="A33" s="751"/>
      <c r="B33" s="760"/>
      <c r="C33" s="283" t="s">
        <v>7</v>
      </c>
      <c r="D33" s="364" t="s">
        <v>299</v>
      </c>
      <c r="E33" s="396" t="s">
        <v>276</v>
      </c>
      <c r="F33" s="396" t="s">
        <v>277</v>
      </c>
      <c r="G33" s="415" t="s">
        <v>300</v>
      </c>
    </row>
    <row r="34" spans="1:7" ht="111">
      <c r="A34" s="751"/>
      <c r="B34" s="760"/>
      <c r="C34" s="283" t="s">
        <v>8</v>
      </c>
      <c r="D34" s="364" t="s">
        <v>299</v>
      </c>
      <c r="E34" s="396" t="s">
        <v>276</v>
      </c>
      <c r="F34" s="396" t="s">
        <v>277</v>
      </c>
      <c r="G34" s="415" t="s">
        <v>300</v>
      </c>
    </row>
    <row r="35" spans="1:7" ht="57.75" customHeight="1" thickBot="1">
      <c r="A35" s="752"/>
      <c r="B35" s="760"/>
      <c r="C35" s="284" t="s">
        <v>10</v>
      </c>
      <c r="D35" s="362"/>
      <c r="E35" s="363"/>
      <c r="F35" s="315"/>
      <c r="G35" s="445"/>
    </row>
    <row r="36" spans="1:7" ht="48.75" customHeight="1">
      <c r="A36" s="746" t="s">
        <v>18</v>
      </c>
      <c r="B36" s="747">
        <f>B31+1</f>
        <v>46291</v>
      </c>
      <c r="C36" s="40" t="s">
        <v>5</v>
      </c>
      <c r="D36" s="208"/>
      <c r="E36" s="96"/>
      <c r="F36" s="96"/>
      <c r="G36" s="379"/>
    </row>
    <row r="37" spans="1:7" ht="48.75" customHeight="1">
      <c r="A37" s="698"/>
      <c r="B37" s="748"/>
      <c r="C37" s="41" t="s">
        <v>6</v>
      </c>
      <c r="D37" s="209"/>
      <c r="E37" s="380"/>
      <c r="F37" s="380"/>
      <c r="G37" s="381"/>
    </row>
    <row r="38" spans="1:7" ht="48.75" customHeight="1">
      <c r="A38" s="698"/>
      <c r="B38" s="748"/>
      <c r="C38" s="41" t="s">
        <v>7</v>
      </c>
      <c r="D38" s="239"/>
      <c r="E38" s="382"/>
      <c r="F38" s="382"/>
      <c r="G38" s="383"/>
    </row>
    <row r="39" spans="1:7" ht="48.75" customHeight="1">
      <c r="A39" s="698"/>
      <c r="B39" s="748"/>
      <c r="C39" s="41" t="s">
        <v>8</v>
      </c>
      <c r="D39" s="384"/>
      <c r="E39" s="385"/>
      <c r="F39" s="385"/>
      <c r="G39" s="386"/>
    </row>
    <row r="40" spans="1:7" ht="48.75" customHeight="1" thickBot="1">
      <c r="A40" s="699"/>
      <c r="B40" s="749"/>
      <c r="C40" s="42" t="s">
        <v>10</v>
      </c>
      <c r="D40" s="375"/>
      <c r="E40" s="376"/>
      <c r="F40" s="376"/>
      <c r="G40" s="377"/>
    </row>
    <row r="41" spans="1:7" ht="30" customHeight="1">
      <c r="A41" s="1"/>
      <c r="B41" s="1"/>
      <c r="C41" s="20"/>
      <c r="D41" s="213" t="s">
        <v>120</v>
      </c>
      <c r="E41" s="20"/>
      <c r="F41" s="20"/>
      <c r="G41" s="20"/>
    </row>
    <row r="42" spans="1:7" ht="20.25" customHeight="1">
      <c r="A42" s="1"/>
      <c r="B42" s="1"/>
      <c r="C42" s="79" t="str">
        <f>'01.09'!C42</f>
        <v>*Л. Речевое общение в профессиональной деятельности*</v>
      </c>
      <c r="D42" s="196">
        <f>'14.09'!D42+COUNTIF(D$11:D$40,$C42)</f>
        <v>4</v>
      </c>
      <c r="E42" s="196">
        <f>'14.09'!E42+COUNTIF(E$11:E$40,$C42)</f>
        <v>4</v>
      </c>
      <c r="F42" s="196">
        <f>'14.09'!F42+COUNTIF(F$11:F$40,$C42)</f>
        <v>4</v>
      </c>
      <c r="G42" s="196">
        <f>'14.09'!G42+COUNTIF(G$11:G$40,$C42)</f>
        <v>4</v>
      </c>
    </row>
    <row r="43" spans="1:7" ht="20.25" customHeight="1">
      <c r="A43" s="1"/>
      <c r="B43" s="1"/>
      <c r="C43" s="79" t="str">
        <f>'01.09'!C43</f>
        <v>*Пр. Речевое общение в профессиональной деятельности*</v>
      </c>
      <c r="D43" s="196">
        <f>'14.09'!D43+COUNTIF(D$11:D$40,$C43)</f>
        <v>0</v>
      </c>
      <c r="E43" s="196">
        <f>'14.09'!E43+COUNTIF(E$11:E$40,$C43)</f>
        <v>0</v>
      </c>
      <c r="F43" s="196">
        <f>'14.09'!F43+COUNTIF(F$11:F$40,$C43)</f>
        <v>0</v>
      </c>
      <c r="G43" s="196">
        <f>'14.09'!G43+COUNTIF(G$11:G$40,$C43)</f>
        <v>0</v>
      </c>
    </row>
    <row r="44" spans="1:7" ht="23.25">
      <c r="A44" s="1"/>
      <c r="B44" s="1"/>
      <c r="C44" s="79" t="str">
        <f>'01.09'!C44</f>
        <v>*Л. Физическая культура и спорт*</v>
      </c>
      <c r="D44" s="196">
        <f>'14.09'!D44+COUNTIF(D$11:D$40,$C44)</f>
        <v>4</v>
      </c>
      <c r="E44" s="196">
        <f>'14.09'!E44+COUNTIF(E$11:E$40,$C44)</f>
        <v>4</v>
      </c>
      <c r="F44" s="196">
        <f>'14.09'!F44+COUNTIF(F$11:F$40,$C44)</f>
        <v>4</v>
      </c>
      <c r="G44" s="196">
        <f>'14.09'!G44+COUNTIF(G$11:G$40,$C44)</f>
        <v>4</v>
      </c>
    </row>
    <row r="45" spans="1:7" ht="23.25">
      <c r="A45" s="1"/>
      <c r="B45" s="1"/>
      <c r="C45" s="79" t="str">
        <f>'01.09'!C45</f>
        <v>*Пр. Физическая культура и спорт*</v>
      </c>
      <c r="D45" s="196">
        <f>'14.09'!D45+COUNTIF(D$11:D$40,$C45)</f>
        <v>0</v>
      </c>
      <c r="E45" s="196">
        <f>'14.09'!E45+COUNTIF(E$11:E$40,$C45)</f>
        <v>0</v>
      </c>
      <c r="F45" s="196">
        <f>'14.09'!F45+COUNTIF(F$11:F$40,$C45)</f>
        <v>0</v>
      </c>
      <c r="G45" s="196">
        <f>'14.09'!G45+COUNTIF(G$11:G$40,$C45)</f>
        <v>0</v>
      </c>
    </row>
    <row r="46" spans="1:7" ht="23.25">
      <c r="A46" s="1"/>
      <c r="B46" s="1"/>
      <c r="C46" s="79" t="str">
        <f>'01.09'!C46</f>
        <v>*Л. Анатомия*</v>
      </c>
      <c r="D46" s="196">
        <f>'14.09'!D46+COUNTIF(D$11:D$40,$C46)</f>
        <v>3</v>
      </c>
      <c r="E46" s="196">
        <f>'14.09'!E46+COUNTIF(E$11:E$40,$C46)</f>
        <v>3</v>
      </c>
      <c r="F46" s="196">
        <f>'14.09'!F46+COUNTIF(F$11:F$40,$C46)</f>
        <v>3</v>
      </c>
      <c r="G46" s="196">
        <f>'14.09'!G46+COUNTIF(G$11:G$40,$C46)</f>
        <v>3</v>
      </c>
    </row>
    <row r="47" spans="1:7" ht="23.25">
      <c r="A47" s="1"/>
      <c r="B47" s="1"/>
      <c r="C47" s="79" t="str">
        <f>'01.09'!C47</f>
        <v>*Пр. Анатомия*</v>
      </c>
      <c r="D47" s="196">
        <f>'14.09'!D47+COUNTIF(D$11:D$40,$C47)</f>
        <v>0</v>
      </c>
      <c r="E47" s="196">
        <f>'14.09'!E47+COUNTIF(E$11:E$40,$C47)</f>
        <v>0</v>
      </c>
      <c r="F47" s="196">
        <f>'14.09'!F47+COUNTIF(F$11:F$40,$C47)</f>
        <v>0</v>
      </c>
      <c r="G47" s="196">
        <f>'14.09'!G47+COUNTIF(G$11:G$40,$C47)</f>
        <v>0</v>
      </c>
    </row>
    <row r="48" spans="1:7" ht="23.25">
      <c r="A48" s="1"/>
      <c r="B48" s="1"/>
      <c r="C48" s="79" t="str">
        <f>'01.09'!C48</f>
        <v>*Л. Теория и методика*</v>
      </c>
      <c r="D48" s="196">
        <f>'14.09'!D48+COUNTIF(D$11:D$40,$C48)</f>
        <v>1</v>
      </c>
      <c r="E48" s="196">
        <f>'14.09'!E48+COUNTIF(E$11:E$40,$C48)</f>
        <v>1</v>
      </c>
      <c r="F48" s="196">
        <f>'14.09'!F48+COUNTIF(F$11:F$40,$C48)</f>
        <v>1</v>
      </c>
      <c r="G48" s="196">
        <f>'14.09'!G48+COUNTIF(G$11:G$40,$C48)</f>
        <v>1</v>
      </c>
    </row>
    <row r="49" spans="1:7" ht="23.25">
      <c r="A49" s="1"/>
      <c r="B49" s="1"/>
      <c r="C49" s="79" t="str">
        <f>'01.09'!C49</f>
        <v>*Пр. Теория и методика*</v>
      </c>
      <c r="D49" s="196">
        <f>'14.09'!D49+COUNTIF(D$11:D$40,$C49)</f>
        <v>12</v>
      </c>
      <c r="E49" s="196">
        <f>'14.09'!E49+COUNTIF(E$11:E$40,$C49)</f>
        <v>12</v>
      </c>
      <c r="F49" s="196">
        <f>'14.09'!F49+COUNTIF(F$11:F$40,$C49)</f>
        <v>12</v>
      </c>
      <c r="G49" s="196">
        <f>'14.09'!G49+COUNTIF(G$11:G$40,$C49)</f>
        <v>12</v>
      </c>
    </row>
    <row r="50" spans="1:7" ht="23.25">
      <c r="A50" s="1"/>
      <c r="B50" s="1"/>
      <c r="C50" s="79" t="str">
        <f>'01.09'!C50</f>
        <v>*Л. Информационные технологии*</v>
      </c>
      <c r="D50" s="196">
        <f>'14.09'!D50+COUNTIF(D$11:D$40,$C50)</f>
        <v>2</v>
      </c>
      <c r="E50" s="196">
        <f>'14.09'!E50+COUNTIF(E$11:E$40,$C50)</f>
        <v>2</v>
      </c>
      <c r="F50" s="196">
        <f>'14.09'!F50+COUNTIF(F$11:F$40,$C50)</f>
        <v>2</v>
      </c>
      <c r="G50" s="196">
        <f>'14.09'!G50+COUNTIF(G$11:G$40,$C50)</f>
        <v>2</v>
      </c>
    </row>
    <row r="51" spans="1:7" ht="23.25">
      <c r="A51" s="1"/>
      <c r="B51" s="1"/>
      <c r="C51" s="79" t="str">
        <f>'01.09'!C51</f>
        <v>*Пр. Информационные технологии*</v>
      </c>
      <c r="D51" s="196">
        <f>'14.09'!D51+COUNTIF(D$11:D$40,$C51)</f>
        <v>3</v>
      </c>
      <c r="E51" s="196">
        <f>'14.09'!E51+COUNTIF(E$11:E$40,$C51)</f>
        <v>3</v>
      </c>
      <c r="F51" s="196">
        <f>'14.09'!F51+COUNTIF(F$11:F$40,$C51)</f>
        <v>3</v>
      </c>
      <c r="G51" s="196">
        <f>'14.09'!G51+COUNTIF(G$11:G$40,$C51)</f>
        <v>3</v>
      </c>
    </row>
    <row r="52" spans="1:7" ht="23.25">
      <c r="A52" s="1"/>
      <c r="B52" s="1"/>
      <c r="C52" s="79" t="str">
        <f>'01.09'!C52</f>
        <v>*Л. Гимнастика*</v>
      </c>
      <c r="D52" s="196">
        <f>'14.09'!D52+COUNTIF(D$11:D$40,$C52)</f>
        <v>3</v>
      </c>
      <c r="E52" s="196">
        <f>'14.09'!E52+COUNTIF(E$11:E$40,$C52)</f>
        <v>3</v>
      </c>
      <c r="F52" s="196">
        <f>'14.09'!F52+COUNTIF(F$11:F$40,$C52)</f>
        <v>3</v>
      </c>
      <c r="G52" s="196">
        <f>'14.09'!G52+COUNTIF(G$11:G$40,$C52)</f>
        <v>3</v>
      </c>
    </row>
    <row r="53" spans="1:7" ht="23.25">
      <c r="A53" s="1"/>
      <c r="B53" s="1"/>
      <c r="C53" s="79" t="str">
        <f>'01.09'!C53</f>
        <v>*Пр. Гимнастика*</v>
      </c>
      <c r="D53" s="196">
        <f>'14.09'!D53+COUNTIF(D$11:D$40,$C53)</f>
        <v>3</v>
      </c>
      <c r="E53" s="196">
        <f>'14.09'!E53+COUNTIF(E$11:E$40,$C53)</f>
        <v>6</v>
      </c>
      <c r="F53" s="196">
        <f>'14.09'!F53+COUNTIF(F$11:F$40,$C53)</f>
        <v>3</v>
      </c>
      <c r="G53" s="196">
        <f>'14.09'!G53+COUNTIF(G$11:G$40,$C53)</f>
        <v>3</v>
      </c>
    </row>
    <row r="54" spans="1:7" ht="23.25">
      <c r="A54" s="1"/>
      <c r="B54" s="1"/>
      <c r="C54" s="79" t="str">
        <f>'01.09'!C54</f>
        <v>*Л. Элективные дисциплины по ФКиС: Подвижные игры*</v>
      </c>
      <c r="D54" s="196">
        <f>'14.09'!D54+COUNTIF(D$11:D$40,$C54)</f>
        <v>1</v>
      </c>
      <c r="E54" s="196">
        <f>'14.09'!E54+COUNTIF(E$11:E$40,$C54)</f>
        <v>1</v>
      </c>
      <c r="F54" s="196">
        <f>'14.09'!F54+COUNTIF(F$11:F$40,$C54)</f>
        <v>1</v>
      </c>
      <c r="G54" s="196">
        <f>'14.09'!G54+COUNTIF(G$11:G$40,$C54)</f>
        <v>1</v>
      </c>
    </row>
    <row r="55" spans="1:7" ht="23.25">
      <c r="A55" s="1"/>
      <c r="B55" s="1"/>
      <c r="C55" s="79" t="str">
        <f>'01.09'!C55</f>
        <v>*Пр. Элективные дисциплины по ФКиС: Подвижные игры*</v>
      </c>
      <c r="D55" s="196">
        <f>'14.09'!D55+COUNTIF(D$11:D$40,$C55)</f>
        <v>3</v>
      </c>
      <c r="E55" s="196">
        <f>'14.09'!E55+COUNTIF(E$11:E$40,$C55)</f>
        <v>3</v>
      </c>
      <c r="F55" s="196">
        <f>'14.09'!F55+COUNTIF(F$11:F$40,$C55)</f>
        <v>3</v>
      </c>
      <c r="G55" s="196">
        <f>'14.09'!G55+COUNTIF(G$11:G$40,$C55)</f>
        <v>3</v>
      </c>
    </row>
    <row r="56" spans="1:7" ht="23.25">
      <c r="A56" s="1"/>
      <c r="B56" s="1"/>
      <c r="C56" s="79" t="str">
        <f>'01.09'!C56</f>
        <v>*Л. Волейбол*</v>
      </c>
      <c r="D56" s="196">
        <f>'14.09'!D56+COUNTIF(D$11:D$40,$C56)</f>
        <v>1</v>
      </c>
      <c r="E56" s="196">
        <f>'14.09'!E56+COUNTIF(E$11:E$40,$C56)</f>
        <v>1</v>
      </c>
      <c r="F56" s="196">
        <f>'14.09'!F56+COUNTIF(F$11:F$40,$C56)</f>
        <v>1</v>
      </c>
      <c r="G56" s="196">
        <f>'14.09'!G56+COUNTIF(G$11:G$40,$C56)</f>
        <v>1</v>
      </c>
    </row>
    <row r="57" spans="1:7" ht="23.25">
      <c r="A57" s="1"/>
      <c r="B57" s="1"/>
      <c r="C57" s="79" t="str">
        <f>'01.09'!C57</f>
        <v>*Пр. Волейбол*</v>
      </c>
      <c r="D57" s="196">
        <f>'14.09'!D57+COUNTIF(D$11:D$40,$C57)</f>
        <v>6</v>
      </c>
      <c r="E57" s="196">
        <f>'14.09'!E57+COUNTIF(E$11:E$40,$C57)</f>
        <v>6</v>
      </c>
      <c r="F57" s="196">
        <f>'14.09'!F57+COUNTIF(F$11:F$40,$C57)</f>
        <v>6</v>
      </c>
      <c r="G57" s="196">
        <f>'14.09'!G57+COUNTIF(G$11:G$40,$C57)</f>
        <v>6</v>
      </c>
    </row>
    <row r="58" spans="1:7" ht="23.25">
      <c r="A58" s="1"/>
      <c r="B58" s="1"/>
      <c r="C58" s="79" t="str">
        <f>'01.09'!C58</f>
        <v>*Л. Лыжные гонки*</v>
      </c>
      <c r="D58" s="196">
        <f>'14.09'!D58+COUNTIF(D$11:D$40,$C58)</f>
        <v>0</v>
      </c>
      <c r="E58" s="196">
        <f>'14.09'!E58+COUNTIF(E$11:E$40,$C58)</f>
        <v>0</v>
      </c>
      <c r="F58" s="196">
        <f>'14.09'!F58+COUNTIF(F$11:F$40,$C58)</f>
        <v>0</v>
      </c>
      <c r="G58" s="196">
        <f>'14.09'!G58+COUNTIF(G$11:G$40,$C58)</f>
        <v>0</v>
      </c>
    </row>
    <row r="59" spans="1:7" ht="23.25">
      <c r="A59" s="1"/>
      <c r="B59" s="1"/>
      <c r="C59" s="79" t="str">
        <f>'01.09'!C59</f>
        <v>*Пр. Лыжные гонки*</v>
      </c>
      <c r="D59" s="196">
        <f>'14.09'!D59+COUNTIF(D$11:D$40,$C59)</f>
        <v>0</v>
      </c>
      <c r="E59" s="196">
        <f>'14.09'!E59+COUNTIF(E$11:E$40,$C59)</f>
        <v>0</v>
      </c>
      <c r="F59" s="196">
        <f>'14.09'!F59+COUNTIF(F$11:F$40,$C59)</f>
        <v>0</v>
      </c>
      <c r="G59" s="196">
        <f>'14.09'!G59+COUNTIF(G$11:G$40,$C59)</f>
        <v>0</v>
      </c>
    </row>
    <row r="60" spans="1:7" ht="23.25">
      <c r="A60" s="1"/>
      <c r="B60" s="1"/>
      <c r="C60" s="79" t="str">
        <f>'01.09'!C60</f>
        <v>*Л. Использование электронной*</v>
      </c>
      <c r="D60" s="196">
        <f>'14.09'!D60+COUNTIF(D$11:D$40,$C60)</f>
        <v>1</v>
      </c>
      <c r="E60" s="196">
        <f>'14.09'!E60+COUNTIF(E$11:E$40,$C60)</f>
        <v>0</v>
      </c>
      <c r="F60" s="196">
        <f>'14.09'!F60+COUNTIF(F$11:F$40,$C60)</f>
        <v>0</v>
      </c>
      <c r="G60" s="196">
        <f>'14.09'!G60+COUNTIF(G$11:G$40,$C60)</f>
        <v>0</v>
      </c>
    </row>
    <row r="61" spans="1:7" ht="23.25">
      <c r="A61" s="1"/>
      <c r="B61" s="1"/>
      <c r="C61" s="79" t="str">
        <f>'01.09'!C61</f>
        <v>*Пр. Использование электронной*</v>
      </c>
      <c r="D61" s="196">
        <f>'14.09'!D61+COUNTIF(D$11:D$40,$C61)</f>
        <v>0</v>
      </c>
      <c r="E61" s="196">
        <f>'14.09'!E61+COUNTIF(E$11:E$40,$C61)</f>
        <v>0</v>
      </c>
      <c r="F61" s="196">
        <f>'14.09'!F61+COUNTIF(F$11:F$40,$C61)</f>
        <v>0</v>
      </c>
      <c r="G61" s="196">
        <f>'14.09'!G61+COUNTIF(G$11:G$40,$C61)</f>
        <v>0</v>
      </c>
    </row>
    <row r="62" spans="1:7" ht="23.25">
      <c r="A62" s="1"/>
      <c r="B62" s="1"/>
      <c r="C62" s="79" t="str">
        <f>'01.09'!C62</f>
        <v>*Пр. Иностранный*</v>
      </c>
      <c r="D62" s="29">
        <f>'14.09'!D62+COUNTIF(D$11:D$40,$C62)</f>
        <v>3</v>
      </c>
      <c r="E62" s="29">
        <f>'14.09'!E62+COUNTIF(E$11:E$40,$C62)</f>
        <v>3</v>
      </c>
      <c r="F62" s="29">
        <f>'14.09'!F62+COUNTIF(F$11:F$40,$C62)</f>
        <v>3</v>
      </c>
      <c r="G62" s="29">
        <f>'14.09'!G62+COUNTIF(G$11:G$40,$C62)</f>
        <v>3</v>
      </c>
    </row>
    <row r="63" spans="1:7" ht="23.25">
      <c r="A63" s="1"/>
      <c r="B63" s="1"/>
      <c r="C63" s="79">
        <f>'01.09'!C63</f>
        <v>0</v>
      </c>
      <c r="D63" s="29">
        <f>'14.09'!D63+COUNTIF(D$11:D$40,$C63)</f>
        <v>0</v>
      </c>
      <c r="E63" s="29">
        <f>'14.09'!E63+COUNTIF(E$11:E$40,$C63)</f>
        <v>0</v>
      </c>
      <c r="F63" s="29">
        <f>'14.09'!F63+COUNTIF(F$11:F$40,$C63)</f>
        <v>0</v>
      </c>
      <c r="G63" s="29">
        <f>'14.09'!G63+COUNTIF(G$11:G$40,$C63)</f>
        <v>0</v>
      </c>
    </row>
    <row r="64" spans="1:7" ht="23.25">
      <c r="A64" s="1"/>
      <c r="B64" s="1"/>
      <c r="C64" s="79">
        <f>'01.09'!C64</f>
        <v>0</v>
      </c>
      <c r="D64" s="29">
        <f>'14.09'!D64+COUNTIF(D$11:D$40,$C64)</f>
        <v>0</v>
      </c>
      <c r="E64" s="29">
        <f>'14.09'!E64+COUNTIF(E$11:E$40,$C64)</f>
        <v>0</v>
      </c>
      <c r="F64" s="29">
        <f>'14.09'!F64+COUNTIF(F$11:F$40,$C64)</f>
        <v>0</v>
      </c>
      <c r="G64" s="29">
        <f>'14.09'!G64+COUNTIF(G$11:G$40,$C64)</f>
        <v>0</v>
      </c>
    </row>
    <row r="65" spans="1:7" ht="23.25">
      <c r="A65" s="1"/>
      <c r="B65" s="1"/>
      <c r="C65" s="79">
        <f>'01.09'!C65</f>
        <v>0</v>
      </c>
      <c r="D65" s="29">
        <f>'14.09'!D65+COUNTIF(D$11:D$40,$C65)</f>
        <v>0</v>
      </c>
      <c r="E65" s="29">
        <f>'14.09'!E65+COUNTIF(E$11:E$40,$C65)</f>
        <v>0</v>
      </c>
      <c r="F65" s="29">
        <f>'14.09'!F65+COUNTIF(F$11:F$40,$C65)</f>
        <v>0</v>
      </c>
      <c r="G65" s="29">
        <f>'14.09'!G65+COUNTIF(G$11:G$40,$C65)</f>
        <v>0</v>
      </c>
    </row>
    <row r="66" spans="1:7" ht="23.25">
      <c r="A66" s="1"/>
      <c r="B66" s="1"/>
      <c r="C66" s="79">
        <f>'01.09'!C66</f>
        <v>0</v>
      </c>
      <c r="D66" s="29">
        <f>'14.09'!D66+COUNTIF(D$11:D$40,$C66)</f>
        <v>0</v>
      </c>
      <c r="E66" s="29">
        <f>'14.09'!E66+COUNTIF(E$11:E$40,$C66)</f>
        <v>0</v>
      </c>
      <c r="F66" s="29">
        <f>'14.09'!F66+COUNTIF(F$11:F$40,$C66)</f>
        <v>0</v>
      </c>
      <c r="G66" s="29">
        <f>'14.09'!G66+COUNTIF(G$11:G$40,$C66)</f>
        <v>0</v>
      </c>
    </row>
    <row r="67" spans="1:7" ht="23.25">
      <c r="A67" s="1"/>
      <c r="B67" s="1"/>
      <c r="C67" s="79">
        <f>'01.09'!C67</f>
        <v>0</v>
      </c>
      <c r="D67" s="29">
        <f>'14.09'!D67+COUNTIF(D$11:D$40,$C67)</f>
        <v>0</v>
      </c>
      <c r="E67" s="29">
        <f>'14.09'!E67+COUNTIF(E$11:E$40,$C67)</f>
        <v>0</v>
      </c>
      <c r="F67" s="29">
        <f>'14.09'!F67+COUNTIF(F$11:F$40,$C67)</f>
        <v>0</v>
      </c>
      <c r="G67" s="29">
        <f>'14.09'!G67+COUNTIF(G$11:G$40,$C67)</f>
        <v>0</v>
      </c>
    </row>
    <row r="68" spans="1:7" ht="21">
      <c r="A68" s="1"/>
      <c r="B68" s="1"/>
      <c r="C68" s="20"/>
      <c r="D68" s="26"/>
      <c r="E68" s="26"/>
      <c r="F68" s="26"/>
      <c r="G68" s="26"/>
    </row>
    <row r="69" spans="1:7" ht="18.75">
      <c r="A69" s="1"/>
      <c r="B69" s="1"/>
      <c r="C69" s="20"/>
      <c r="D69" s="20"/>
      <c r="E69" s="20"/>
      <c r="F69" s="20"/>
      <c r="G69" s="20"/>
    </row>
    <row r="70" spans="1:7" ht="18.75">
      <c r="A70" s="1"/>
      <c r="B70" s="1"/>
      <c r="C70" s="20"/>
      <c r="D70" s="20"/>
      <c r="E70" s="20"/>
      <c r="F70" s="20"/>
      <c r="G70" s="20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A26:A30"/>
    <mergeCell ref="A9:A10"/>
    <mergeCell ref="C9:C10"/>
    <mergeCell ref="B9:B10"/>
    <mergeCell ref="A11:A15"/>
    <mergeCell ref="A16:A20"/>
    <mergeCell ref="B11:B15"/>
    <mergeCell ref="B16:B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30" orientation="portrait" r:id="rId1"/>
  <rowBreaks count="1" manualBreakCount="1">
    <brk id="4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76"/>
  <sheetViews>
    <sheetView view="pageBreakPreview" topLeftCell="A7" zoomScale="40" zoomScaleNormal="40" zoomScaleSheetLayoutView="40" zoomScalePageLayoutView="40" workbookViewId="0">
      <selection activeCell="E31" sqref="E31"/>
    </sheetView>
  </sheetViews>
  <sheetFormatPr defaultRowHeight="15"/>
  <cols>
    <col min="1" max="2" width="5.5703125" customWidth="1"/>
    <col min="3" max="3" width="26.140625" customWidth="1"/>
    <col min="4" max="7" width="73.14062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5.25" customHeight="1" thickBot="1">
      <c r="A8" s="24"/>
      <c r="B8" s="24"/>
      <c r="C8" s="24"/>
      <c r="D8" s="24"/>
      <c r="E8" s="24"/>
      <c r="F8" s="24"/>
      <c r="G8" s="24"/>
    </row>
    <row r="9" spans="1:7" ht="38.25" customHeight="1" thickBot="1">
      <c r="A9" s="753" t="s">
        <v>76</v>
      </c>
      <c r="B9" s="753" t="s">
        <v>9</v>
      </c>
      <c r="C9" s="755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7" customHeight="1" thickBot="1">
      <c r="A10" s="754"/>
      <c r="B10" s="754"/>
      <c r="C10" s="756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100.5" customHeight="1">
      <c r="A11" s="757" t="s">
        <v>0</v>
      </c>
      <c r="B11" s="758">
        <v>46293</v>
      </c>
      <c r="C11" s="55" t="s">
        <v>5</v>
      </c>
      <c r="D11" s="519" t="s">
        <v>282</v>
      </c>
      <c r="E11" s="360" t="s">
        <v>286</v>
      </c>
      <c r="F11" s="360" t="s">
        <v>341</v>
      </c>
      <c r="G11" s="520"/>
    </row>
    <row r="12" spans="1:7" ht="100.5" customHeight="1">
      <c r="A12" s="748"/>
      <c r="B12" s="748"/>
      <c r="C12" s="54" t="s">
        <v>6</v>
      </c>
      <c r="D12" s="364" t="s">
        <v>334</v>
      </c>
      <c r="E12" s="434" t="s">
        <v>334</v>
      </c>
      <c r="F12" s="434" t="s">
        <v>334</v>
      </c>
      <c r="G12" s="616" t="s">
        <v>334</v>
      </c>
    </row>
    <row r="13" spans="1:7" ht="100.5" customHeight="1">
      <c r="A13" s="748"/>
      <c r="B13" s="748"/>
      <c r="C13" s="54" t="s">
        <v>7</v>
      </c>
      <c r="D13" s="414" t="s">
        <v>335</v>
      </c>
      <c r="E13" s="280" t="s">
        <v>335</v>
      </c>
      <c r="F13" s="280" t="s">
        <v>335</v>
      </c>
      <c r="G13" s="436" t="s">
        <v>335</v>
      </c>
    </row>
    <row r="14" spans="1:7" ht="75.75" customHeight="1">
      <c r="A14" s="748"/>
      <c r="B14" s="748"/>
      <c r="C14" s="54" t="s">
        <v>8</v>
      </c>
      <c r="D14" s="414" t="s">
        <v>336</v>
      </c>
      <c r="E14" s="280" t="s">
        <v>336</v>
      </c>
      <c r="F14" s="280" t="s">
        <v>336</v>
      </c>
      <c r="G14" s="436" t="s">
        <v>336</v>
      </c>
    </row>
    <row r="15" spans="1:7" ht="75.75" customHeight="1" thickBot="1">
      <c r="A15" s="748"/>
      <c r="B15" s="748"/>
      <c r="C15" s="56" t="s">
        <v>10</v>
      </c>
      <c r="D15" s="546"/>
      <c r="E15" s="547"/>
      <c r="F15" s="547"/>
      <c r="G15" s="548"/>
    </row>
    <row r="16" spans="1:7" ht="119.25" customHeight="1">
      <c r="A16" s="748" t="s">
        <v>1</v>
      </c>
      <c r="B16" s="747">
        <f>B11+1</f>
        <v>46294</v>
      </c>
      <c r="C16" s="55" t="s">
        <v>5</v>
      </c>
      <c r="D16" s="605" t="s">
        <v>299</v>
      </c>
      <c r="E16" s="404" t="s">
        <v>276</v>
      </c>
      <c r="F16" s="404" t="s">
        <v>277</v>
      </c>
      <c r="G16" s="476" t="s">
        <v>300</v>
      </c>
    </row>
    <row r="17" spans="1:7" ht="126.75" customHeight="1">
      <c r="A17" s="748"/>
      <c r="B17" s="748"/>
      <c r="C17" s="54" t="s">
        <v>6</v>
      </c>
      <c r="D17" s="364" t="s">
        <v>299</v>
      </c>
      <c r="E17" s="396" t="s">
        <v>276</v>
      </c>
      <c r="F17" s="396" t="s">
        <v>277</v>
      </c>
      <c r="G17" s="415" t="s">
        <v>300</v>
      </c>
    </row>
    <row r="18" spans="1:7" ht="75.75" customHeight="1">
      <c r="A18" s="748"/>
      <c r="B18" s="748"/>
      <c r="C18" s="54" t="s">
        <v>7</v>
      </c>
      <c r="D18" s="395" t="s">
        <v>278</v>
      </c>
      <c r="E18" s="396" t="s">
        <v>286</v>
      </c>
      <c r="F18" s="396"/>
      <c r="G18" s="397" t="s">
        <v>285</v>
      </c>
    </row>
    <row r="19" spans="1:7" ht="75.75" customHeight="1">
      <c r="A19" s="748"/>
      <c r="B19" s="748"/>
      <c r="C19" s="54" t="s">
        <v>8</v>
      </c>
      <c r="D19" s="395" t="s">
        <v>286</v>
      </c>
      <c r="E19" s="396" t="s">
        <v>278</v>
      </c>
      <c r="F19" s="396"/>
      <c r="G19" s="397"/>
    </row>
    <row r="20" spans="1:7" ht="28.5" customHeight="1" thickBot="1">
      <c r="A20" s="748"/>
      <c r="B20" s="748"/>
      <c r="C20" s="56" t="s">
        <v>10</v>
      </c>
      <c r="D20" s="399"/>
      <c r="E20" s="400"/>
      <c r="F20" s="400"/>
      <c r="G20" s="401"/>
    </row>
    <row r="21" spans="1:7" ht="96.75" customHeight="1">
      <c r="A21" s="748" t="s">
        <v>2</v>
      </c>
      <c r="B21" s="747">
        <f>B16+1</f>
        <v>46295</v>
      </c>
      <c r="C21" s="55" t="s">
        <v>5</v>
      </c>
      <c r="D21" s="254" t="s">
        <v>283</v>
      </c>
      <c r="E21" s="255" t="s">
        <v>342</v>
      </c>
      <c r="F21" s="255" t="s">
        <v>285</v>
      </c>
      <c r="G21" s="256" t="s">
        <v>282</v>
      </c>
    </row>
    <row r="22" spans="1:7" ht="115.5" customHeight="1">
      <c r="A22" s="748"/>
      <c r="B22" s="748"/>
      <c r="C22" s="54" t="s">
        <v>6</v>
      </c>
      <c r="D22" s="257" t="s">
        <v>343</v>
      </c>
      <c r="E22" s="258" t="s">
        <v>284</v>
      </c>
      <c r="F22" s="442" t="s">
        <v>282</v>
      </c>
      <c r="G22" s="248" t="s">
        <v>290</v>
      </c>
    </row>
    <row r="23" spans="1:7" ht="96.75" customHeight="1">
      <c r="A23" s="748"/>
      <c r="B23" s="748"/>
      <c r="C23" s="54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</row>
    <row r="24" spans="1:7" ht="124.5" customHeight="1">
      <c r="A24" s="748"/>
      <c r="B24" s="748"/>
      <c r="C24" s="54" t="s">
        <v>8</v>
      </c>
      <c r="D24" s="257" t="s">
        <v>286</v>
      </c>
      <c r="E24" s="258" t="s">
        <v>289</v>
      </c>
      <c r="F24" s="258" t="s">
        <v>344</v>
      </c>
      <c r="G24" s="614" t="s">
        <v>307</v>
      </c>
    </row>
    <row r="25" spans="1:7" ht="69.75" customHeight="1" thickBot="1">
      <c r="A25" s="748"/>
      <c r="B25" s="748"/>
      <c r="C25" s="56" t="s">
        <v>10</v>
      </c>
      <c r="D25" s="265"/>
      <c r="E25" s="315"/>
      <c r="F25" s="315"/>
      <c r="G25" s="316" t="s">
        <v>345</v>
      </c>
    </row>
    <row r="26" spans="1:7" ht="66" customHeight="1">
      <c r="A26" s="748" t="s">
        <v>3</v>
      </c>
      <c r="B26" s="747">
        <f>B21+1</f>
        <v>46296</v>
      </c>
      <c r="C26" s="55" t="s">
        <v>5</v>
      </c>
      <c r="D26" s="289"/>
      <c r="E26" s="329"/>
      <c r="F26" s="329"/>
      <c r="G26" s="334"/>
    </row>
    <row r="27" spans="1:7" ht="66" customHeight="1">
      <c r="A27" s="761"/>
      <c r="B27" s="748"/>
      <c r="C27" s="54" t="s">
        <v>6</v>
      </c>
      <c r="D27" s="335"/>
      <c r="E27" s="358"/>
      <c r="F27" s="358"/>
      <c r="G27" s="359"/>
    </row>
    <row r="28" spans="1:7" ht="87" customHeight="1">
      <c r="A28" s="761"/>
      <c r="B28" s="748"/>
      <c r="C28" s="54" t="s">
        <v>7</v>
      </c>
      <c r="D28" s="395"/>
      <c r="E28" s="442"/>
      <c r="F28" s="442" t="s">
        <v>290</v>
      </c>
      <c r="G28" s="397"/>
    </row>
    <row r="29" spans="1:7" ht="75.75" customHeight="1">
      <c r="A29" s="761"/>
      <c r="B29" s="748"/>
      <c r="C29" s="54" t="s">
        <v>8</v>
      </c>
      <c r="D29" s="395"/>
      <c r="E29" s="442"/>
      <c r="F29" s="442" t="s">
        <v>287</v>
      </c>
      <c r="G29" s="248"/>
    </row>
    <row r="30" spans="1:7" ht="43.5" customHeight="1" thickBot="1">
      <c r="A30" s="761"/>
      <c r="B30" s="748"/>
      <c r="C30" s="56" t="s">
        <v>10</v>
      </c>
      <c r="D30" s="265"/>
      <c r="E30" s="474"/>
      <c r="F30" s="474"/>
      <c r="G30" s="475"/>
    </row>
    <row r="31" spans="1:7" ht="122.25" customHeight="1">
      <c r="A31" s="748" t="s">
        <v>4</v>
      </c>
      <c r="B31" s="747">
        <f>B26+1</f>
        <v>46297</v>
      </c>
      <c r="C31" s="55" t="s">
        <v>5</v>
      </c>
      <c r="D31" s="254" t="s">
        <v>346</v>
      </c>
      <c r="E31" s="255"/>
      <c r="F31" s="255"/>
      <c r="G31" s="334"/>
    </row>
    <row r="32" spans="1:7" ht="75.75" customHeight="1">
      <c r="A32" s="748"/>
      <c r="B32" s="748"/>
      <c r="C32" s="54" t="s">
        <v>6</v>
      </c>
      <c r="D32" s="257" t="s">
        <v>283</v>
      </c>
      <c r="E32" s="358" t="s">
        <v>284</v>
      </c>
      <c r="F32" s="442" t="s">
        <v>287</v>
      </c>
      <c r="G32" s="397" t="s">
        <v>288</v>
      </c>
    </row>
    <row r="33" spans="1:7" ht="128.25" customHeight="1">
      <c r="A33" s="748"/>
      <c r="B33" s="748"/>
      <c r="C33" s="54" t="s">
        <v>7</v>
      </c>
      <c r="D33" s="395" t="s">
        <v>347</v>
      </c>
      <c r="E33" s="396" t="s">
        <v>151</v>
      </c>
      <c r="F33" s="396" t="s">
        <v>152</v>
      </c>
      <c r="G33" s="397" t="s">
        <v>298</v>
      </c>
    </row>
    <row r="34" spans="1:7" ht="119.25" customHeight="1">
      <c r="A34" s="748"/>
      <c r="B34" s="748"/>
      <c r="C34" s="54" t="s">
        <v>8</v>
      </c>
      <c r="D34" s="364" t="s">
        <v>299</v>
      </c>
      <c r="E34" s="396" t="s">
        <v>276</v>
      </c>
      <c r="F34" s="396" t="s">
        <v>277</v>
      </c>
      <c r="G34" s="415" t="s">
        <v>300</v>
      </c>
    </row>
    <row r="35" spans="1:7" ht="47.25" customHeight="1" thickBot="1">
      <c r="A35" s="748"/>
      <c r="B35" s="748"/>
      <c r="C35" s="56" t="s">
        <v>10</v>
      </c>
      <c r="D35" s="362"/>
      <c r="E35" s="363"/>
      <c r="F35" s="315"/>
      <c r="G35" s="445"/>
    </row>
    <row r="36" spans="1:7" ht="33" customHeight="1">
      <c r="A36" s="748" t="s">
        <v>18</v>
      </c>
      <c r="B36" s="747">
        <f>B31+1</f>
        <v>46298</v>
      </c>
      <c r="C36" s="40" t="s">
        <v>5</v>
      </c>
      <c r="D36" s="208"/>
      <c r="E36" s="96"/>
      <c r="F36" s="96"/>
      <c r="G36" s="231"/>
    </row>
    <row r="37" spans="1:7" ht="33" customHeight="1">
      <c r="A37" s="748"/>
      <c r="B37" s="748"/>
      <c r="C37" s="41" t="s">
        <v>6</v>
      </c>
      <c r="D37" s="209"/>
      <c r="E37" s="380"/>
      <c r="F37" s="380"/>
      <c r="G37" s="233"/>
    </row>
    <row r="38" spans="1:7" ht="33" customHeight="1">
      <c r="A38" s="748"/>
      <c r="B38" s="748"/>
      <c r="C38" s="41" t="s">
        <v>7</v>
      </c>
      <c r="D38" s="209"/>
      <c r="E38" s="380"/>
      <c r="F38" s="380"/>
      <c r="G38" s="381"/>
    </row>
    <row r="39" spans="1:7" ht="33" customHeight="1">
      <c r="A39" s="748"/>
      <c r="B39" s="748"/>
      <c r="C39" s="41" t="s">
        <v>8</v>
      </c>
      <c r="D39" s="209"/>
      <c r="E39" s="210"/>
      <c r="F39" s="210"/>
      <c r="G39" s="248"/>
    </row>
    <row r="40" spans="1:7" ht="33" customHeight="1" thickBot="1">
      <c r="A40" s="749"/>
      <c r="B40" s="749"/>
      <c r="C40" s="42" t="s">
        <v>10</v>
      </c>
      <c r="D40" s="375"/>
      <c r="E40" s="376"/>
      <c r="F40" s="376"/>
      <c r="G40" s="377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3.25">
      <c r="A42" s="1"/>
      <c r="B42" s="1"/>
      <c r="C42" s="79" t="str">
        <f>'01.09'!C42</f>
        <v>*Л. Речевое общение в профессиональной деятельности*</v>
      </c>
      <c r="D42" s="80">
        <f>'21.09'!D42+COUNTIF(D$11:D$40,$C42)</f>
        <v>5</v>
      </c>
      <c r="E42" s="80">
        <f>'21.09'!E42+COUNTIF(E$11:E$40,$C42)</f>
        <v>5</v>
      </c>
      <c r="F42" s="80">
        <f>'21.09'!F42+COUNTIF(F$11:F$40,$C42)</f>
        <v>5</v>
      </c>
      <c r="G42" s="80">
        <f>'21.09'!G42+COUNTIF(G$11:G$40,$C42)</f>
        <v>5</v>
      </c>
    </row>
    <row r="43" spans="1:7" ht="23.25">
      <c r="A43" s="1"/>
      <c r="B43" s="1"/>
      <c r="C43" s="79" t="str">
        <f>'01.09'!C43</f>
        <v>*Пр. Речевое общение в профессиональной деятельности*</v>
      </c>
      <c r="D43" s="80">
        <f>'21.09'!D43+COUNTIF(D$11:D$40,$C43)</f>
        <v>0</v>
      </c>
      <c r="E43" s="80">
        <f>'21.09'!E43+COUNTIF(E$11:E$40,$C43)</f>
        <v>0</v>
      </c>
      <c r="F43" s="80">
        <f>'21.09'!F43+COUNTIF(F$11:F$40,$C43)</f>
        <v>0</v>
      </c>
      <c r="G43" s="80">
        <f>'21.09'!G43+COUNTIF(G$11:G$40,$C43)</f>
        <v>0</v>
      </c>
    </row>
    <row r="44" spans="1:7" ht="23.25">
      <c r="A44" s="1"/>
      <c r="B44" s="1"/>
      <c r="C44" s="79" t="str">
        <f>'01.09'!C44</f>
        <v>*Л. Физическая культура и спорт*</v>
      </c>
      <c r="D44" s="80">
        <f>'21.09'!D44+COUNTIF(D$11:D$40,$C44)</f>
        <v>5</v>
      </c>
      <c r="E44" s="80">
        <f>'21.09'!E44+COUNTIF(E$11:E$40,$C44)</f>
        <v>5</v>
      </c>
      <c r="F44" s="80">
        <f>'21.09'!F44+COUNTIF(F$11:F$40,$C44)</f>
        <v>5</v>
      </c>
      <c r="G44" s="80">
        <f>'21.09'!G44+COUNTIF(G$11:G$40,$C44)</f>
        <v>5</v>
      </c>
    </row>
    <row r="45" spans="1:7" ht="23.25">
      <c r="A45" s="1"/>
      <c r="B45" s="1"/>
      <c r="C45" s="79" t="str">
        <f>'01.09'!C45</f>
        <v>*Пр. Физическая культура и спорт*</v>
      </c>
      <c r="D45" s="80">
        <f>'21.09'!D45+COUNTIF(D$11:D$40,$C45)</f>
        <v>1</v>
      </c>
      <c r="E45" s="80">
        <f>'21.09'!E45+COUNTIF(E$11:E$40,$C45)</f>
        <v>1</v>
      </c>
      <c r="F45" s="80">
        <f>'21.09'!F45+COUNTIF(F$11:F$40,$C45)</f>
        <v>1</v>
      </c>
      <c r="G45" s="80">
        <f>'21.09'!G45+COUNTIF(G$11:G$40,$C45)</f>
        <v>1</v>
      </c>
    </row>
    <row r="46" spans="1:7" ht="23.25">
      <c r="A46" s="1"/>
      <c r="B46" s="1"/>
      <c r="C46" s="79" t="str">
        <f>'01.09'!C46</f>
        <v>*Л. Анатомия*</v>
      </c>
      <c r="D46" s="80">
        <f>'21.09'!D46+COUNTIF(D$11:D$40,$C46)</f>
        <v>4</v>
      </c>
      <c r="E46" s="80">
        <f>'21.09'!E46+COUNTIF(E$11:E$40,$C46)</f>
        <v>4</v>
      </c>
      <c r="F46" s="80">
        <f>'21.09'!F46+COUNTIF(F$11:F$40,$C46)</f>
        <v>4</v>
      </c>
      <c r="G46" s="80">
        <f>'21.09'!G46+COUNTIF(G$11:G$40,$C46)</f>
        <v>4</v>
      </c>
    </row>
    <row r="47" spans="1:7" ht="23.25">
      <c r="A47" s="1"/>
      <c r="B47" s="1"/>
      <c r="C47" s="79" t="str">
        <f>'01.09'!C47</f>
        <v>*Пр. Анатомия*</v>
      </c>
      <c r="D47" s="80">
        <f>'21.09'!D47+COUNTIF(D$11:D$40,$C47)</f>
        <v>0</v>
      </c>
      <c r="E47" s="80">
        <f>'21.09'!E47+COUNTIF(E$11:E$40,$C47)</f>
        <v>0</v>
      </c>
      <c r="F47" s="80">
        <f>'21.09'!F47+COUNTIF(F$11:F$40,$C47)</f>
        <v>0</v>
      </c>
      <c r="G47" s="80">
        <f>'21.09'!G47+COUNTIF(G$11:G$40,$C47)</f>
        <v>0</v>
      </c>
    </row>
    <row r="48" spans="1:7" ht="23.25">
      <c r="A48" s="1"/>
      <c r="B48" s="1"/>
      <c r="C48" s="79" t="str">
        <f>'01.09'!C48</f>
        <v>*Л. Теория и методика*</v>
      </c>
      <c r="D48" s="80">
        <f>'21.09'!D48+COUNTIF(D$11:D$40,$C48)</f>
        <v>2</v>
      </c>
      <c r="E48" s="80">
        <f>'21.09'!E48+COUNTIF(E$11:E$40,$C48)</f>
        <v>2</v>
      </c>
      <c r="F48" s="80">
        <f>'21.09'!F48+COUNTIF(F$11:F$40,$C48)</f>
        <v>2</v>
      </c>
      <c r="G48" s="80">
        <f>'21.09'!G48+COUNTIF(G$11:G$40,$C48)</f>
        <v>2</v>
      </c>
    </row>
    <row r="49" spans="1:7" ht="23.25">
      <c r="A49" s="1"/>
      <c r="B49" s="1"/>
      <c r="C49" s="79" t="str">
        <f>'01.09'!C49</f>
        <v>*Пр. Теория и методика*</v>
      </c>
      <c r="D49" s="80">
        <f>'21.09'!D49+COUNTIF(D$11:D$40,$C49)</f>
        <v>15</v>
      </c>
      <c r="E49" s="80">
        <f>'21.09'!E49+COUNTIF(E$11:E$40,$C49)</f>
        <v>15</v>
      </c>
      <c r="F49" s="80">
        <f>'21.09'!F49+COUNTIF(F$11:F$40,$C49)</f>
        <v>15</v>
      </c>
      <c r="G49" s="80">
        <f>'21.09'!G49+COUNTIF(G$11:G$40,$C49)</f>
        <v>15</v>
      </c>
    </row>
    <row r="50" spans="1:7" ht="23.25">
      <c r="A50" s="1"/>
      <c r="B50" s="1"/>
      <c r="C50" s="79" t="str">
        <f>'01.09'!C50</f>
        <v>*Л. Информационные технологии*</v>
      </c>
      <c r="D50" s="80">
        <f>'21.09'!D50+COUNTIF(D$11:D$40,$C50)</f>
        <v>2</v>
      </c>
      <c r="E50" s="80">
        <f>'21.09'!E50+COUNTIF(E$11:E$40,$C50)</f>
        <v>2</v>
      </c>
      <c r="F50" s="80">
        <f>'21.09'!F50+COUNTIF(F$11:F$40,$C50)</f>
        <v>2</v>
      </c>
      <c r="G50" s="80">
        <f>'21.09'!G50+COUNTIF(G$11:G$40,$C50)</f>
        <v>2</v>
      </c>
    </row>
    <row r="51" spans="1:7" ht="23.25">
      <c r="A51" s="1"/>
      <c r="B51" s="1"/>
      <c r="C51" s="79" t="str">
        <f>'01.09'!C51</f>
        <v>*Пр. Информационные технологии*</v>
      </c>
      <c r="D51" s="80">
        <f>'21.09'!D51+COUNTIF(D$11:D$40,$C51)</f>
        <v>4</v>
      </c>
      <c r="E51" s="80">
        <f>'21.09'!E51+COUNTIF(E$11:E$40,$C51)</f>
        <v>4</v>
      </c>
      <c r="F51" s="80">
        <f>'21.09'!F51+COUNTIF(F$11:F$40,$C51)</f>
        <v>4</v>
      </c>
      <c r="G51" s="80">
        <f>'21.09'!G51+COUNTIF(G$11:G$40,$C51)</f>
        <v>4</v>
      </c>
    </row>
    <row r="52" spans="1:7" ht="23.25">
      <c r="A52" s="1"/>
      <c r="B52" s="1"/>
      <c r="C52" s="79" t="str">
        <f>'01.09'!C52</f>
        <v>*Л. Гимнастика*</v>
      </c>
      <c r="D52" s="80">
        <f>'21.09'!D52+COUNTIF(D$11:D$40,$C52)</f>
        <v>3</v>
      </c>
      <c r="E52" s="80">
        <f>'21.09'!E52+COUNTIF(E$11:E$40,$C52)</f>
        <v>3</v>
      </c>
      <c r="F52" s="80">
        <f>'21.09'!F52+COUNTIF(F$11:F$40,$C52)</f>
        <v>3</v>
      </c>
      <c r="G52" s="80">
        <f>'21.09'!G52+COUNTIF(G$11:G$40,$C52)</f>
        <v>3</v>
      </c>
    </row>
    <row r="53" spans="1:7" ht="23.25">
      <c r="A53" s="1"/>
      <c r="B53" s="1"/>
      <c r="C53" s="79" t="str">
        <f>'01.09'!C53</f>
        <v>*Пр. Гимнастика*</v>
      </c>
      <c r="D53" s="80">
        <f>'21.09'!D53+COUNTIF(D$11:D$40,$C53)</f>
        <v>5</v>
      </c>
      <c r="E53" s="80">
        <f>'21.09'!E53+COUNTIF(E$11:E$40,$C53)</f>
        <v>8</v>
      </c>
      <c r="F53" s="80">
        <f>'21.09'!F53+COUNTIF(F$11:F$40,$C53)</f>
        <v>4</v>
      </c>
      <c r="G53" s="80">
        <f>'21.09'!G53+COUNTIF(G$11:G$40,$C53)</f>
        <v>4</v>
      </c>
    </row>
    <row r="54" spans="1:7" ht="23.25">
      <c r="A54" s="1"/>
      <c r="B54" s="1"/>
      <c r="C54" s="79" t="str">
        <f>'01.09'!C54</f>
        <v>*Л. Элективные дисциплины по ФКиС: Подвижные игры*</v>
      </c>
      <c r="D54" s="80">
        <f>'21.09'!D54+COUNTIF(D$11:D$40,$C54)</f>
        <v>1</v>
      </c>
      <c r="E54" s="80">
        <f>'21.09'!E54+COUNTIF(E$11:E$40,$C54)</f>
        <v>1</v>
      </c>
      <c r="F54" s="80">
        <f>'21.09'!F54+COUNTIF(F$11:F$40,$C54)</f>
        <v>1</v>
      </c>
      <c r="G54" s="80">
        <f>'21.09'!G54+COUNTIF(G$11:G$40,$C54)</f>
        <v>1</v>
      </c>
    </row>
    <row r="55" spans="1:7" ht="23.25">
      <c r="A55" s="1"/>
      <c r="B55" s="1"/>
      <c r="C55" s="79" t="str">
        <f>'01.09'!C55</f>
        <v>*Пр. Элективные дисциплины по ФКиС: Подвижные игры*</v>
      </c>
      <c r="D55" s="80">
        <f>'21.09'!D55+COUNTIF(D$11:D$40,$C55)</f>
        <v>4</v>
      </c>
      <c r="E55" s="80">
        <f>'21.09'!E55+COUNTIF(E$11:E$40,$C55)</f>
        <v>4</v>
      </c>
      <c r="F55" s="80">
        <f>'21.09'!F55+COUNTIF(F$11:F$40,$C55)</f>
        <v>4</v>
      </c>
      <c r="G55" s="80">
        <f>'21.09'!G55+COUNTIF(G$11:G$40,$C55)</f>
        <v>4</v>
      </c>
    </row>
    <row r="56" spans="1:7" ht="23.25">
      <c r="A56" s="1"/>
      <c r="B56" s="1"/>
      <c r="C56" s="79" t="str">
        <f>'01.09'!C56</f>
        <v>*Л. Волейбол*</v>
      </c>
      <c r="D56" s="80">
        <f>'21.09'!D56+COUNTIF(D$11:D$40,$C56)</f>
        <v>1</v>
      </c>
      <c r="E56" s="80">
        <f>'21.09'!E56+COUNTIF(E$11:E$40,$C56)</f>
        <v>1</v>
      </c>
      <c r="F56" s="80">
        <f>'21.09'!F56+COUNTIF(F$11:F$40,$C56)</f>
        <v>1</v>
      </c>
      <c r="G56" s="80">
        <f>'21.09'!G56+COUNTIF(G$11:G$40,$C56)</f>
        <v>1</v>
      </c>
    </row>
    <row r="57" spans="1:7" ht="23.25">
      <c r="A57" s="1"/>
      <c r="B57" s="1"/>
      <c r="C57" s="79" t="str">
        <f>'01.09'!C57</f>
        <v>*Пр. Волейбол*</v>
      </c>
      <c r="D57" s="80">
        <f>'21.09'!D57+COUNTIF(D$11:D$40,$C57)</f>
        <v>8</v>
      </c>
      <c r="E57" s="80">
        <f>'21.09'!E57+COUNTIF(E$11:E$40,$C57)</f>
        <v>8</v>
      </c>
      <c r="F57" s="80">
        <f>'21.09'!F57+COUNTIF(F$11:F$40,$C57)</f>
        <v>8</v>
      </c>
      <c r="G57" s="80">
        <f>'21.09'!G57+COUNTIF(G$11:G$40,$C57)</f>
        <v>8</v>
      </c>
    </row>
    <row r="58" spans="1:7" ht="23.25">
      <c r="A58" s="1"/>
      <c r="B58" s="1"/>
      <c r="C58" s="79" t="str">
        <f>'01.09'!C58</f>
        <v>*Л. Лыжные гонки*</v>
      </c>
      <c r="D58" s="80">
        <f>'21.09'!D58+COUNTIF(D$11:D$40,$C58)</f>
        <v>0</v>
      </c>
      <c r="E58" s="80">
        <f>'21.09'!E58+COUNTIF(E$11:E$40,$C58)</f>
        <v>0</v>
      </c>
      <c r="F58" s="80">
        <f>'21.09'!F58+COUNTIF(F$11:F$40,$C58)</f>
        <v>0</v>
      </c>
      <c r="G58" s="80">
        <f>'21.09'!G58+COUNTIF(G$11:G$40,$C58)</f>
        <v>0</v>
      </c>
    </row>
    <row r="59" spans="1:7" ht="23.25">
      <c r="A59" s="1"/>
      <c r="B59" s="1"/>
      <c r="C59" s="79" t="str">
        <f>'01.09'!C59</f>
        <v>*Пр. Лыжные гонки*</v>
      </c>
      <c r="D59" s="80">
        <f>'21.09'!D59+COUNTIF(D$11:D$40,$C59)</f>
        <v>0</v>
      </c>
      <c r="E59" s="80">
        <f>'21.09'!E59+COUNTIF(E$11:E$40,$C59)</f>
        <v>0</v>
      </c>
      <c r="F59" s="80">
        <f>'21.09'!F59+COUNTIF(F$11:F$40,$C59)</f>
        <v>0</v>
      </c>
      <c r="G59" s="80">
        <f>'21.09'!G59+COUNTIF(G$11:G$40,$C59)</f>
        <v>0</v>
      </c>
    </row>
    <row r="60" spans="1:7" ht="23.25">
      <c r="A60" s="1"/>
      <c r="B60" s="1"/>
      <c r="C60" s="79" t="str">
        <f>'01.09'!C60</f>
        <v>*Л. Использование электронной*</v>
      </c>
      <c r="D60" s="80">
        <f>'21.09'!D60+COUNTIF(D$11:D$40,$C60)</f>
        <v>1</v>
      </c>
      <c r="E60" s="80">
        <f>'21.09'!E60+COUNTIF(E$11:E$40,$C60)</f>
        <v>0</v>
      </c>
      <c r="F60" s="80">
        <f>'21.09'!F60+COUNTIF(F$11:F$40,$C60)</f>
        <v>0</v>
      </c>
      <c r="G60" s="80">
        <f>'21.09'!G60+COUNTIF(G$11:G$40,$C60)</f>
        <v>0</v>
      </c>
    </row>
    <row r="61" spans="1:7" ht="23.25">
      <c r="A61" s="1"/>
      <c r="B61" s="1"/>
      <c r="C61" s="79" t="str">
        <f>'01.09'!C61</f>
        <v>*Пр. Использование электронной*</v>
      </c>
      <c r="D61" s="80">
        <f>'21.09'!D61+COUNTIF(D$11:D$40,$C61)</f>
        <v>1</v>
      </c>
      <c r="E61" s="80">
        <f>'21.09'!E61+COUNTIF(E$11:E$40,$C61)</f>
        <v>0</v>
      </c>
      <c r="F61" s="80">
        <f>'21.09'!F61+COUNTIF(F$11:F$40,$C61)</f>
        <v>1</v>
      </c>
      <c r="G61" s="80">
        <f>'21.09'!G61+COUNTIF(G$11:G$40,$C61)</f>
        <v>0</v>
      </c>
    </row>
    <row r="62" spans="1:7" ht="23.25">
      <c r="A62" s="1"/>
      <c r="B62" s="1"/>
      <c r="C62" s="79" t="str">
        <f>'01.09'!C62</f>
        <v>*Пр. Иностранный*</v>
      </c>
      <c r="D62" s="80">
        <f>'21.09'!D62+COUNTIF(D$11:D$40,$C62)</f>
        <v>4</v>
      </c>
      <c r="E62" s="80">
        <f>'21.09'!E62+COUNTIF(E$11:E$40,$C62)</f>
        <v>4</v>
      </c>
      <c r="F62" s="80">
        <f>'21.09'!F62+COUNTIF(F$11:F$40,$C62)</f>
        <v>4</v>
      </c>
      <c r="G62" s="80">
        <f>'21.09'!G62+COUNTIF(G$11:G$40,$C62)</f>
        <v>4</v>
      </c>
    </row>
    <row r="63" spans="1:7" ht="23.25">
      <c r="A63" s="1"/>
      <c r="B63" s="1"/>
      <c r="C63" s="79">
        <f>'01.09'!C63</f>
        <v>0</v>
      </c>
      <c r="D63" s="80">
        <f>'21.09'!D63+COUNTIF(D$11:D$40,$C63)</f>
        <v>0</v>
      </c>
      <c r="E63" s="80">
        <f>'21.09'!E63+COUNTIF(E$11:E$40,$C63)</f>
        <v>0</v>
      </c>
      <c r="F63" s="80">
        <f>'21.09'!F63+COUNTIF(F$11:F$40,$C63)</f>
        <v>0</v>
      </c>
      <c r="G63" s="80">
        <f>'21.09'!G63+COUNTIF(G$11:G$40,$C63)</f>
        <v>0</v>
      </c>
    </row>
    <row r="64" spans="1:7" ht="23.25">
      <c r="A64" s="1"/>
      <c r="B64" s="1"/>
      <c r="C64" s="79">
        <f>'01.09'!C64</f>
        <v>0</v>
      </c>
      <c r="D64" s="80">
        <f>'21.09'!D64+COUNTIF(D$11:D$40,$C64)</f>
        <v>0</v>
      </c>
      <c r="E64" s="80">
        <f>'21.09'!E64+COUNTIF(E$11:E$40,$C64)</f>
        <v>0</v>
      </c>
      <c r="F64" s="80">
        <f>'21.09'!F64+COUNTIF(F$11:F$40,$C64)</f>
        <v>0</v>
      </c>
      <c r="G64" s="80">
        <f>'21.09'!G64+COUNTIF(G$11:G$40,$C64)</f>
        <v>0</v>
      </c>
    </row>
    <row r="65" spans="1:7" ht="23.25">
      <c r="A65" s="1"/>
      <c r="B65" s="1"/>
      <c r="C65" s="79">
        <f>'01.09'!C65</f>
        <v>0</v>
      </c>
      <c r="D65" s="22">
        <f>'21.09'!D65+COUNTIF(D$11:D$40,$C65)</f>
        <v>0</v>
      </c>
      <c r="E65" s="22">
        <f>'21.09'!E65+COUNTIF(E$11:E$40,$C65)</f>
        <v>0</v>
      </c>
      <c r="F65" s="22">
        <f>'21.09'!F65+COUNTIF(F$11:F$40,$C65)</f>
        <v>0</v>
      </c>
      <c r="G65" s="22">
        <f>'21.09'!G65+COUNTIF(G$11:G$40,$C65)</f>
        <v>0</v>
      </c>
    </row>
    <row r="66" spans="1:7" ht="23.25">
      <c r="A66" s="1"/>
      <c r="B66" s="1"/>
      <c r="C66" s="79">
        <f>'01.09'!C66</f>
        <v>0</v>
      </c>
      <c r="D66" s="22">
        <f>'21.09'!D66+COUNTIF(D$11:D$40,$C66)</f>
        <v>0</v>
      </c>
      <c r="E66" s="22">
        <f>'21.09'!E66+COUNTIF(E$11:E$40,$C66)</f>
        <v>0</v>
      </c>
      <c r="F66" s="22">
        <f>'21.09'!F66+COUNTIF(F$11:F$40,$C66)</f>
        <v>0</v>
      </c>
      <c r="G66" s="22">
        <f>'21.09'!G66+COUNTIF(G$11:G$40,$C66)</f>
        <v>0</v>
      </c>
    </row>
    <row r="67" spans="1:7" ht="23.25">
      <c r="A67" s="1"/>
      <c r="B67" s="1"/>
      <c r="C67" s="79">
        <f>'01.09'!C67</f>
        <v>0</v>
      </c>
      <c r="D67" s="22">
        <f>'21.09'!D67+COUNTIF(D$11:D$40,$C67)</f>
        <v>0</v>
      </c>
      <c r="E67" s="22">
        <f>'21.09'!E67+COUNTIF(E$11:E$40,$C67)</f>
        <v>0</v>
      </c>
      <c r="F67" s="22">
        <f>'21.09'!F67+COUNTIF(F$11:F$40,$C67)</f>
        <v>0</v>
      </c>
      <c r="G67" s="22">
        <f>'21.09'!G67+COUNTIF(G$11:G$40,$C67)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B21:B25"/>
    <mergeCell ref="A11:A15"/>
    <mergeCell ref="A16:A20"/>
    <mergeCell ref="A9:A10"/>
    <mergeCell ref="C9:C10"/>
    <mergeCell ref="B11:B15"/>
    <mergeCell ref="B16:B20"/>
    <mergeCell ref="B9:B10"/>
    <mergeCell ref="A21:A25"/>
    <mergeCell ref="A36:A40"/>
    <mergeCell ref="B36:B40"/>
    <mergeCell ref="A26:A30"/>
    <mergeCell ref="A31:A3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I76"/>
  <sheetViews>
    <sheetView tabSelected="1" view="pageBreakPreview" topLeftCell="A22" zoomScale="40" zoomScaleNormal="40" zoomScaleSheetLayoutView="40" zoomScalePageLayoutView="40" workbookViewId="0">
      <selection activeCell="E28" sqref="E28"/>
    </sheetView>
  </sheetViews>
  <sheetFormatPr defaultRowHeight="15"/>
  <cols>
    <col min="1" max="2" width="4.42578125" customWidth="1"/>
    <col min="3" max="3" width="19.85546875" customWidth="1"/>
    <col min="4" max="7" width="74.4257812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5.25" customHeight="1" thickBot="1">
      <c r="A8" s="64"/>
      <c r="B8" s="64"/>
      <c r="C8" s="64"/>
      <c r="D8" s="64"/>
      <c r="E8" s="64"/>
      <c r="F8" s="64"/>
      <c r="G8" s="64"/>
    </row>
    <row r="9" spans="1:7" ht="29.25" customHeight="1" thickBot="1">
      <c r="A9" s="753" t="s">
        <v>76</v>
      </c>
      <c r="B9" s="753" t="s">
        <v>9</v>
      </c>
      <c r="C9" s="755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93" customHeight="1" thickBot="1">
      <c r="A10" s="754"/>
      <c r="B10" s="754"/>
      <c r="C10" s="756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93" customHeight="1">
      <c r="A11" s="752" t="s">
        <v>0</v>
      </c>
      <c r="B11" s="765">
        <v>46300</v>
      </c>
      <c r="C11" s="282" t="s">
        <v>5</v>
      </c>
      <c r="D11" s="519" t="s">
        <v>282</v>
      </c>
      <c r="E11" s="360" t="s">
        <v>286</v>
      </c>
      <c r="F11" s="360"/>
      <c r="G11" s="520" t="s">
        <v>352</v>
      </c>
    </row>
    <row r="12" spans="1:7" ht="93" customHeight="1">
      <c r="A12" s="760"/>
      <c r="B12" s="760"/>
      <c r="C12" s="283" t="s">
        <v>6</v>
      </c>
      <c r="D12" s="395" t="s">
        <v>348</v>
      </c>
      <c r="E12" s="442" t="s">
        <v>349</v>
      </c>
      <c r="F12" s="442" t="s">
        <v>351</v>
      </c>
      <c r="G12" s="397" t="s">
        <v>353</v>
      </c>
    </row>
    <row r="13" spans="1:7" ht="93" customHeight="1">
      <c r="A13" s="760"/>
      <c r="B13" s="760"/>
      <c r="C13" s="283" t="s">
        <v>7</v>
      </c>
      <c r="D13" s="395"/>
      <c r="E13" s="396" t="s">
        <v>350</v>
      </c>
      <c r="F13" s="396" t="s">
        <v>343</v>
      </c>
      <c r="G13" s="397" t="s">
        <v>285</v>
      </c>
    </row>
    <row r="14" spans="1:7" ht="129" customHeight="1">
      <c r="A14" s="760"/>
      <c r="B14" s="760"/>
      <c r="C14" s="283" t="s">
        <v>8</v>
      </c>
      <c r="D14" s="395"/>
      <c r="E14" s="442"/>
      <c r="F14" s="442" t="s">
        <v>285</v>
      </c>
      <c r="G14" s="397" t="s">
        <v>354</v>
      </c>
    </row>
    <row r="15" spans="1:7" ht="50.25" customHeight="1" thickBot="1">
      <c r="A15" s="760"/>
      <c r="B15" s="760"/>
      <c r="C15" s="284" t="s">
        <v>10</v>
      </c>
      <c r="D15" s="546"/>
      <c r="E15" s="547"/>
      <c r="F15" s="547"/>
      <c r="G15" s="548"/>
    </row>
    <row r="16" spans="1:7" ht="112.5" customHeight="1">
      <c r="A16" s="760" t="s">
        <v>1</v>
      </c>
      <c r="B16" s="759">
        <f>B11+1</f>
        <v>46301</v>
      </c>
      <c r="C16" s="282" t="s">
        <v>5</v>
      </c>
      <c r="D16" s="479"/>
      <c r="E16" s="404" t="s">
        <v>276</v>
      </c>
      <c r="F16" s="404" t="s">
        <v>277</v>
      </c>
      <c r="G16" s="476" t="s">
        <v>300</v>
      </c>
    </row>
    <row r="17" spans="1:9" ht="112.5" customHeight="1">
      <c r="A17" s="760"/>
      <c r="B17" s="760"/>
      <c r="C17" s="283" t="s">
        <v>6</v>
      </c>
      <c r="D17" s="364" t="s">
        <v>299</v>
      </c>
      <c r="E17" s="396" t="s">
        <v>276</v>
      </c>
      <c r="F17" s="396" t="s">
        <v>277</v>
      </c>
      <c r="G17" s="415" t="s">
        <v>300</v>
      </c>
    </row>
    <row r="18" spans="1:9" ht="78.75" customHeight="1">
      <c r="A18" s="760"/>
      <c r="B18" s="760"/>
      <c r="C18" s="283" t="s">
        <v>7</v>
      </c>
      <c r="D18" s="395" t="s">
        <v>278</v>
      </c>
      <c r="E18" s="396" t="s">
        <v>286</v>
      </c>
      <c r="F18" s="396" t="s">
        <v>355</v>
      </c>
      <c r="G18" s="397" t="s">
        <v>285</v>
      </c>
    </row>
    <row r="19" spans="1:9" ht="117" customHeight="1">
      <c r="A19" s="760"/>
      <c r="B19" s="760"/>
      <c r="C19" s="283" t="s">
        <v>8</v>
      </c>
      <c r="D19" s="395" t="s">
        <v>286</v>
      </c>
      <c r="E19" s="396" t="s">
        <v>278</v>
      </c>
      <c r="F19" s="396" t="s">
        <v>356</v>
      </c>
      <c r="G19" s="397"/>
    </row>
    <row r="20" spans="1:9" ht="78.75" customHeight="1" thickBot="1">
      <c r="A20" s="760"/>
      <c r="B20" s="760"/>
      <c r="C20" s="284" t="s">
        <v>10</v>
      </c>
      <c r="D20" s="399"/>
      <c r="E20" s="400"/>
      <c r="F20" s="400"/>
      <c r="G20" s="401"/>
      <c r="I20" s="2"/>
    </row>
    <row r="21" spans="1:9" ht="99.75" customHeight="1">
      <c r="A21" s="760" t="s">
        <v>2</v>
      </c>
      <c r="B21" s="759">
        <f>B16+1</f>
        <v>46302</v>
      </c>
      <c r="C21" s="282" t="s">
        <v>5</v>
      </c>
      <c r="D21" s="257" t="s">
        <v>283</v>
      </c>
      <c r="E21" s="326"/>
      <c r="F21" s="326" t="s">
        <v>285</v>
      </c>
      <c r="G21" s="398" t="s">
        <v>282</v>
      </c>
    </row>
    <row r="22" spans="1:9" ht="114.75" customHeight="1">
      <c r="A22" s="760"/>
      <c r="B22" s="760"/>
      <c r="C22" s="283" t="s">
        <v>6</v>
      </c>
      <c r="D22" s="623" t="s">
        <v>343</v>
      </c>
      <c r="E22" s="258" t="s">
        <v>284</v>
      </c>
      <c r="F22" s="442" t="s">
        <v>282</v>
      </c>
      <c r="G22" s="248" t="s">
        <v>290</v>
      </c>
    </row>
    <row r="23" spans="1:9" ht="99.75" customHeight="1">
      <c r="A23" s="760"/>
      <c r="B23" s="760"/>
      <c r="C23" s="283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  <c r="I23" s="2"/>
    </row>
    <row r="24" spans="1:9" ht="99.75" customHeight="1">
      <c r="A24" s="760"/>
      <c r="B24" s="760"/>
      <c r="C24" s="283" t="s">
        <v>8</v>
      </c>
      <c r="D24" s="257" t="s">
        <v>286</v>
      </c>
      <c r="E24" s="258" t="s">
        <v>289</v>
      </c>
      <c r="F24" s="258"/>
      <c r="G24" s="614" t="s">
        <v>307</v>
      </c>
    </row>
    <row r="25" spans="1:9" ht="37.5" customHeight="1" thickBot="1">
      <c r="A25" s="760"/>
      <c r="B25" s="760"/>
      <c r="C25" s="284" t="s">
        <v>10</v>
      </c>
      <c r="D25" s="265"/>
      <c r="E25" s="315"/>
      <c r="F25" s="315"/>
      <c r="G25" s="316"/>
    </row>
    <row r="26" spans="1:9" ht="54" customHeight="1">
      <c r="A26" s="748" t="s">
        <v>3</v>
      </c>
      <c r="B26" s="747">
        <f>B21+1</f>
        <v>46303</v>
      </c>
      <c r="C26" s="55" t="s">
        <v>5</v>
      </c>
      <c r="D26" s="289"/>
      <c r="E26" s="329"/>
      <c r="F26" s="329"/>
      <c r="G26" s="334"/>
    </row>
    <row r="27" spans="1:9" ht="54" customHeight="1">
      <c r="A27" s="761"/>
      <c r="B27" s="748"/>
      <c r="C27" s="54" t="s">
        <v>6</v>
      </c>
      <c r="D27" s="335"/>
      <c r="E27" s="358"/>
      <c r="F27" s="358"/>
      <c r="G27" s="359"/>
    </row>
    <row r="28" spans="1:9" ht="93.75" customHeight="1">
      <c r="A28" s="761"/>
      <c r="B28" s="748"/>
      <c r="C28" s="54" t="s">
        <v>7</v>
      </c>
      <c r="D28" s="395"/>
      <c r="E28" s="442"/>
      <c r="F28" s="442" t="s">
        <v>290</v>
      </c>
      <c r="G28" s="397"/>
    </row>
    <row r="29" spans="1:9" ht="78.75" customHeight="1">
      <c r="A29" s="761"/>
      <c r="B29" s="748"/>
      <c r="C29" s="54" t="s">
        <v>8</v>
      </c>
      <c r="D29" s="395"/>
      <c r="E29" s="442"/>
      <c r="F29" s="442" t="s">
        <v>287</v>
      </c>
      <c r="G29" s="248"/>
    </row>
    <row r="30" spans="1:9" ht="41.25" customHeight="1" thickBot="1">
      <c r="A30" s="761"/>
      <c r="B30" s="748"/>
      <c r="C30" s="56" t="s">
        <v>10</v>
      </c>
      <c r="D30" s="265"/>
      <c r="E30" s="474"/>
      <c r="F30" s="474"/>
      <c r="G30" s="475"/>
    </row>
    <row r="31" spans="1:9" ht="92.25" customHeight="1">
      <c r="A31" s="748" t="s">
        <v>4</v>
      </c>
      <c r="B31" s="747">
        <f>B26+1</f>
        <v>46304</v>
      </c>
      <c r="C31" s="40" t="s">
        <v>5</v>
      </c>
      <c r="D31" s="254" t="s">
        <v>357</v>
      </c>
      <c r="E31" s="255"/>
      <c r="F31" s="255"/>
      <c r="G31" s="334" t="s">
        <v>288</v>
      </c>
    </row>
    <row r="32" spans="1:9" ht="92.25" customHeight="1">
      <c r="A32" s="748"/>
      <c r="B32" s="748"/>
      <c r="C32" s="41" t="s">
        <v>6</v>
      </c>
      <c r="D32" s="257" t="s">
        <v>283</v>
      </c>
      <c r="E32" s="358" t="s">
        <v>358</v>
      </c>
      <c r="F32" s="442" t="s">
        <v>287</v>
      </c>
      <c r="G32" s="397" t="s">
        <v>357</v>
      </c>
    </row>
    <row r="33" spans="1:7" ht="118.5" customHeight="1">
      <c r="A33" s="748"/>
      <c r="B33" s="748"/>
      <c r="C33" s="41" t="s">
        <v>7</v>
      </c>
      <c r="D33" s="364" t="s">
        <v>299</v>
      </c>
      <c r="E33" s="396" t="s">
        <v>276</v>
      </c>
      <c r="F33" s="396" t="s">
        <v>277</v>
      </c>
      <c r="G33" s="415" t="s">
        <v>300</v>
      </c>
    </row>
    <row r="34" spans="1:7" ht="111">
      <c r="A34" s="748"/>
      <c r="B34" s="748"/>
      <c r="C34" s="41" t="s">
        <v>8</v>
      </c>
      <c r="D34" s="395" t="s">
        <v>297</v>
      </c>
      <c r="E34" s="396" t="s">
        <v>151</v>
      </c>
      <c r="F34" s="396" t="s">
        <v>152</v>
      </c>
      <c r="G34" s="415" t="s">
        <v>298</v>
      </c>
    </row>
    <row r="35" spans="1:7" ht="33" customHeight="1" thickBot="1">
      <c r="A35" s="748"/>
      <c r="B35" s="748"/>
      <c r="C35" s="42" t="s">
        <v>10</v>
      </c>
      <c r="D35" s="362"/>
      <c r="E35" s="363"/>
      <c r="F35" s="315"/>
      <c r="G35" s="445"/>
    </row>
    <row r="36" spans="1:7" ht="36.75" customHeight="1">
      <c r="A36" s="762" t="s">
        <v>18</v>
      </c>
      <c r="B36" s="764">
        <f>B31+1</f>
        <v>46305</v>
      </c>
      <c r="C36" s="387" t="s">
        <v>5</v>
      </c>
      <c r="D36" s="208"/>
      <c r="E36" s="96"/>
      <c r="F36" s="96"/>
      <c r="G36" s="231"/>
    </row>
    <row r="37" spans="1:7" ht="36.75" customHeight="1">
      <c r="A37" s="762"/>
      <c r="B37" s="762"/>
      <c r="C37" s="388" t="s">
        <v>6</v>
      </c>
      <c r="D37" s="209"/>
      <c r="E37" s="380"/>
      <c r="F37" s="380"/>
      <c r="G37" s="233"/>
    </row>
    <row r="38" spans="1:7" ht="36.75" customHeight="1">
      <c r="A38" s="762"/>
      <c r="B38" s="762"/>
      <c r="C38" s="388" t="s">
        <v>7</v>
      </c>
      <c r="D38" s="209"/>
      <c r="E38" s="380"/>
      <c r="F38" s="380"/>
      <c r="G38" s="381"/>
    </row>
    <row r="39" spans="1:7" ht="36.75" customHeight="1">
      <c r="A39" s="762"/>
      <c r="B39" s="762"/>
      <c r="C39" s="388" t="s">
        <v>8</v>
      </c>
      <c r="D39" s="209"/>
      <c r="E39" s="210"/>
      <c r="F39" s="210"/>
      <c r="G39" s="248"/>
    </row>
    <row r="40" spans="1:7" ht="36.75" customHeight="1" thickBot="1">
      <c r="A40" s="763"/>
      <c r="B40" s="763"/>
      <c r="C40" s="389" t="s">
        <v>10</v>
      </c>
      <c r="D40" s="375"/>
      <c r="E40" s="376"/>
      <c r="F40" s="376"/>
      <c r="G40" s="377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3.25">
      <c r="A42" s="1"/>
      <c r="B42" s="1"/>
      <c r="C42" s="79" t="str">
        <f>'01.09'!C42</f>
        <v>*Л. Речевое общение в профессиональной деятельности*</v>
      </c>
      <c r="D42" s="80">
        <f>'28.09'!D42+COUNTIF(D$11:D$40,$C42)</f>
        <v>5</v>
      </c>
      <c r="E42" s="80">
        <f>'28.09'!E42+COUNTIF(E$11:E$40,$C42)</f>
        <v>5</v>
      </c>
      <c r="F42" s="80">
        <f>'28.09'!F42+COUNTIF(F$11:F$40,$C42)</f>
        <v>5</v>
      </c>
      <c r="G42" s="80">
        <f>'28.09'!G42+COUNTIF(G$11:G$40,$C42)</f>
        <v>5</v>
      </c>
    </row>
    <row r="43" spans="1:7" ht="23.25">
      <c r="A43" s="1"/>
      <c r="B43" s="1"/>
      <c r="C43" s="79" t="str">
        <f>'01.09'!C43</f>
        <v>*Пр. Речевое общение в профессиональной деятельности*</v>
      </c>
      <c r="D43" s="80">
        <f>'28.09'!D43+COUNTIF(D$11:D$40,$C43)</f>
        <v>1</v>
      </c>
      <c r="E43" s="80">
        <f>'28.09'!E43+COUNTIF(E$11:E$40,$C43)</f>
        <v>1</v>
      </c>
      <c r="F43" s="80">
        <f>'28.09'!F43+COUNTIF(F$11:F$40,$C43)</f>
        <v>1</v>
      </c>
      <c r="G43" s="80">
        <f>'28.09'!G43+COUNTIF(G$11:G$40,$C43)</f>
        <v>1</v>
      </c>
    </row>
    <row r="44" spans="1:7" ht="23.25">
      <c r="A44" s="1"/>
      <c r="B44" s="1"/>
      <c r="C44" s="79" t="str">
        <f>'01.09'!C44</f>
        <v>*Л. Физическая культура и спорт*</v>
      </c>
      <c r="D44" s="80">
        <f>'28.09'!D44+COUNTIF(D$11:D$40,$C44)</f>
        <v>5</v>
      </c>
      <c r="E44" s="80">
        <f>'28.09'!E44+COUNTIF(E$11:E$40,$C44)</f>
        <v>5</v>
      </c>
      <c r="F44" s="80">
        <f>'28.09'!F44+COUNTIF(F$11:F$40,$C44)</f>
        <v>5</v>
      </c>
      <c r="G44" s="80">
        <f>'28.09'!G44+COUNTIF(G$11:G$40,$C44)</f>
        <v>5</v>
      </c>
    </row>
    <row r="45" spans="1:7" ht="23.25">
      <c r="A45" s="1"/>
      <c r="B45" s="1"/>
      <c r="C45" s="79" t="str">
        <f>'01.09'!C45</f>
        <v>*Пр. Физическая культура и спорт*</v>
      </c>
      <c r="D45" s="80">
        <f>'28.09'!D45+COUNTIF(D$11:D$40,$C45)</f>
        <v>2</v>
      </c>
      <c r="E45" s="80">
        <f>'28.09'!E45+COUNTIF(E$11:E$40,$C45)</f>
        <v>2</v>
      </c>
      <c r="F45" s="80">
        <f>'28.09'!F45+COUNTIF(F$11:F$40,$C45)</f>
        <v>2</v>
      </c>
      <c r="G45" s="80">
        <f>'28.09'!G45+COUNTIF(G$11:G$40,$C45)</f>
        <v>2</v>
      </c>
    </row>
    <row r="46" spans="1:7" ht="23.25">
      <c r="A46" s="1"/>
      <c r="B46" s="1"/>
      <c r="C46" s="79" t="str">
        <f>'01.09'!C46</f>
        <v>*Л. Анатомия*</v>
      </c>
      <c r="D46" s="80">
        <f>'28.09'!D46+COUNTIF(D$11:D$40,$C46)</f>
        <v>4</v>
      </c>
      <c r="E46" s="80">
        <f>'28.09'!E46+COUNTIF(E$11:E$40,$C46)</f>
        <v>4</v>
      </c>
      <c r="F46" s="80">
        <f>'28.09'!F46+COUNTIF(F$11:F$40,$C46)</f>
        <v>4</v>
      </c>
      <c r="G46" s="80">
        <f>'28.09'!G46+COUNTIF(G$11:G$40,$C46)</f>
        <v>4</v>
      </c>
    </row>
    <row r="47" spans="1:7" ht="23.25">
      <c r="A47" s="1"/>
      <c r="B47" s="1"/>
      <c r="C47" s="79" t="str">
        <f>'01.09'!C47</f>
        <v>*Пр. Анатомия*</v>
      </c>
      <c r="D47" s="80">
        <f>'28.09'!D47+COUNTIF(D$11:D$40,$C47)</f>
        <v>1</v>
      </c>
      <c r="E47" s="80">
        <f>'28.09'!E47+COUNTIF(E$11:E$40,$C47)</f>
        <v>1</v>
      </c>
      <c r="F47" s="80">
        <f>'28.09'!F47+COUNTIF(F$11:F$40,$C47)</f>
        <v>1</v>
      </c>
      <c r="G47" s="80">
        <f>'28.09'!G47+COUNTIF(G$11:G$40,$C47)</f>
        <v>1</v>
      </c>
    </row>
    <row r="48" spans="1:7" ht="23.25">
      <c r="A48" s="1"/>
      <c r="B48" s="1"/>
      <c r="C48" s="79" t="str">
        <f>'01.09'!C48</f>
        <v>*Л. Теория и методика*</v>
      </c>
      <c r="D48" s="80">
        <f>'28.09'!D48+COUNTIF(D$11:D$40,$C48)</f>
        <v>3</v>
      </c>
      <c r="E48" s="80">
        <f>'28.09'!E48+COUNTIF(E$11:E$40,$C48)</f>
        <v>3</v>
      </c>
      <c r="F48" s="80">
        <f>'28.09'!F48+COUNTIF(F$11:F$40,$C48)</f>
        <v>3</v>
      </c>
      <c r="G48" s="80">
        <f>'28.09'!G48+COUNTIF(G$11:G$40,$C48)</f>
        <v>3</v>
      </c>
    </row>
    <row r="49" spans="1:7" ht="23.25">
      <c r="A49" s="1"/>
      <c r="B49" s="1"/>
      <c r="C49" s="79" t="str">
        <f>'01.09'!C49</f>
        <v>*Пр. Теория и методика*</v>
      </c>
      <c r="D49" s="80">
        <f>'28.09'!D49+COUNTIF(D$11:D$40,$C49)</f>
        <v>17</v>
      </c>
      <c r="E49" s="80">
        <f>'28.09'!E49+COUNTIF(E$11:E$40,$C49)</f>
        <v>18</v>
      </c>
      <c r="F49" s="80">
        <f>'28.09'!F49+COUNTIF(F$11:F$40,$C49)</f>
        <v>18</v>
      </c>
      <c r="G49" s="80">
        <f>'28.09'!G49+COUNTIF(G$11:G$40,$C49)</f>
        <v>18</v>
      </c>
    </row>
    <row r="50" spans="1:7" ht="23.25">
      <c r="A50" s="1"/>
      <c r="B50" s="1"/>
      <c r="C50" s="79" t="str">
        <f>'01.09'!C50</f>
        <v>*Л. Информационные технологии*</v>
      </c>
      <c r="D50" s="80">
        <f>'28.09'!D50+COUNTIF(D$11:D$40,$C50)</f>
        <v>2</v>
      </c>
      <c r="E50" s="80">
        <f>'28.09'!E50+COUNTIF(E$11:E$40,$C50)</f>
        <v>2</v>
      </c>
      <c r="F50" s="80">
        <f>'28.09'!F50+COUNTIF(F$11:F$40,$C50)</f>
        <v>2</v>
      </c>
      <c r="G50" s="80">
        <f>'28.09'!G50+COUNTIF(G$11:G$40,$C50)</f>
        <v>2</v>
      </c>
    </row>
    <row r="51" spans="1:7" ht="23.25">
      <c r="A51" s="1"/>
      <c r="B51" s="1"/>
      <c r="C51" s="79" t="str">
        <f>'01.09'!C51</f>
        <v>*Пр. Информационные технологии*</v>
      </c>
      <c r="D51" s="80">
        <f>'28.09'!D51+COUNTIF(D$11:D$40,$C51)</f>
        <v>5</v>
      </c>
      <c r="E51" s="80">
        <f>'28.09'!E51+COUNTIF(E$11:E$40,$C51)</f>
        <v>5</v>
      </c>
      <c r="F51" s="80">
        <f>'28.09'!F51+COUNTIF(F$11:F$40,$C51)</f>
        <v>5</v>
      </c>
      <c r="G51" s="80">
        <f>'28.09'!G51+COUNTIF(G$11:G$40,$C51)</f>
        <v>5</v>
      </c>
    </row>
    <row r="52" spans="1:7" ht="23.25">
      <c r="A52" s="1"/>
      <c r="B52" s="1"/>
      <c r="C52" s="79" t="str">
        <f>'01.09'!C52</f>
        <v>*Л. Гимнастика*</v>
      </c>
      <c r="D52" s="80">
        <f>'28.09'!D52+COUNTIF(D$11:D$40,$C52)</f>
        <v>3</v>
      </c>
      <c r="E52" s="80">
        <f>'28.09'!E52+COUNTIF(E$11:E$40,$C52)</f>
        <v>3</v>
      </c>
      <c r="F52" s="80">
        <f>'28.09'!F52+COUNTIF(F$11:F$40,$C52)</f>
        <v>3</v>
      </c>
      <c r="G52" s="80">
        <f>'28.09'!G52+COUNTIF(G$11:G$40,$C52)</f>
        <v>3</v>
      </c>
    </row>
    <row r="53" spans="1:7" ht="23.25">
      <c r="A53" s="1"/>
      <c r="B53" s="1"/>
      <c r="C53" s="79" t="str">
        <f>'01.09'!C53</f>
        <v>*Пр. Гимнастика*</v>
      </c>
      <c r="D53" s="80">
        <f>'28.09'!D53+COUNTIF(D$11:D$40,$C53)</f>
        <v>7</v>
      </c>
      <c r="E53" s="80">
        <f>'28.09'!E53+COUNTIF(E$11:E$40,$C53)</f>
        <v>9</v>
      </c>
      <c r="F53" s="80">
        <f>'28.09'!F53+COUNTIF(F$11:F$40,$C53)</f>
        <v>6</v>
      </c>
      <c r="G53" s="80">
        <f>'28.09'!G53+COUNTIF(G$11:G$40,$C53)</f>
        <v>6</v>
      </c>
    </row>
    <row r="54" spans="1:7" ht="23.25">
      <c r="A54" s="1"/>
      <c r="B54" s="1"/>
      <c r="C54" s="79" t="str">
        <f>'01.09'!C54</f>
        <v>*Л. Элективные дисциплины по ФКиС: Подвижные игры*</v>
      </c>
      <c r="D54" s="80">
        <f>'28.09'!D54+COUNTIF(D$11:D$40,$C54)</f>
        <v>1</v>
      </c>
      <c r="E54" s="80">
        <f>'28.09'!E54+COUNTIF(E$11:E$40,$C54)</f>
        <v>1</v>
      </c>
      <c r="F54" s="80">
        <f>'28.09'!F54+COUNTIF(F$11:F$40,$C54)</f>
        <v>1</v>
      </c>
      <c r="G54" s="80">
        <f>'28.09'!G54+COUNTIF(G$11:G$40,$C54)</f>
        <v>1</v>
      </c>
    </row>
    <row r="55" spans="1:7" ht="23.25">
      <c r="A55" s="1"/>
      <c r="B55" s="1"/>
      <c r="C55" s="79" t="str">
        <f>'01.09'!C55</f>
        <v>*Пр. Элективные дисциплины по ФКиС: Подвижные игры*</v>
      </c>
      <c r="D55" s="80">
        <f>'28.09'!D55+COUNTIF(D$11:D$40,$C55)</f>
        <v>5</v>
      </c>
      <c r="E55" s="80">
        <f>'28.09'!E55+COUNTIF(E$11:E$40,$C55)</f>
        <v>5</v>
      </c>
      <c r="F55" s="80">
        <f>'28.09'!F55+COUNTIF(F$11:F$40,$C55)</f>
        <v>5</v>
      </c>
      <c r="G55" s="80">
        <f>'28.09'!G55+COUNTIF(G$11:G$40,$C55)</f>
        <v>5</v>
      </c>
    </row>
    <row r="56" spans="1:7" ht="23.25">
      <c r="A56" s="1"/>
      <c r="B56" s="1"/>
      <c r="C56" s="79" t="str">
        <f>'01.09'!C56</f>
        <v>*Л. Волейбол*</v>
      </c>
      <c r="D56" s="80">
        <f>'28.09'!D56+COUNTIF(D$11:D$40,$C56)</f>
        <v>1</v>
      </c>
      <c r="E56" s="80">
        <f>'28.09'!E56+COUNTIF(E$11:E$40,$C56)</f>
        <v>1</v>
      </c>
      <c r="F56" s="80">
        <f>'28.09'!F56+COUNTIF(F$11:F$40,$C56)</f>
        <v>1</v>
      </c>
      <c r="G56" s="80">
        <f>'28.09'!G56+COUNTIF(G$11:G$40,$C56)</f>
        <v>1</v>
      </c>
    </row>
    <row r="57" spans="1:7" ht="23.25">
      <c r="A57" s="1"/>
      <c r="B57" s="1"/>
      <c r="C57" s="79" t="str">
        <f>'01.09'!C57</f>
        <v>*Пр. Волейбол*</v>
      </c>
      <c r="D57" s="80">
        <f>'28.09'!D57+COUNTIF(D$11:D$40,$C57)</f>
        <v>10</v>
      </c>
      <c r="E57" s="80">
        <f>'28.09'!E57+COUNTIF(E$11:E$40,$C57)</f>
        <v>10</v>
      </c>
      <c r="F57" s="80">
        <f>'28.09'!F57+COUNTIF(F$11:F$40,$C57)</f>
        <v>10</v>
      </c>
      <c r="G57" s="80">
        <f>'28.09'!G57+COUNTIF(G$11:G$40,$C57)</f>
        <v>10</v>
      </c>
    </row>
    <row r="58" spans="1:7" ht="23.25">
      <c r="A58" s="1"/>
      <c r="B58" s="1"/>
      <c r="C58" s="79" t="str">
        <f>'01.09'!C58</f>
        <v>*Л. Лыжные гонки*</v>
      </c>
      <c r="D58" s="80">
        <f>'28.09'!D58+COUNTIF(D$11:D$40,$C58)</f>
        <v>0</v>
      </c>
      <c r="E58" s="80">
        <f>'28.09'!E58+COUNTIF(E$11:E$40,$C58)</f>
        <v>0</v>
      </c>
      <c r="F58" s="80">
        <f>'28.09'!F58+COUNTIF(F$11:F$40,$C58)</f>
        <v>0</v>
      </c>
      <c r="G58" s="80">
        <f>'28.09'!G58+COUNTIF(G$11:G$40,$C58)</f>
        <v>0</v>
      </c>
    </row>
    <row r="59" spans="1:7" ht="23.25">
      <c r="A59" s="1"/>
      <c r="B59" s="1"/>
      <c r="C59" s="79" t="str">
        <f>'01.09'!C59</f>
        <v>*Пр. Лыжные гонки*</v>
      </c>
      <c r="D59" s="80">
        <f>'28.09'!D59+COUNTIF(D$11:D$40,$C59)</f>
        <v>0</v>
      </c>
      <c r="E59" s="80">
        <f>'28.09'!E59+COUNTIF(E$11:E$40,$C59)</f>
        <v>0</v>
      </c>
      <c r="F59" s="80">
        <f>'28.09'!F59+COUNTIF(F$11:F$40,$C59)</f>
        <v>0</v>
      </c>
      <c r="G59" s="80">
        <f>'28.09'!G59+COUNTIF(G$11:G$40,$C59)</f>
        <v>0</v>
      </c>
    </row>
    <row r="60" spans="1:7" ht="23.25">
      <c r="A60" s="1"/>
      <c r="B60" s="1"/>
      <c r="C60" s="79" t="str">
        <f>'01.09'!C60</f>
        <v>*Л. Использование электронной*</v>
      </c>
      <c r="D60" s="80">
        <f>'28.09'!D60+COUNTIF(D$11:D$40,$C60)</f>
        <v>1</v>
      </c>
      <c r="E60" s="80">
        <f>'28.09'!E60+COUNTIF(E$11:E$40,$C60)</f>
        <v>0</v>
      </c>
      <c r="F60" s="80">
        <f>'28.09'!F60+COUNTIF(F$11:F$40,$C60)</f>
        <v>0</v>
      </c>
      <c r="G60" s="80">
        <f>'28.09'!G60+COUNTIF(G$11:G$40,$C60)</f>
        <v>0</v>
      </c>
    </row>
    <row r="61" spans="1:7" ht="23.25">
      <c r="A61" s="1"/>
      <c r="B61" s="1"/>
      <c r="C61" s="79" t="str">
        <f>'01.09'!C61</f>
        <v>*Пр. Использование электронной*</v>
      </c>
      <c r="D61" s="80">
        <f>'28.09'!D61+COUNTIF(D$11:D$40,$C61)</f>
        <v>1</v>
      </c>
      <c r="E61" s="80">
        <f>'28.09'!E61+COUNTIF(E$11:E$40,$C61)</f>
        <v>0</v>
      </c>
      <c r="F61" s="80">
        <f>'28.09'!F61+COUNTIF(F$11:F$40,$C61)</f>
        <v>2</v>
      </c>
      <c r="G61" s="80">
        <f>'28.09'!G61+COUNTIF(G$11:G$40,$C61)</f>
        <v>1</v>
      </c>
    </row>
    <row r="62" spans="1:7" ht="23.25">
      <c r="A62" s="1"/>
      <c r="B62" s="1"/>
      <c r="C62" s="79" t="str">
        <f>'01.09'!C62</f>
        <v>*Пр. Иностранный*</v>
      </c>
      <c r="D62" s="80">
        <f>'28.09'!D62+COUNTIF(D$11:D$40,$C62)</f>
        <v>5</v>
      </c>
      <c r="E62" s="80">
        <f>'28.09'!E62+COUNTIF(E$11:E$40,$C62)</f>
        <v>5</v>
      </c>
      <c r="F62" s="80">
        <f>'28.09'!F62+COUNTIF(F$11:F$40,$C62)</f>
        <v>5</v>
      </c>
      <c r="G62" s="80">
        <f>'28.09'!G62+COUNTIF(G$11:G$40,$C62)</f>
        <v>5</v>
      </c>
    </row>
    <row r="63" spans="1:7" ht="23.25">
      <c r="A63" s="1"/>
      <c r="B63" s="1"/>
      <c r="C63" s="79">
        <f>'01.09'!C63</f>
        <v>0</v>
      </c>
      <c r="D63" s="80">
        <f>'28.09'!D63+COUNTIF(D$11:D$40,$C63)</f>
        <v>0</v>
      </c>
      <c r="E63" s="80">
        <f>'28.09'!E63+COUNTIF(E$11:E$40,$C63)</f>
        <v>0</v>
      </c>
      <c r="F63" s="80">
        <f>'28.09'!F63+COUNTIF(F$11:F$40,$C63)</f>
        <v>0</v>
      </c>
      <c r="G63" s="80">
        <f>'28.09'!G63+COUNTIF(G$11:G$40,$C63)</f>
        <v>0</v>
      </c>
    </row>
    <row r="64" spans="1:7" ht="23.25">
      <c r="A64" s="1"/>
      <c r="B64" s="1"/>
      <c r="C64" s="79">
        <f>'01.09'!C64</f>
        <v>0</v>
      </c>
      <c r="D64" s="80">
        <f>'28.09'!D64+COUNTIF(D$11:D$40,$C64)</f>
        <v>0</v>
      </c>
      <c r="E64" s="80">
        <f>'28.09'!E64+COUNTIF(E$11:E$40,$C64)</f>
        <v>0</v>
      </c>
      <c r="F64" s="80">
        <f>'28.09'!F64+COUNTIF(F$11:F$40,$C64)</f>
        <v>0</v>
      </c>
      <c r="G64" s="80">
        <f>'28.09'!G64+COUNTIF(G$11:G$40,$C64)</f>
        <v>0</v>
      </c>
    </row>
    <row r="65" spans="1:7" ht="23.25">
      <c r="A65" s="1"/>
      <c r="B65" s="1"/>
      <c r="C65" s="79">
        <f>'01.09'!C65</f>
        <v>0</v>
      </c>
      <c r="D65" s="22">
        <f>'28.09'!D65+COUNTIF(D$11:D$40,$C65)</f>
        <v>0</v>
      </c>
      <c r="E65" s="22">
        <f>'28.09'!E65+COUNTIF(E$11:E$40,$C65)</f>
        <v>0</v>
      </c>
      <c r="F65" s="22">
        <f>'28.09'!F65+COUNTIF(F$11:F$40,$C65)</f>
        <v>0</v>
      </c>
      <c r="G65" s="22">
        <f>'28.09'!G65+COUNTIF(G$11:G$40,$C65)</f>
        <v>0</v>
      </c>
    </row>
    <row r="66" spans="1:7" ht="23.25">
      <c r="A66" s="1"/>
      <c r="B66" s="1"/>
      <c r="C66" s="79">
        <f>'01.09'!C66</f>
        <v>0</v>
      </c>
      <c r="D66" s="22">
        <f>'28.09'!D66+COUNTIF(D$11:D$40,$C66)</f>
        <v>0</v>
      </c>
      <c r="E66" s="22">
        <f>'28.09'!E66+COUNTIF(E$11:E$40,$C66)</f>
        <v>0</v>
      </c>
      <c r="F66" s="22">
        <f>'28.09'!F66+COUNTIF(F$11:F$40,$C66)</f>
        <v>0</v>
      </c>
      <c r="G66" s="22">
        <f>'28.09'!G66+COUNTIF(G$11:G$40,$C66)</f>
        <v>0</v>
      </c>
    </row>
    <row r="67" spans="1:7" ht="23.25">
      <c r="A67" s="1"/>
      <c r="B67" s="1"/>
      <c r="C67" s="79">
        <f>'01.09'!C67</f>
        <v>0</v>
      </c>
      <c r="D67" s="22">
        <f>'28.09'!D67+COUNTIF(D$11:D$40,$C67)</f>
        <v>0</v>
      </c>
      <c r="E67" s="22">
        <f>'28.09'!E67+COUNTIF(E$11:E$40,$C67)</f>
        <v>0</v>
      </c>
      <c r="F67" s="22">
        <f>'28.09'!F67+COUNTIF(F$11:F$40,$C67)</f>
        <v>0</v>
      </c>
      <c r="G67" s="22">
        <f>'28.09'!G67+COUNTIF(G$11:G$40,$C67)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B9:B10"/>
    <mergeCell ref="A9:A10"/>
    <mergeCell ref="C9:C10"/>
    <mergeCell ref="A26:A30"/>
    <mergeCell ref="A31:A35"/>
    <mergeCell ref="B21:B25"/>
    <mergeCell ref="B26:B30"/>
    <mergeCell ref="B31:B35"/>
    <mergeCell ref="B11:B15"/>
    <mergeCell ref="B16:B20"/>
    <mergeCell ref="A21:A25"/>
    <mergeCell ref="A11:A15"/>
    <mergeCell ref="A16:A20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76"/>
  <sheetViews>
    <sheetView view="pageBreakPreview" topLeftCell="A28" zoomScale="40" zoomScaleNormal="40" zoomScaleSheetLayoutView="40" zoomScalePageLayoutView="40" workbookViewId="0">
      <selection activeCell="E37" sqref="E37"/>
    </sheetView>
  </sheetViews>
  <sheetFormatPr defaultRowHeight="15"/>
  <cols>
    <col min="1" max="2" width="4.42578125" customWidth="1"/>
    <col min="3" max="3" width="23.7109375" customWidth="1"/>
    <col min="4" max="7" width="73.710937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9" customHeight="1" thickBot="1">
      <c r="A8" s="65"/>
      <c r="B8" s="66"/>
      <c r="C8" s="66"/>
      <c r="D8" s="66"/>
      <c r="E8" s="66"/>
      <c r="F8" s="66"/>
      <c r="G8" s="66"/>
    </row>
    <row r="9" spans="1:7" ht="29.25" customHeight="1" thickBot="1">
      <c r="A9" s="771" t="s">
        <v>76</v>
      </c>
      <c r="B9" s="771" t="s">
        <v>9</v>
      </c>
      <c r="C9" s="769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93" customHeight="1" thickBot="1">
      <c r="A10" s="772"/>
      <c r="B10" s="772"/>
      <c r="C10" s="770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4.75" customHeight="1">
      <c r="A11" s="715" t="s">
        <v>0</v>
      </c>
      <c r="B11" s="716">
        <v>46307</v>
      </c>
      <c r="C11" s="46" t="s">
        <v>5</v>
      </c>
      <c r="D11" s="519" t="s">
        <v>282</v>
      </c>
      <c r="E11" s="360" t="s">
        <v>286</v>
      </c>
      <c r="F11" s="360"/>
      <c r="G11" s="476" t="s">
        <v>352</v>
      </c>
    </row>
    <row r="12" spans="1:7" ht="84.75" customHeight="1">
      <c r="A12" s="707"/>
      <c r="B12" s="707"/>
      <c r="C12" s="47" t="s">
        <v>6</v>
      </c>
      <c r="D12" s="364" t="s">
        <v>348</v>
      </c>
      <c r="E12" s="434" t="s">
        <v>349</v>
      </c>
      <c r="F12" s="434" t="s">
        <v>351</v>
      </c>
      <c r="G12" s="625" t="s">
        <v>353</v>
      </c>
    </row>
    <row r="13" spans="1:7" ht="84.75" customHeight="1">
      <c r="A13" s="707"/>
      <c r="B13" s="707"/>
      <c r="C13" s="47" t="s">
        <v>7</v>
      </c>
      <c r="D13" s="414" t="s">
        <v>350</v>
      </c>
      <c r="E13" s="624"/>
      <c r="F13" s="624" t="s">
        <v>343</v>
      </c>
      <c r="G13" s="397" t="s">
        <v>285</v>
      </c>
    </row>
    <row r="14" spans="1:7" ht="84.75" customHeight="1">
      <c r="A14" s="707"/>
      <c r="B14" s="707"/>
      <c r="C14" s="47" t="s">
        <v>8</v>
      </c>
      <c r="D14" s="395"/>
      <c r="E14" s="442"/>
      <c r="F14" s="442" t="s">
        <v>285</v>
      </c>
      <c r="G14" s="397" t="s">
        <v>309</v>
      </c>
    </row>
    <row r="15" spans="1:7" ht="84.75" customHeight="1" thickBot="1">
      <c r="A15" s="707"/>
      <c r="B15" s="707"/>
      <c r="C15" s="48" t="s">
        <v>10</v>
      </c>
      <c r="D15" s="428"/>
      <c r="E15" s="627"/>
      <c r="F15" s="627"/>
      <c r="G15" s="429"/>
    </row>
    <row r="16" spans="1:7" ht="115.5" customHeight="1">
      <c r="A16" s="707" t="s">
        <v>1</v>
      </c>
      <c r="B16" s="709">
        <f>B11+1</f>
        <v>46308</v>
      </c>
      <c r="C16" s="46" t="s">
        <v>5</v>
      </c>
      <c r="D16" s="479"/>
      <c r="E16" s="404" t="s">
        <v>276</v>
      </c>
      <c r="F16" s="404" t="s">
        <v>277</v>
      </c>
      <c r="G16" s="559" t="s">
        <v>332</v>
      </c>
    </row>
    <row r="17" spans="1:9" ht="115.5" customHeight="1">
      <c r="A17" s="707"/>
      <c r="B17" s="707"/>
      <c r="C17" s="47" t="s">
        <v>6</v>
      </c>
      <c r="D17" s="395" t="s">
        <v>367</v>
      </c>
      <c r="E17" s="396" t="s">
        <v>276</v>
      </c>
      <c r="F17" s="396" t="s">
        <v>277</v>
      </c>
      <c r="G17" s="397" t="s">
        <v>300</v>
      </c>
    </row>
    <row r="18" spans="1:9" ht="84.75" customHeight="1">
      <c r="A18" s="707"/>
      <c r="B18" s="707"/>
      <c r="C18" s="47" t="s">
        <v>7</v>
      </c>
      <c r="D18" s="395" t="s">
        <v>278</v>
      </c>
      <c r="E18" s="396" t="s">
        <v>286</v>
      </c>
      <c r="F18" s="477" t="s">
        <v>355</v>
      </c>
      <c r="G18" s="397" t="s">
        <v>285</v>
      </c>
    </row>
    <row r="19" spans="1:9" ht="124.5" customHeight="1">
      <c r="A19" s="707"/>
      <c r="B19" s="707"/>
      <c r="C19" s="47" t="s">
        <v>8</v>
      </c>
      <c r="D19" s="395" t="s">
        <v>286</v>
      </c>
      <c r="E19" s="396" t="s">
        <v>278</v>
      </c>
      <c r="F19" s="396"/>
      <c r="G19" s="397" t="s">
        <v>361</v>
      </c>
    </row>
    <row r="20" spans="1:9" ht="48.75" customHeight="1" thickBot="1">
      <c r="A20" s="707"/>
      <c r="B20" s="707"/>
      <c r="C20" s="48" t="s">
        <v>10</v>
      </c>
      <c r="D20" s="399"/>
      <c r="E20" s="400"/>
      <c r="F20" s="400"/>
      <c r="G20" s="401"/>
      <c r="I20" s="2"/>
    </row>
    <row r="21" spans="1:9" ht="84.75" customHeight="1">
      <c r="A21" s="707" t="s">
        <v>2</v>
      </c>
      <c r="B21" s="709">
        <f>B16+1</f>
        <v>46309</v>
      </c>
      <c r="C21" s="43" t="s">
        <v>5</v>
      </c>
      <c r="D21" s="325" t="s">
        <v>283</v>
      </c>
      <c r="E21" s="326"/>
      <c r="F21" s="326" t="s">
        <v>285</v>
      </c>
      <c r="G21" s="398" t="s">
        <v>282</v>
      </c>
    </row>
    <row r="22" spans="1:9" ht="114.75" customHeight="1">
      <c r="A22" s="707"/>
      <c r="B22" s="707"/>
      <c r="C22" s="44" t="s">
        <v>6</v>
      </c>
      <c r="D22" s="623" t="s">
        <v>343</v>
      </c>
      <c r="E22" s="258" t="s">
        <v>284</v>
      </c>
      <c r="F22" s="442" t="s">
        <v>282</v>
      </c>
      <c r="G22" s="248" t="s">
        <v>290</v>
      </c>
    </row>
    <row r="23" spans="1:9" ht="84.75" customHeight="1">
      <c r="A23" s="707"/>
      <c r="B23" s="707"/>
      <c r="C23" s="44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  <c r="I23" s="2"/>
    </row>
    <row r="24" spans="1:9" ht="84.75" customHeight="1">
      <c r="A24" s="707"/>
      <c r="B24" s="707"/>
      <c r="C24" s="44" t="s">
        <v>8</v>
      </c>
      <c r="D24" s="257" t="s">
        <v>286</v>
      </c>
      <c r="E24" s="258" t="s">
        <v>289</v>
      </c>
      <c r="F24" s="442" t="s">
        <v>310</v>
      </c>
      <c r="G24" s="614" t="s">
        <v>307</v>
      </c>
    </row>
    <row r="25" spans="1:9" ht="63.75" customHeight="1" thickBot="1">
      <c r="A25" s="707"/>
      <c r="B25" s="707"/>
      <c r="C25" s="45" t="s">
        <v>10</v>
      </c>
      <c r="D25" s="265"/>
      <c r="E25" s="315"/>
      <c r="F25" s="315"/>
      <c r="G25" s="316"/>
    </row>
    <row r="26" spans="1:9" ht="27.75">
      <c r="A26" s="707" t="s">
        <v>3</v>
      </c>
      <c r="B26" s="709">
        <f>B21+1</f>
        <v>46310</v>
      </c>
      <c r="C26" s="46" t="s">
        <v>5</v>
      </c>
      <c r="D26" s="289"/>
      <c r="E26" s="329"/>
      <c r="F26" s="329"/>
      <c r="G26" s="334"/>
    </row>
    <row r="27" spans="1:9" ht="27.75">
      <c r="A27" s="714"/>
      <c r="B27" s="707"/>
      <c r="C27" s="47" t="s">
        <v>6</v>
      </c>
      <c r="D27" s="335"/>
      <c r="E27" s="358"/>
      <c r="F27" s="358"/>
      <c r="G27" s="359"/>
    </row>
    <row r="28" spans="1:9" ht="84.75" customHeight="1">
      <c r="A28" s="714"/>
      <c r="B28" s="707"/>
      <c r="C28" s="47" t="s">
        <v>7</v>
      </c>
      <c r="D28" s="395"/>
      <c r="E28" s="442"/>
      <c r="F28" s="442" t="s">
        <v>290</v>
      </c>
      <c r="G28" s="397"/>
    </row>
    <row r="29" spans="1:9" ht="84.75" customHeight="1">
      <c r="A29" s="714"/>
      <c r="B29" s="707"/>
      <c r="C29" s="47" t="s">
        <v>8</v>
      </c>
      <c r="D29" s="395"/>
      <c r="E29" s="442"/>
      <c r="F29" s="442" t="s">
        <v>287</v>
      </c>
      <c r="G29" s="248"/>
    </row>
    <row r="30" spans="1:9" ht="28.5" thickBot="1">
      <c r="A30" s="714"/>
      <c r="B30" s="707"/>
      <c r="C30" s="48" t="s">
        <v>10</v>
      </c>
      <c r="D30" s="265"/>
      <c r="E30" s="474"/>
      <c r="F30" s="474"/>
      <c r="G30" s="475"/>
    </row>
    <row r="31" spans="1:9" ht="84.75" customHeight="1">
      <c r="A31" s="707" t="s">
        <v>4</v>
      </c>
      <c r="B31" s="709">
        <f>B26+1</f>
        <v>46311</v>
      </c>
      <c r="C31" s="46" t="s">
        <v>5</v>
      </c>
      <c r="D31" s="628" t="s">
        <v>364</v>
      </c>
      <c r="E31" s="255" t="s">
        <v>357</v>
      </c>
      <c r="F31" s="255"/>
      <c r="G31" s="334" t="s">
        <v>288</v>
      </c>
    </row>
    <row r="32" spans="1:9" ht="84.75" customHeight="1">
      <c r="A32" s="707"/>
      <c r="B32" s="707"/>
      <c r="C32" s="47" t="s">
        <v>6</v>
      </c>
      <c r="D32" s="257" t="s">
        <v>283</v>
      </c>
      <c r="E32" s="345" t="s">
        <v>358</v>
      </c>
      <c r="F32" s="442" t="s">
        <v>287</v>
      </c>
      <c r="G32" s="415" t="s">
        <v>357</v>
      </c>
    </row>
    <row r="33" spans="1:7" ht="135.75" customHeight="1">
      <c r="A33" s="707"/>
      <c r="B33" s="707"/>
      <c r="C33" s="47" t="s">
        <v>7</v>
      </c>
      <c r="D33" s="395" t="s">
        <v>365</v>
      </c>
      <c r="E33" s="396" t="s">
        <v>276</v>
      </c>
      <c r="F33" s="396" t="s">
        <v>277</v>
      </c>
      <c r="G33" s="415" t="s">
        <v>300</v>
      </c>
    </row>
    <row r="34" spans="1:7" ht="122.25" customHeight="1">
      <c r="A34" s="707"/>
      <c r="B34" s="707"/>
      <c r="C34" s="47" t="s">
        <v>8</v>
      </c>
      <c r="D34" s="395" t="s">
        <v>365</v>
      </c>
      <c r="E34" s="396" t="s">
        <v>362</v>
      </c>
      <c r="F34" s="396"/>
      <c r="G34" s="397" t="s">
        <v>331</v>
      </c>
    </row>
    <row r="35" spans="1:7" ht="48.75" customHeight="1" thickBot="1">
      <c r="A35" s="707"/>
      <c r="B35" s="707"/>
      <c r="C35" s="48" t="s">
        <v>10</v>
      </c>
      <c r="D35" s="362"/>
      <c r="E35" s="363"/>
      <c r="F35" s="315"/>
      <c r="G35" s="445"/>
    </row>
    <row r="36" spans="1:7" ht="96.75" customHeight="1">
      <c r="A36" s="766" t="s">
        <v>18</v>
      </c>
      <c r="B36" s="768">
        <f>B31+1</f>
        <v>46312</v>
      </c>
      <c r="C36" s="390" t="s">
        <v>5</v>
      </c>
      <c r="D36" s="254" t="s">
        <v>364</v>
      </c>
      <c r="E36" s="188"/>
      <c r="F36" s="188"/>
      <c r="G36" s="31"/>
    </row>
    <row r="37" spans="1:7" ht="83.25">
      <c r="A37" s="766"/>
      <c r="B37" s="766"/>
      <c r="C37" s="391" t="s">
        <v>6</v>
      </c>
      <c r="D37" s="257" t="s">
        <v>365</v>
      </c>
      <c r="E37" s="184"/>
      <c r="F37" s="184"/>
      <c r="G37" s="33"/>
    </row>
    <row r="38" spans="1:7" ht="34.5" customHeight="1">
      <c r="A38" s="766"/>
      <c r="B38" s="766"/>
      <c r="C38" s="391" t="s">
        <v>7</v>
      </c>
      <c r="D38" s="395"/>
      <c r="E38" s="184"/>
      <c r="F38" s="184"/>
      <c r="G38" s="292"/>
    </row>
    <row r="39" spans="1:7" ht="39" customHeight="1">
      <c r="A39" s="766"/>
      <c r="B39" s="766"/>
      <c r="C39" s="391" t="s">
        <v>8</v>
      </c>
      <c r="D39" s="58"/>
      <c r="E39" s="32"/>
      <c r="F39" s="32"/>
      <c r="G39" s="314"/>
    </row>
    <row r="40" spans="1:7" ht="39" customHeight="1" thickBot="1">
      <c r="A40" s="767"/>
      <c r="B40" s="767"/>
      <c r="C40" s="392" t="s">
        <v>10</v>
      </c>
      <c r="D40" s="173"/>
      <c r="E40" s="78"/>
      <c r="F40" s="175"/>
      <c r="G40" s="195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3.25">
      <c r="A42" s="1"/>
      <c r="B42" s="1"/>
      <c r="C42" s="79" t="str">
        <f>'01.09'!C42</f>
        <v>*Л. Речевое общение в профессиональной деятельности*</v>
      </c>
      <c r="D42" s="80">
        <f>'05.10'!D42+COUNTIF(D$11:D$40,$C42)</f>
        <v>5</v>
      </c>
      <c r="E42" s="80">
        <f>'05.10'!E42+COUNTIF(E$11:E$40,$C42)</f>
        <v>5</v>
      </c>
      <c r="F42" s="80">
        <f>'05.10'!F42+COUNTIF(F$11:F$40,$C42)</f>
        <v>5</v>
      </c>
      <c r="G42" s="80">
        <f>'05.10'!G42+COUNTIF(G$11:G$40,$C42)</f>
        <v>5</v>
      </c>
    </row>
    <row r="43" spans="1:7" ht="23.25">
      <c r="A43" s="1"/>
      <c r="B43" s="1"/>
      <c r="C43" s="79" t="str">
        <f>'01.09'!C43</f>
        <v>*Пр. Речевое общение в профессиональной деятельности*</v>
      </c>
      <c r="D43" s="80">
        <f>'05.10'!D43+COUNTIF(D$11:D$40,$C43)</f>
        <v>2</v>
      </c>
      <c r="E43" s="80">
        <f>'05.10'!E43+COUNTIF(E$11:E$40,$C43)</f>
        <v>2</v>
      </c>
      <c r="F43" s="80">
        <f>'05.10'!F43+COUNTIF(F$11:F$40,$C43)</f>
        <v>2</v>
      </c>
      <c r="G43" s="80">
        <f>'05.10'!G43+COUNTIF(G$11:G$40,$C43)</f>
        <v>2</v>
      </c>
    </row>
    <row r="44" spans="1:7" ht="23.25">
      <c r="A44" s="1"/>
      <c r="B44" s="1"/>
      <c r="C44" s="79" t="str">
        <f>'01.09'!C44</f>
        <v>*Л. Физическая культура и спорт*</v>
      </c>
      <c r="D44" s="80">
        <f>'05.10'!D44+COUNTIF(D$11:D$40,$C44)</f>
        <v>5</v>
      </c>
      <c r="E44" s="80">
        <f>'05.10'!E44+COUNTIF(E$11:E$40,$C44)</f>
        <v>5</v>
      </c>
      <c r="F44" s="80">
        <f>'05.10'!F44+COUNTIF(F$11:F$40,$C44)</f>
        <v>5</v>
      </c>
      <c r="G44" s="80">
        <f>'05.10'!G44+COUNTIF(G$11:G$40,$C44)</f>
        <v>5</v>
      </c>
    </row>
    <row r="45" spans="1:7" ht="23.25">
      <c r="A45" s="1"/>
      <c r="B45" s="1"/>
      <c r="C45" s="79" t="str">
        <f>'01.09'!C45</f>
        <v>*Пр. Физическая культура и спорт*</v>
      </c>
      <c r="D45" s="80">
        <f>'05.10'!D45+COUNTIF(D$11:D$40,$C45)</f>
        <v>3</v>
      </c>
      <c r="E45" s="80">
        <f>'05.10'!E45+COUNTIF(E$11:E$40,$C45)</f>
        <v>3</v>
      </c>
      <c r="F45" s="80">
        <f>'05.10'!F45+COUNTIF(F$11:F$40,$C45)</f>
        <v>3</v>
      </c>
      <c r="G45" s="80">
        <f>'05.10'!G45+COUNTIF(G$11:G$40,$C45)</f>
        <v>3</v>
      </c>
    </row>
    <row r="46" spans="1:7" ht="23.25">
      <c r="A46" s="1"/>
      <c r="B46" s="1"/>
      <c r="C46" s="79" t="str">
        <f>'01.09'!C46</f>
        <v>*Л. Анатомия*</v>
      </c>
      <c r="D46" s="80">
        <f>'05.10'!D46+COUNTIF(D$11:D$40,$C46)</f>
        <v>4</v>
      </c>
      <c r="E46" s="80">
        <f>'05.10'!E46+COUNTIF(E$11:E$40,$C46)</f>
        <v>4</v>
      </c>
      <c r="F46" s="80">
        <f>'05.10'!F46+COUNTIF(F$11:F$40,$C46)</f>
        <v>4</v>
      </c>
      <c r="G46" s="80">
        <f>'05.10'!G46+COUNTIF(G$11:G$40,$C46)</f>
        <v>4</v>
      </c>
    </row>
    <row r="47" spans="1:7" ht="23.25">
      <c r="A47" s="1"/>
      <c r="B47" s="1"/>
      <c r="C47" s="79" t="str">
        <f>'01.09'!C47</f>
        <v>*Пр. Анатомия*</v>
      </c>
      <c r="D47" s="80">
        <f>'05.10'!D47+COUNTIF(D$11:D$40,$C47)</f>
        <v>2</v>
      </c>
      <c r="E47" s="80">
        <f>'05.10'!E47+COUNTIF(E$11:E$40,$C47)</f>
        <v>2</v>
      </c>
      <c r="F47" s="80">
        <f>'05.10'!F47+COUNTIF(F$11:F$40,$C47)</f>
        <v>2</v>
      </c>
      <c r="G47" s="80">
        <f>'05.10'!G47+COUNTIF(G$11:G$40,$C47)</f>
        <v>2</v>
      </c>
    </row>
    <row r="48" spans="1:7" ht="23.25">
      <c r="A48" s="1"/>
      <c r="B48" s="1"/>
      <c r="C48" s="79" t="str">
        <f>'01.09'!C48</f>
        <v>*Л. Теория и методика*</v>
      </c>
      <c r="D48" s="80">
        <f>'05.10'!D48+COUNTIF(D$11:D$40,$C48)</f>
        <v>3</v>
      </c>
      <c r="E48" s="80">
        <f>'05.10'!E48+COUNTIF(E$11:E$40,$C48)</f>
        <v>3</v>
      </c>
      <c r="F48" s="80">
        <f>'05.10'!F48+COUNTIF(F$11:F$40,$C48)</f>
        <v>3</v>
      </c>
      <c r="G48" s="80">
        <f>'05.10'!G48+COUNTIF(G$11:G$40,$C48)</f>
        <v>3</v>
      </c>
    </row>
    <row r="49" spans="1:7" ht="23.25">
      <c r="A49" s="1"/>
      <c r="B49" s="1"/>
      <c r="C49" s="79" t="str">
        <f>'01.09'!C49</f>
        <v>*Пр. Теория и методика*</v>
      </c>
      <c r="D49" s="80">
        <f>'05.10'!D49+COUNTIF(D$11:D$40,$C49)</f>
        <v>20</v>
      </c>
      <c r="E49" s="80">
        <f>'05.10'!E49+COUNTIF(E$11:E$40,$C49)</f>
        <v>21</v>
      </c>
      <c r="F49" s="80">
        <f>'05.10'!F49+COUNTIF(F$11:F$40,$C49)</f>
        <v>21</v>
      </c>
      <c r="G49" s="80">
        <f>'05.10'!G49+COUNTIF(G$11:G$40,$C49)</f>
        <v>21</v>
      </c>
    </row>
    <row r="50" spans="1:7" ht="23.25">
      <c r="A50" s="1"/>
      <c r="B50" s="1"/>
      <c r="C50" s="79" t="str">
        <f>'01.09'!C50</f>
        <v>*Л. Информационные технологии*</v>
      </c>
      <c r="D50" s="80">
        <f>'05.10'!D50+COUNTIF(D$11:D$40,$C50)</f>
        <v>2</v>
      </c>
      <c r="E50" s="80">
        <f>'05.10'!E50+COUNTIF(E$11:E$40,$C50)</f>
        <v>2</v>
      </c>
      <c r="F50" s="80">
        <f>'05.10'!F50+COUNTIF(F$11:F$40,$C50)</f>
        <v>2</v>
      </c>
      <c r="G50" s="80">
        <f>'05.10'!G50+COUNTIF(G$11:G$40,$C50)</f>
        <v>2</v>
      </c>
    </row>
    <row r="51" spans="1:7" ht="23.25">
      <c r="A51" s="1"/>
      <c r="B51" s="1"/>
      <c r="C51" s="79" t="str">
        <f>'01.09'!C51</f>
        <v>*Пр. Информационные технологии*</v>
      </c>
      <c r="D51" s="80">
        <f>'05.10'!D51+COUNTIF(D$11:D$40,$C51)</f>
        <v>6</v>
      </c>
      <c r="E51" s="80">
        <f>'05.10'!E51+COUNTIF(E$11:E$40,$C51)</f>
        <v>6</v>
      </c>
      <c r="F51" s="80">
        <f>'05.10'!F51+COUNTIF(F$11:F$40,$C51)</f>
        <v>6</v>
      </c>
      <c r="G51" s="80">
        <f>'05.10'!G51+COUNTIF(G$11:G$40,$C51)</f>
        <v>6</v>
      </c>
    </row>
    <row r="52" spans="1:7" ht="23.25">
      <c r="A52" s="1"/>
      <c r="B52" s="1"/>
      <c r="C52" s="79" t="str">
        <f>'01.09'!C52</f>
        <v>*Л. Гимнастика*</v>
      </c>
      <c r="D52" s="80">
        <f>'05.10'!D52+COUNTIF(D$11:D$40,$C52)</f>
        <v>3</v>
      </c>
      <c r="E52" s="80">
        <f>'05.10'!E52+COUNTIF(E$11:E$40,$C52)</f>
        <v>3</v>
      </c>
      <c r="F52" s="80">
        <f>'05.10'!F52+COUNTIF(F$11:F$40,$C52)</f>
        <v>3</v>
      </c>
      <c r="G52" s="80">
        <f>'05.10'!G52+COUNTIF(G$11:G$40,$C52)</f>
        <v>3</v>
      </c>
    </row>
    <row r="53" spans="1:7" ht="23.25">
      <c r="A53" s="1"/>
      <c r="B53" s="1"/>
      <c r="C53" s="79" t="str">
        <f>'01.09'!C53</f>
        <v>*Пр. Гимнастика*</v>
      </c>
      <c r="D53" s="80">
        <f>'05.10'!D53+COUNTIF(D$11:D$40,$C53)</f>
        <v>9</v>
      </c>
      <c r="E53" s="80">
        <f>'05.10'!E53+COUNTIF(E$11:E$40,$C53)</f>
        <v>10</v>
      </c>
      <c r="F53" s="80">
        <f>'05.10'!F53+COUNTIF(F$11:F$40,$C53)</f>
        <v>8</v>
      </c>
      <c r="G53" s="80">
        <f>'05.10'!G53+COUNTIF(G$11:G$40,$C53)</f>
        <v>8</v>
      </c>
    </row>
    <row r="54" spans="1:7" ht="23.25">
      <c r="A54" s="1"/>
      <c r="B54" s="1"/>
      <c r="C54" s="79" t="str">
        <f>'01.09'!C54</f>
        <v>*Л. Элективные дисциплины по ФКиС: Подвижные игры*</v>
      </c>
      <c r="D54" s="80">
        <f>'05.10'!D54+COUNTIF(D$11:D$40,$C54)</f>
        <v>1</v>
      </c>
      <c r="E54" s="80">
        <f>'05.10'!E54+COUNTIF(E$11:E$40,$C54)</f>
        <v>1</v>
      </c>
      <c r="F54" s="80">
        <f>'05.10'!F54+COUNTIF(F$11:F$40,$C54)</f>
        <v>1</v>
      </c>
      <c r="G54" s="80">
        <f>'05.10'!G54+COUNTIF(G$11:G$40,$C54)</f>
        <v>1</v>
      </c>
    </row>
    <row r="55" spans="1:7" ht="23.25">
      <c r="A55" s="1"/>
      <c r="B55" s="1"/>
      <c r="C55" s="79" t="str">
        <f>'01.09'!C55</f>
        <v>*Пр. Элективные дисциплины по ФКиС: Подвижные игры*</v>
      </c>
      <c r="D55" s="80">
        <f>'05.10'!D55+COUNTIF(D$11:D$40,$C55)</f>
        <v>6</v>
      </c>
      <c r="E55" s="80">
        <f>'05.10'!E55+COUNTIF(E$11:E$40,$C55)</f>
        <v>6</v>
      </c>
      <c r="F55" s="80">
        <f>'05.10'!F55+COUNTIF(F$11:F$40,$C55)</f>
        <v>7</v>
      </c>
      <c r="G55" s="80">
        <f>'05.10'!G55+COUNTIF(G$11:G$40,$C55)</f>
        <v>7</v>
      </c>
    </row>
    <row r="56" spans="1:7" ht="23.25">
      <c r="A56" s="1"/>
      <c r="B56" s="1"/>
      <c r="C56" s="79" t="str">
        <f>'01.09'!C56</f>
        <v>*Л. Волейбол*</v>
      </c>
      <c r="D56" s="80">
        <f>'05.10'!D56+COUNTIF(D$11:D$40,$C56)</f>
        <v>1</v>
      </c>
      <c r="E56" s="80">
        <f>'05.10'!E56+COUNTIF(E$11:E$40,$C56)</f>
        <v>1</v>
      </c>
      <c r="F56" s="80">
        <f>'05.10'!F56+COUNTIF(F$11:F$40,$C56)</f>
        <v>1</v>
      </c>
      <c r="G56" s="80">
        <f>'05.10'!G56+COUNTIF(G$11:G$40,$C56)</f>
        <v>1</v>
      </c>
    </row>
    <row r="57" spans="1:7" ht="23.25">
      <c r="A57" s="1"/>
      <c r="B57" s="1"/>
      <c r="C57" s="79" t="str">
        <f>'01.09'!C57</f>
        <v>*Пр. Волейбол*</v>
      </c>
      <c r="D57" s="80">
        <f>'05.10'!D57+COUNTIF(D$11:D$40,$C57)</f>
        <v>12</v>
      </c>
      <c r="E57" s="80">
        <f>'05.10'!E57+COUNTIF(E$11:E$40,$C57)</f>
        <v>12</v>
      </c>
      <c r="F57" s="80">
        <f>'05.10'!F57+COUNTIF(F$11:F$40,$C57)</f>
        <v>12</v>
      </c>
      <c r="G57" s="80">
        <f>'05.10'!G57+COUNTIF(G$11:G$40,$C57)</f>
        <v>12</v>
      </c>
    </row>
    <row r="58" spans="1:7" ht="23.25">
      <c r="A58" s="1"/>
      <c r="B58" s="1"/>
      <c r="C58" s="79" t="str">
        <f>'01.09'!C58</f>
        <v>*Л. Лыжные гонки*</v>
      </c>
      <c r="D58" s="80">
        <f>'05.10'!D58+COUNTIF(D$11:D$40,$C58)</f>
        <v>0</v>
      </c>
      <c r="E58" s="80">
        <f>'05.10'!E58+COUNTIF(E$11:E$40,$C58)</f>
        <v>0</v>
      </c>
      <c r="F58" s="80">
        <f>'05.10'!F58+COUNTIF(F$11:F$40,$C58)</f>
        <v>0</v>
      </c>
      <c r="G58" s="80">
        <f>'05.10'!G58+COUNTIF(G$11:G$40,$C58)</f>
        <v>0</v>
      </c>
    </row>
    <row r="59" spans="1:7" ht="23.25">
      <c r="A59" s="1"/>
      <c r="B59" s="1"/>
      <c r="C59" s="79" t="str">
        <f>'01.09'!C59</f>
        <v>*Пр. Лыжные гонки*</v>
      </c>
      <c r="D59" s="80">
        <f>'05.10'!D59+COUNTIF(D$11:D$40,$C59)</f>
        <v>0</v>
      </c>
      <c r="E59" s="80">
        <f>'05.10'!E59+COUNTIF(E$11:E$40,$C59)</f>
        <v>0</v>
      </c>
      <c r="F59" s="80">
        <f>'05.10'!F59+COUNTIF(F$11:F$40,$C59)</f>
        <v>0</v>
      </c>
      <c r="G59" s="80">
        <f>'05.10'!G59+COUNTIF(G$11:G$40,$C59)</f>
        <v>0</v>
      </c>
    </row>
    <row r="60" spans="1:7" ht="23.25">
      <c r="A60" s="1"/>
      <c r="B60" s="1"/>
      <c r="C60" s="79" t="str">
        <f>'01.09'!C60</f>
        <v>*Л. Использование электронной*</v>
      </c>
      <c r="D60" s="80">
        <f>'05.10'!D60+COUNTIF(D$11:D$40,$C60)</f>
        <v>1</v>
      </c>
      <c r="E60" s="80">
        <f>'05.10'!E60+COUNTIF(E$11:E$40,$C60)</f>
        <v>0</v>
      </c>
      <c r="F60" s="80">
        <f>'05.10'!F60+COUNTIF(F$11:F$40,$C60)</f>
        <v>0</v>
      </c>
      <c r="G60" s="80">
        <f>'05.10'!G60+COUNTIF(G$11:G$40,$C60)</f>
        <v>0</v>
      </c>
    </row>
    <row r="61" spans="1:7" ht="23.25">
      <c r="A61" s="1"/>
      <c r="B61" s="1"/>
      <c r="C61" s="79" t="str">
        <f>'01.09'!C61</f>
        <v>*Пр. Использование электронной*</v>
      </c>
      <c r="D61" s="80">
        <f>'05.10'!D61+COUNTIF(D$11:D$40,$C61)</f>
        <v>1</v>
      </c>
      <c r="E61" s="80">
        <f>'05.10'!E61+COUNTIF(E$11:E$40,$C61)</f>
        <v>1</v>
      </c>
      <c r="F61" s="80">
        <f>'05.10'!F61+COUNTIF(F$11:F$40,$C61)</f>
        <v>2</v>
      </c>
      <c r="G61" s="80">
        <f>'05.10'!G61+COUNTIF(G$11:G$40,$C61)</f>
        <v>2</v>
      </c>
    </row>
    <row r="62" spans="1:7" ht="23.25">
      <c r="A62" s="1"/>
      <c r="B62" s="1"/>
      <c r="C62" s="79" t="str">
        <f>'01.09'!C62</f>
        <v>*Пр. Иностранный*</v>
      </c>
      <c r="D62" s="80">
        <f>'05.10'!D62+COUNTIF(D$11:D$40,$C62)</f>
        <v>6</v>
      </c>
      <c r="E62" s="80">
        <f>'05.10'!E62+COUNTIF(E$11:E$40,$C62)</f>
        <v>6</v>
      </c>
      <c r="F62" s="80">
        <f>'05.10'!F62+COUNTIF(F$11:F$40,$C62)</f>
        <v>6</v>
      </c>
      <c r="G62" s="80">
        <f>'05.10'!G62+COUNTIF(G$11:G$40,$C62)</f>
        <v>6</v>
      </c>
    </row>
    <row r="63" spans="1:7" ht="23.25">
      <c r="A63" s="1"/>
      <c r="B63" s="1"/>
      <c r="C63" s="79">
        <f>'01.09'!C63</f>
        <v>0</v>
      </c>
      <c r="D63" s="80">
        <f>'05.10'!D63+COUNTIF(D$11:D$40,$C63)</f>
        <v>0</v>
      </c>
      <c r="E63" s="80">
        <f>'05.10'!E63+COUNTIF(E$11:E$40,$C63)</f>
        <v>0</v>
      </c>
      <c r="F63" s="80">
        <f>'05.10'!F63+COUNTIF(F$11:F$40,$C63)</f>
        <v>0</v>
      </c>
      <c r="G63" s="80">
        <f>'05.10'!G63+COUNTIF(G$11:G$40,$C63)</f>
        <v>0</v>
      </c>
    </row>
    <row r="64" spans="1:7" ht="23.25">
      <c r="A64" s="1"/>
      <c r="B64" s="1"/>
      <c r="C64" s="79">
        <f>'01.09'!C64</f>
        <v>0</v>
      </c>
      <c r="D64" s="80">
        <f>'05.10'!D64+COUNTIF(D$11:D$40,$C64)</f>
        <v>0</v>
      </c>
      <c r="E64" s="80">
        <f>'05.10'!E64+COUNTIF(E$11:E$40,$C64)</f>
        <v>0</v>
      </c>
      <c r="F64" s="80">
        <f>'05.10'!F64+COUNTIF(F$11:F$40,$C64)</f>
        <v>0</v>
      </c>
      <c r="G64" s="80">
        <f>'05.10'!G64+COUNTIF(G$11:G$40,$C64)</f>
        <v>0</v>
      </c>
    </row>
    <row r="65" spans="1:7" ht="23.25">
      <c r="A65" s="1"/>
      <c r="B65" s="1"/>
      <c r="C65" s="79">
        <f>'01.09'!C65</f>
        <v>0</v>
      </c>
      <c r="D65" s="22">
        <f>'05.10'!D65+COUNTIF(D$11:D$40,$C65)</f>
        <v>0</v>
      </c>
      <c r="E65" s="22">
        <f>'05.10'!E65+COUNTIF(E$11:E$40,$C65)</f>
        <v>0</v>
      </c>
      <c r="F65" s="22">
        <f>'05.10'!F65+COUNTIF(F$11:F$40,$C65)</f>
        <v>0</v>
      </c>
      <c r="G65" s="22">
        <f>'05.10'!G65+COUNTIF(G$11:G$40,$C65)</f>
        <v>0</v>
      </c>
    </row>
    <row r="66" spans="1:7" ht="23.25">
      <c r="A66" s="1"/>
      <c r="B66" s="1"/>
      <c r="C66" s="79">
        <f>'01.09'!C66</f>
        <v>0</v>
      </c>
      <c r="D66" s="22">
        <f>'05.10'!D66+COUNTIF(D$11:D$40,$C66)</f>
        <v>0</v>
      </c>
      <c r="E66" s="22">
        <f>'05.10'!E66+COUNTIF(E$11:E$40,$C66)</f>
        <v>0</v>
      </c>
      <c r="F66" s="22">
        <f>'05.10'!F66+COUNTIF(F$11:F$40,$C66)</f>
        <v>0</v>
      </c>
      <c r="G66" s="22">
        <f>'05.10'!G66+COUNTIF(G$11:G$40,$C66)</f>
        <v>0</v>
      </c>
    </row>
    <row r="67" spans="1:7" ht="23.25">
      <c r="A67" s="1"/>
      <c r="B67" s="1"/>
      <c r="C67" s="79">
        <f>'01.09'!C67</f>
        <v>0</v>
      </c>
      <c r="D67" s="22">
        <f>'05.10'!D67+COUNTIF(D$11:D$40,$C67)</f>
        <v>0</v>
      </c>
      <c r="E67" s="22">
        <f>'05.10'!E67+COUNTIF(E$11:E$40,$C67)</f>
        <v>0</v>
      </c>
      <c r="F67" s="22">
        <f>'05.10'!F67+COUNTIF(F$11:F$40,$C67)</f>
        <v>0</v>
      </c>
      <c r="G67" s="22">
        <f>'05.10'!G67+COUNTIF(G$11:G$40,$C67)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B21:B25"/>
    <mergeCell ref="A3:G3"/>
    <mergeCell ref="B4:G4"/>
    <mergeCell ref="B5:G5"/>
    <mergeCell ref="A16:A20"/>
    <mergeCell ref="B11:B15"/>
    <mergeCell ref="B16:B20"/>
    <mergeCell ref="C9:C10"/>
    <mergeCell ref="A9:A10"/>
    <mergeCell ref="B9:B10"/>
    <mergeCell ref="A11:A1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G76"/>
  <sheetViews>
    <sheetView view="pageBreakPreview" topLeftCell="A25" zoomScale="40" zoomScaleNormal="40" zoomScaleSheetLayoutView="40" zoomScalePageLayoutView="40" workbookViewId="0">
      <selection activeCell="F37" sqref="F37"/>
    </sheetView>
  </sheetViews>
  <sheetFormatPr defaultRowHeight="15"/>
  <cols>
    <col min="1" max="2" width="4.42578125" customWidth="1"/>
    <col min="3" max="3" width="23.42578125" customWidth="1"/>
    <col min="4" max="7" width="74.5703125" customWidth="1"/>
    <col min="8" max="8" width="11.14062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7.5" customHeight="1" thickBot="1">
      <c r="A8" s="70"/>
      <c r="B8" s="71"/>
      <c r="C8" s="71"/>
      <c r="D8" s="71"/>
      <c r="E8" s="71"/>
      <c r="F8" s="76"/>
      <c r="G8" s="71"/>
    </row>
    <row r="9" spans="1:7" ht="34.5" customHeight="1" thickBot="1">
      <c r="A9" s="771" t="s">
        <v>76</v>
      </c>
      <c r="B9" s="771" t="s">
        <v>9</v>
      </c>
      <c r="C9" s="769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7.6" customHeight="1" thickBot="1">
      <c r="A10" s="772"/>
      <c r="B10" s="772"/>
      <c r="C10" s="770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4" customHeight="1">
      <c r="A11" s="715" t="s">
        <v>0</v>
      </c>
      <c r="B11" s="716">
        <v>46314</v>
      </c>
      <c r="C11" s="46" t="s">
        <v>5</v>
      </c>
      <c r="D11" s="519" t="s">
        <v>282</v>
      </c>
      <c r="E11" s="360" t="s">
        <v>286</v>
      </c>
      <c r="F11" s="360"/>
      <c r="G11" s="476" t="s">
        <v>352</v>
      </c>
    </row>
    <row r="12" spans="1:7" ht="84" customHeight="1">
      <c r="A12" s="707"/>
      <c r="B12" s="707"/>
      <c r="C12" s="47" t="s">
        <v>6</v>
      </c>
      <c r="D12" s="364" t="s">
        <v>348</v>
      </c>
      <c r="E12" s="434" t="s">
        <v>349</v>
      </c>
      <c r="F12" s="434" t="s">
        <v>351</v>
      </c>
      <c r="G12" s="625" t="s">
        <v>353</v>
      </c>
    </row>
    <row r="13" spans="1:7" ht="84" customHeight="1">
      <c r="A13" s="707"/>
      <c r="B13" s="707"/>
      <c r="C13" s="47" t="s">
        <v>7</v>
      </c>
      <c r="D13" s="414" t="s">
        <v>350</v>
      </c>
      <c r="E13" s="624"/>
      <c r="F13" s="624" t="s">
        <v>343</v>
      </c>
      <c r="G13" s="397" t="s">
        <v>285</v>
      </c>
    </row>
    <row r="14" spans="1:7" ht="117" customHeight="1">
      <c r="A14" s="707"/>
      <c r="B14" s="707"/>
      <c r="C14" s="47" t="s">
        <v>8</v>
      </c>
      <c r="D14" s="395" t="s">
        <v>338</v>
      </c>
      <c r="E14" s="442"/>
      <c r="F14" s="442" t="s">
        <v>285</v>
      </c>
      <c r="G14" s="397"/>
    </row>
    <row r="15" spans="1:7" ht="55.5" customHeight="1" thickBot="1">
      <c r="A15" s="707"/>
      <c r="B15" s="707"/>
      <c r="C15" s="48" t="s">
        <v>10</v>
      </c>
      <c r="D15" s="546"/>
      <c r="E15" s="547"/>
      <c r="F15" s="547"/>
      <c r="G15" s="548"/>
    </row>
    <row r="16" spans="1:7" ht="118.5" customHeight="1">
      <c r="A16" s="707" t="s">
        <v>1</v>
      </c>
      <c r="B16" s="709">
        <f>B11+1</f>
        <v>46315</v>
      </c>
      <c r="C16" s="46" t="s">
        <v>5</v>
      </c>
      <c r="D16" s="479"/>
      <c r="E16" s="404" t="s">
        <v>276</v>
      </c>
      <c r="F16" s="404" t="s">
        <v>277</v>
      </c>
      <c r="G16" s="476" t="s">
        <v>332</v>
      </c>
    </row>
    <row r="17" spans="1:7" ht="118.5" customHeight="1">
      <c r="A17" s="707"/>
      <c r="B17" s="707"/>
      <c r="C17" s="47" t="s">
        <v>6</v>
      </c>
      <c r="D17" s="395" t="s">
        <v>367</v>
      </c>
      <c r="E17" s="396" t="s">
        <v>151</v>
      </c>
      <c r="F17" s="396" t="s">
        <v>152</v>
      </c>
      <c r="G17" s="415" t="s">
        <v>298</v>
      </c>
    </row>
    <row r="18" spans="1:7" ht="84" customHeight="1">
      <c r="A18" s="707"/>
      <c r="B18" s="707"/>
      <c r="C18" s="47" t="s">
        <v>7</v>
      </c>
      <c r="D18" s="395" t="s">
        <v>278</v>
      </c>
      <c r="E18" s="396" t="s">
        <v>286</v>
      </c>
      <c r="F18" s="477" t="s">
        <v>355</v>
      </c>
      <c r="G18" s="397" t="s">
        <v>285</v>
      </c>
    </row>
    <row r="19" spans="1:7" ht="84" customHeight="1">
      <c r="A19" s="707"/>
      <c r="B19" s="707"/>
      <c r="C19" s="47" t="s">
        <v>8</v>
      </c>
      <c r="D19" s="395" t="s">
        <v>286</v>
      </c>
      <c r="E19" s="396" t="s">
        <v>278</v>
      </c>
      <c r="F19" s="396"/>
      <c r="G19" s="397"/>
    </row>
    <row r="20" spans="1:7" ht="84" customHeight="1" thickBot="1">
      <c r="A20" s="707"/>
      <c r="B20" s="707"/>
      <c r="C20" s="48" t="s">
        <v>10</v>
      </c>
      <c r="D20" s="399"/>
      <c r="E20" s="400"/>
      <c r="F20" s="400"/>
      <c r="G20" s="401"/>
    </row>
    <row r="21" spans="1:7" ht="110.25" customHeight="1">
      <c r="A21" s="707" t="s">
        <v>2</v>
      </c>
      <c r="B21" s="709">
        <f>B16+1</f>
        <v>46316</v>
      </c>
      <c r="C21" s="46" t="s">
        <v>5</v>
      </c>
      <c r="D21" s="257" t="s">
        <v>283</v>
      </c>
      <c r="E21" s="326" t="s">
        <v>338</v>
      </c>
      <c r="F21" s="326" t="s">
        <v>285</v>
      </c>
      <c r="G21" s="398" t="s">
        <v>282</v>
      </c>
    </row>
    <row r="22" spans="1:7" ht="112.5" customHeight="1">
      <c r="A22" s="707"/>
      <c r="B22" s="707"/>
      <c r="C22" s="47" t="s">
        <v>6</v>
      </c>
      <c r="D22" s="623" t="s">
        <v>343</v>
      </c>
      <c r="E22" s="258" t="s">
        <v>284</v>
      </c>
      <c r="F22" s="442" t="s">
        <v>282</v>
      </c>
      <c r="G22" s="248" t="s">
        <v>290</v>
      </c>
    </row>
    <row r="23" spans="1:7" ht="84" customHeight="1">
      <c r="A23" s="707"/>
      <c r="B23" s="707"/>
      <c r="C23" s="47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</row>
    <row r="24" spans="1:7" ht="84" customHeight="1">
      <c r="A24" s="707"/>
      <c r="B24" s="707"/>
      <c r="C24" s="47" t="s">
        <v>8</v>
      </c>
      <c r="D24" s="257" t="s">
        <v>286</v>
      </c>
      <c r="E24" s="258" t="s">
        <v>289</v>
      </c>
      <c r="F24" s="258"/>
      <c r="G24" s="614" t="s">
        <v>307</v>
      </c>
    </row>
    <row r="25" spans="1:7" ht="84" customHeight="1" thickBot="1">
      <c r="A25" s="707"/>
      <c r="B25" s="707"/>
      <c r="C25" s="48" t="s">
        <v>10</v>
      </c>
      <c r="D25" s="265"/>
      <c r="E25" s="315"/>
      <c r="F25" s="315"/>
      <c r="G25" s="316"/>
    </row>
    <row r="26" spans="1:7" ht="27.75">
      <c r="A26" s="707" t="s">
        <v>3</v>
      </c>
      <c r="B26" s="709">
        <f>B21+1</f>
        <v>46317</v>
      </c>
      <c r="C26" s="46" t="s">
        <v>5</v>
      </c>
      <c r="D26" s="289"/>
      <c r="E26" s="329"/>
      <c r="F26" s="329"/>
      <c r="G26" s="334"/>
    </row>
    <row r="27" spans="1:7" ht="27.75">
      <c r="A27" s="773"/>
      <c r="B27" s="707"/>
      <c r="C27" s="47" t="s">
        <v>6</v>
      </c>
      <c r="D27" s="335"/>
      <c r="E27" s="358"/>
      <c r="F27" s="358"/>
      <c r="G27" s="359"/>
    </row>
    <row r="28" spans="1:7" ht="84" customHeight="1">
      <c r="A28" s="773"/>
      <c r="B28" s="707"/>
      <c r="C28" s="47" t="s">
        <v>7</v>
      </c>
      <c r="D28" s="395"/>
      <c r="E28" s="442"/>
      <c r="F28" s="442" t="s">
        <v>290</v>
      </c>
      <c r="G28" s="397"/>
    </row>
    <row r="29" spans="1:7" ht="84" customHeight="1">
      <c r="A29" s="773"/>
      <c r="B29" s="707"/>
      <c r="C29" s="47" t="s">
        <v>8</v>
      </c>
      <c r="D29" s="395"/>
      <c r="E29" s="442"/>
      <c r="F29" s="442" t="s">
        <v>287</v>
      </c>
      <c r="G29" s="248"/>
    </row>
    <row r="30" spans="1:7" ht="28.5" thickBot="1">
      <c r="A30" s="773"/>
      <c r="B30" s="707"/>
      <c r="C30" s="48" t="s">
        <v>10</v>
      </c>
      <c r="D30" s="265"/>
      <c r="E30" s="474"/>
      <c r="F30" s="474"/>
      <c r="G30" s="475"/>
    </row>
    <row r="31" spans="1:7" ht="101.25" customHeight="1">
      <c r="A31" s="707" t="s">
        <v>4</v>
      </c>
      <c r="B31" s="709">
        <f>B26+1</f>
        <v>46318</v>
      </c>
      <c r="C31" s="46" t="s">
        <v>5</v>
      </c>
      <c r="D31" s="628"/>
      <c r="E31" s="255" t="s">
        <v>357</v>
      </c>
      <c r="F31" s="255"/>
      <c r="G31" s="334" t="s">
        <v>288</v>
      </c>
    </row>
    <row r="32" spans="1:7" ht="84" customHeight="1">
      <c r="A32" s="707"/>
      <c r="B32" s="707"/>
      <c r="C32" s="47" t="s">
        <v>6</v>
      </c>
      <c r="D32" s="257" t="s">
        <v>283</v>
      </c>
      <c r="E32" s="345" t="s">
        <v>358</v>
      </c>
      <c r="F32" s="442" t="s">
        <v>287</v>
      </c>
      <c r="G32" s="415" t="s">
        <v>357</v>
      </c>
    </row>
    <row r="33" spans="1:7" ht="118.5" customHeight="1">
      <c r="A33" s="707"/>
      <c r="B33" s="707"/>
      <c r="C33" s="47" t="s">
        <v>7</v>
      </c>
      <c r="D33" s="395" t="s">
        <v>366</v>
      </c>
      <c r="E33" s="396" t="s">
        <v>276</v>
      </c>
      <c r="F33" s="396" t="s">
        <v>277</v>
      </c>
      <c r="G33" s="415" t="s">
        <v>300</v>
      </c>
    </row>
    <row r="34" spans="1:7" ht="84" customHeight="1">
      <c r="A34" s="707"/>
      <c r="B34" s="707"/>
      <c r="C34" s="47" t="s">
        <v>8</v>
      </c>
      <c r="D34" s="395" t="s">
        <v>365</v>
      </c>
      <c r="E34" s="396"/>
      <c r="F34" s="396"/>
      <c r="G34" s="397" t="s">
        <v>331</v>
      </c>
    </row>
    <row r="35" spans="1:7" ht="84" customHeight="1" thickBot="1">
      <c r="A35" s="707"/>
      <c r="B35" s="707"/>
      <c r="C35" s="48" t="s">
        <v>10</v>
      </c>
      <c r="D35" s="362"/>
      <c r="E35" s="363"/>
      <c r="F35" s="315"/>
      <c r="G35" s="445"/>
    </row>
    <row r="36" spans="1:7" ht="83.25">
      <c r="A36" s="707" t="s">
        <v>18</v>
      </c>
      <c r="B36" s="709">
        <f>B31+1</f>
        <v>46319</v>
      </c>
      <c r="C36" s="46" t="s">
        <v>5</v>
      </c>
      <c r="D36" s="254" t="s">
        <v>364</v>
      </c>
      <c r="E36" s="77"/>
      <c r="F36" s="77"/>
      <c r="G36" s="218"/>
    </row>
    <row r="37" spans="1:7" ht="83.25">
      <c r="A37" s="707"/>
      <c r="B37" s="707"/>
      <c r="C37" s="47" t="s">
        <v>6</v>
      </c>
      <c r="D37" s="257" t="s">
        <v>365</v>
      </c>
      <c r="E37" s="345"/>
      <c r="F37" s="274"/>
      <c r="G37" s="279"/>
    </row>
    <row r="38" spans="1:7" ht="27.75">
      <c r="A38" s="707"/>
      <c r="B38" s="707"/>
      <c r="C38" s="47" t="s">
        <v>7</v>
      </c>
      <c r="D38" s="395"/>
      <c r="E38" s="345"/>
      <c r="F38" s="57"/>
      <c r="G38" s="61"/>
    </row>
    <row r="39" spans="1:7" ht="35.25" customHeight="1">
      <c r="A39" s="707"/>
      <c r="B39" s="707"/>
      <c r="C39" s="47" t="s">
        <v>8</v>
      </c>
      <c r="D39" s="62"/>
      <c r="E39" s="57"/>
      <c r="F39" s="57"/>
      <c r="G39" s="61"/>
    </row>
    <row r="40" spans="1:7" ht="35.25" customHeight="1" thickBot="1">
      <c r="A40" s="708"/>
      <c r="B40" s="708"/>
      <c r="C40" s="48" t="s">
        <v>10</v>
      </c>
      <c r="D40" s="180"/>
      <c r="E40" s="181"/>
      <c r="F40" s="181"/>
      <c r="G40" s="197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35.25" customHeight="1">
      <c r="A42" s="1"/>
      <c r="B42" s="1"/>
      <c r="C42" s="262" t="str">
        <f>'01.09'!C42</f>
        <v>*Л. Речевое общение в профессиональной деятельности*</v>
      </c>
      <c r="D42" s="263">
        <f>'12.10'!D42+COUNTIF(D$11:D$40,$C42)</f>
        <v>5</v>
      </c>
      <c r="E42" s="263">
        <f>'12.10'!E42+COUNTIF(E$11:E$40,$C42)</f>
        <v>5</v>
      </c>
      <c r="F42" s="263">
        <f>'12.10'!F42+COUNTIF(F$11:F$40,$C42)</f>
        <v>5</v>
      </c>
      <c r="G42" s="263">
        <f>'12.10'!G42+COUNTIF(G$11:G$40,$C42)</f>
        <v>5</v>
      </c>
    </row>
    <row r="43" spans="1:7" ht="35.25" customHeight="1">
      <c r="A43" s="1"/>
      <c r="B43" s="1"/>
      <c r="C43" s="262" t="str">
        <f>'01.09'!C43</f>
        <v>*Пр. Речевое общение в профессиональной деятельности*</v>
      </c>
      <c r="D43" s="263">
        <f>'12.10'!D43+COUNTIF(D$11:D$40,$C43)</f>
        <v>3</v>
      </c>
      <c r="E43" s="263">
        <f>'12.10'!E43+COUNTIF(E$11:E$40,$C43)</f>
        <v>3</v>
      </c>
      <c r="F43" s="263">
        <f>'12.10'!F43+COUNTIF(F$11:F$40,$C43)</f>
        <v>3</v>
      </c>
      <c r="G43" s="263">
        <f>'12.10'!G43+COUNTIF(G$11:G$40,$C43)</f>
        <v>3</v>
      </c>
    </row>
    <row r="44" spans="1:7" ht="35.25" customHeight="1">
      <c r="A44" s="1"/>
      <c r="B44" s="1"/>
      <c r="C44" s="262" t="str">
        <f>'01.09'!C44</f>
        <v>*Л. Физическая культура и спорт*</v>
      </c>
      <c r="D44" s="263">
        <f>'12.10'!D44+COUNTIF(D$11:D$40,$C44)</f>
        <v>5</v>
      </c>
      <c r="E44" s="263">
        <f>'12.10'!E44+COUNTIF(E$11:E$40,$C44)</f>
        <v>5</v>
      </c>
      <c r="F44" s="263">
        <f>'12.10'!F44+COUNTIF(F$11:F$40,$C44)</f>
        <v>5</v>
      </c>
      <c r="G44" s="263">
        <f>'12.10'!G44+COUNTIF(G$11:G$40,$C44)</f>
        <v>5</v>
      </c>
    </row>
    <row r="45" spans="1:7" ht="35.25" customHeight="1">
      <c r="A45" s="1"/>
      <c r="B45" s="1"/>
      <c r="C45" s="262" t="str">
        <f>'01.09'!C45</f>
        <v>*Пр. Физическая культура и спорт*</v>
      </c>
      <c r="D45" s="263">
        <f>'12.10'!D45+COUNTIF(D$11:D$40,$C45)</f>
        <v>4</v>
      </c>
      <c r="E45" s="263">
        <f>'12.10'!E45+COUNTIF(E$11:E$40,$C45)</f>
        <v>4</v>
      </c>
      <c r="F45" s="263">
        <f>'12.10'!F45+COUNTIF(F$11:F$40,$C45)</f>
        <v>4</v>
      </c>
      <c r="G45" s="263">
        <f>'12.10'!G45+COUNTIF(G$11:G$40,$C45)</f>
        <v>4</v>
      </c>
    </row>
    <row r="46" spans="1:7" ht="35.25" customHeight="1">
      <c r="A46" s="1"/>
      <c r="B46" s="1"/>
      <c r="C46" s="262" t="str">
        <f>'01.09'!C46</f>
        <v>*Л. Анатомия*</v>
      </c>
      <c r="D46" s="263">
        <f>'12.10'!D46+COUNTIF(D$11:D$40,$C46)</f>
        <v>4</v>
      </c>
      <c r="E46" s="263">
        <f>'12.10'!E46+COUNTIF(E$11:E$40,$C46)</f>
        <v>4</v>
      </c>
      <c r="F46" s="263">
        <f>'12.10'!F46+COUNTIF(F$11:F$40,$C46)</f>
        <v>4</v>
      </c>
      <c r="G46" s="263">
        <f>'12.10'!G46+COUNTIF(G$11:G$40,$C46)</f>
        <v>4</v>
      </c>
    </row>
    <row r="47" spans="1:7" ht="27.75">
      <c r="A47" s="1"/>
      <c r="B47" s="1"/>
      <c r="C47" s="262" t="str">
        <f>'01.09'!C47</f>
        <v>*Пр. Анатомия*</v>
      </c>
      <c r="D47" s="263">
        <f>'12.10'!D47+COUNTIF(D$11:D$40,$C47)</f>
        <v>3</v>
      </c>
      <c r="E47" s="263">
        <f>'12.10'!E47+COUNTIF(E$11:E$40,$C47)</f>
        <v>3</v>
      </c>
      <c r="F47" s="263">
        <f>'12.10'!F47+COUNTIF(F$11:F$40,$C47)</f>
        <v>3</v>
      </c>
      <c r="G47" s="263">
        <f>'12.10'!G47+COUNTIF(G$11:G$40,$C47)</f>
        <v>3</v>
      </c>
    </row>
    <row r="48" spans="1:7" ht="27.75">
      <c r="A48" s="1"/>
      <c r="B48" s="1"/>
      <c r="C48" s="262" t="str">
        <f>'01.09'!C48</f>
        <v>*Л. Теория и методика*</v>
      </c>
      <c r="D48" s="263">
        <f>'12.10'!D48+COUNTIF(D$11:D$40,$C48)</f>
        <v>4</v>
      </c>
      <c r="E48" s="263">
        <f>'12.10'!E48+COUNTIF(E$11:E$40,$C48)</f>
        <v>4</v>
      </c>
      <c r="F48" s="263">
        <f>'12.10'!F48+COUNTIF(F$11:F$40,$C48)</f>
        <v>4</v>
      </c>
      <c r="G48" s="263">
        <f>'12.10'!G48+COUNTIF(G$11:G$40,$C48)</f>
        <v>4</v>
      </c>
    </row>
    <row r="49" spans="1:7" ht="27.75">
      <c r="A49" s="1"/>
      <c r="B49" s="1"/>
      <c r="C49" s="262" t="str">
        <f>'01.09'!C49</f>
        <v>*Пр. Теория и методика*</v>
      </c>
      <c r="D49" s="263">
        <f>'12.10'!D49+COUNTIF(D$11:D$40,$C49)</f>
        <v>22</v>
      </c>
      <c r="E49" s="263">
        <f>'12.10'!E49+COUNTIF(E$11:E$40,$C49)</f>
        <v>23</v>
      </c>
      <c r="F49" s="263">
        <f>'12.10'!F49+COUNTIF(F$11:F$40,$C49)</f>
        <v>23</v>
      </c>
      <c r="G49" s="263">
        <f>'12.10'!G49+COUNTIF(G$11:G$40,$C49)</f>
        <v>23</v>
      </c>
    </row>
    <row r="50" spans="1:7" ht="27.75">
      <c r="A50" s="1"/>
      <c r="B50" s="1"/>
      <c r="C50" s="262" t="str">
        <f>'01.09'!C50</f>
        <v>*Л. Информационные технологии*</v>
      </c>
      <c r="D50" s="263">
        <f>'12.10'!D50+COUNTIF(D$11:D$40,$C50)</f>
        <v>2</v>
      </c>
      <c r="E50" s="263">
        <f>'12.10'!E50+COUNTIF(E$11:E$40,$C50)</f>
        <v>2</v>
      </c>
      <c r="F50" s="263">
        <f>'12.10'!F50+COUNTIF(F$11:F$40,$C50)</f>
        <v>2</v>
      </c>
      <c r="G50" s="263">
        <f>'12.10'!G50+COUNTIF(G$11:G$40,$C50)</f>
        <v>2</v>
      </c>
    </row>
    <row r="51" spans="1:7" ht="27.75">
      <c r="A51" s="1"/>
      <c r="B51" s="1"/>
      <c r="C51" s="262" t="str">
        <f>'01.09'!C51</f>
        <v>*Пр. Информационные технологии*</v>
      </c>
      <c r="D51" s="263">
        <f>'12.10'!D51+COUNTIF(D$11:D$40,$C51)</f>
        <v>7</v>
      </c>
      <c r="E51" s="263">
        <f>'12.10'!E51+COUNTIF(E$11:E$40,$C51)</f>
        <v>7</v>
      </c>
      <c r="F51" s="263">
        <f>'12.10'!F51+COUNTIF(F$11:F$40,$C51)</f>
        <v>7</v>
      </c>
      <c r="G51" s="263">
        <f>'12.10'!G51+COUNTIF(G$11:G$40,$C51)</f>
        <v>7</v>
      </c>
    </row>
    <row r="52" spans="1:7" ht="27.75">
      <c r="A52" s="1"/>
      <c r="B52" s="1"/>
      <c r="C52" s="262" t="str">
        <f>'01.09'!C52</f>
        <v>*Л. Гимнастика*</v>
      </c>
      <c r="D52" s="263">
        <f>'12.10'!D52+COUNTIF(D$11:D$40,$C52)</f>
        <v>3</v>
      </c>
      <c r="E52" s="263">
        <f>'12.10'!E52+COUNTIF(E$11:E$40,$C52)</f>
        <v>3</v>
      </c>
      <c r="F52" s="263">
        <f>'12.10'!F52+COUNTIF(F$11:F$40,$C52)</f>
        <v>3</v>
      </c>
      <c r="G52" s="263">
        <f>'12.10'!G52+COUNTIF(G$11:G$40,$C52)</f>
        <v>3</v>
      </c>
    </row>
    <row r="53" spans="1:7" ht="27.75">
      <c r="A53" s="1"/>
      <c r="B53" s="1"/>
      <c r="C53" s="262" t="str">
        <f>'01.09'!C53</f>
        <v>*Пр. Гимнастика*</v>
      </c>
      <c r="D53" s="263">
        <f>'12.10'!D53+COUNTIF(D$11:D$40,$C53)</f>
        <v>11</v>
      </c>
      <c r="E53" s="263">
        <f>'12.10'!E53+COUNTIF(E$11:E$40,$C53)</f>
        <v>11</v>
      </c>
      <c r="F53" s="263">
        <f>'12.10'!F53+COUNTIF(F$11:F$40,$C53)</f>
        <v>10</v>
      </c>
      <c r="G53" s="263">
        <f>'12.10'!G53+COUNTIF(G$11:G$40,$C53)</f>
        <v>10</v>
      </c>
    </row>
    <row r="54" spans="1:7" ht="27.75">
      <c r="A54" s="1"/>
      <c r="B54" s="1"/>
      <c r="C54" s="262" t="str">
        <f>'01.09'!C54</f>
        <v>*Л. Элективные дисциплины по ФКиС: Подвижные игры*</v>
      </c>
      <c r="D54" s="263">
        <f>'12.10'!D54+COUNTIF(D$11:D$40,$C54)</f>
        <v>1</v>
      </c>
      <c r="E54" s="263">
        <f>'12.10'!E54+COUNTIF(E$11:E$40,$C54)</f>
        <v>1</v>
      </c>
      <c r="F54" s="263">
        <f>'12.10'!F54+COUNTIF(F$11:F$40,$C54)</f>
        <v>1</v>
      </c>
      <c r="G54" s="263">
        <f>'12.10'!G54+COUNTIF(G$11:G$40,$C54)</f>
        <v>1</v>
      </c>
    </row>
    <row r="55" spans="1:7" ht="27.75">
      <c r="A55" s="1"/>
      <c r="B55" s="1"/>
      <c r="C55" s="262" t="str">
        <f>'01.09'!C55</f>
        <v>*Пр. Элективные дисциплины по ФКиС: Подвижные игры*</v>
      </c>
      <c r="D55" s="263">
        <f>'12.10'!D55+COUNTIF(D$11:D$40,$C55)</f>
        <v>7</v>
      </c>
      <c r="E55" s="263">
        <f>'12.10'!E55+COUNTIF(E$11:E$40,$C55)</f>
        <v>7</v>
      </c>
      <c r="F55" s="263">
        <f>'12.10'!F55+COUNTIF(F$11:F$40,$C55)</f>
        <v>8</v>
      </c>
      <c r="G55" s="263">
        <f>'12.10'!G55+COUNTIF(G$11:G$40,$C55)</f>
        <v>8</v>
      </c>
    </row>
    <row r="56" spans="1:7" ht="27.75">
      <c r="A56" s="1"/>
      <c r="B56" s="1"/>
      <c r="C56" s="262" t="str">
        <f>'01.09'!C56</f>
        <v>*Л. Волейбол*</v>
      </c>
      <c r="D56" s="263">
        <f>'12.10'!D56+COUNTIF(D$11:D$40,$C56)</f>
        <v>1</v>
      </c>
      <c r="E56" s="263">
        <f>'12.10'!E56+COUNTIF(E$11:E$40,$C56)</f>
        <v>1</v>
      </c>
      <c r="F56" s="263">
        <f>'12.10'!F56+COUNTIF(F$11:F$40,$C56)</f>
        <v>1</v>
      </c>
      <c r="G56" s="263">
        <f>'12.10'!G56+COUNTIF(G$11:G$40,$C56)</f>
        <v>1</v>
      </c>
    </row>
    <row r="57" spans="1:7" ht="27.75">
      <c r="A57" s="1"/>
      <c r="B57" s="1"/>
      <c r="C57" s="262" t="str">
        <f>'01.09'!C57</f>
        <v>*Пр. Волейбол*</v>
      </c>
      <c r="D57" s="263">
        <f>'12.10'!D57+COUNTIF(D$11:D$40,$C57)</f>
        <v>14</v>
      </c>
      <c r="E57" s="263">
        <f>'12.10'!E57+COUNTIF(E$11:E$40,$C57)</f>
        <v>14</v>
      </c>
      <c r="F57" s="263">
        <f>'12.10'!F57+COUNTIF(F$11:F$40,$C57)</f>
        <v>14</v>
      </c>
      <c r="G57" s="263">
        <f>'12.10'!G57+COUNTIF(G$11:G$40,$C57)</f>
        <v>14</v>
      </c>
    </row>
    <row r="58" spans="1:7" ht="27.75">
      <c r="A58" s="1"/>
      <c r="B58" s="1"/>
      <c r="C58" s="262" t="str">
        <f>'01.09'!C58</f>
        <v>*Л. Лыжные гонки*</v>
      </c>
      <c r="D58" s="263">
        <f>'12.10'!D58+COUNTIF(D$11:D$40,$C58)</f>
        <v>0</v>
      </c>
      <c r="E58" s="263">
        <f>'12.10'!E58+COUNTIF(E$11:E$40,$C58)</f>
        <v>0</v>
      </c>
      <c r="F58" s="263">
        <f>'12.10'!F58+COUNTIF(F$11:F$40,$C58)</f>
        <v>0</v>
      </c>
      <c r="G58" s="263">
        <f>'12.10'!G58+COUNTIF(G$11:G$40,$C58)</f>
        <v>0</v>
      </c>
    </row>
    <row r="59" spans="1:7" ht="27.75">
      <c r="A59" s="1"/>
      <c r="B59" s="1"/>
      <c r="C59" s="262" t="str">
        <f>'01.09'!C59</f>
        <v>*Пр. Лыжные гонки*</v>
      </c>
      <c r="D59" s="263">
        <f>'12.10'!D59+COUNTIF(D$11:D$40,$C59)</f>
        <v>0</v>
      </c>
      <c r="E59" s="263">
        <f>'12.10'!E59+COUNTIF(E$11:E$40,$C59)</f>
        <v>0</v>
      </c>
      <c r="F59" s="263">
        <f>'12.10'!F59+COUNTIF(F$11:F$40,$C59)</f>
        <v>0</v>
      </c>
      <c r="G59" s="263">
        <f>'12.10'!G59+COUNTIF(G$11:G$40,$C59)</f>
        <v>0</v>
      </c>
    </row>
    <row r="60" spans="1:7" ht="27.75">
      <c r="A60" s="1"/>
      <c r="B60" s="1"/>
      <c r="C60" s="262" t="str">
        <f>'01.09'!C60</f>
        <v>*Л. Использование электронной*</v>
      </c>
      <c r="D60" s="263">
        <f>'12.10'!D60+COUNTIF(D$11:D$40,$C60)</f>
        <v>1</v>
      </c>
      <c r="E60" s="263">
        <f>'12.10'!E60+COUNTIF(E$11:E$40,$C60)</f>
        <v>0</v>
      </c>
      <c r="F60" s="263">
        <f>'12.10'!F60+COUNTIF(F$11:F$40,$C60)</f>
        <v>0</v>
      </c>
      <c r="G60" s="263">
        <f>'12.10'!G60+COUNTIF(G$11:G$40,$C60)</f>
        <v>0</v>
      </c>
    </row>
    <row r="61" spans="1:7" ht="27.75">
      <c r="A61" s="1"/>
      <c r="B61" s="1"/>
      <c r="C61" s="262" t="str">
        <f>'01.09'!C61</f>
        <v>*Пр. Использование электронной*</v>
      </c>
      <c r="D61" s="263">
        <f>'12.10'!D61+COUNTIF(D$11:D$40,$C61)</f>
        <v>2</v>
      </c>
      <c r="E61" s="263">
        <f>'12.10'!E61+COUNTIF(E$11:E$40,$C61)</f>
        <v>2</v>
      </c>
      <c r="F61" s="263">
        <f>'12.10'!F61+COUNTIF(F$11:F$40,$C61)</f>
        <v>2</v>
      </c>
      <c r="G61" s="263">
        <f>'12.10'!G61+COUNTIF(G$11:G$40,$C61)</f>
        <v>2</v>
      </c>
    </row>
    <row r="62" spans="1:7" ht="27.75">
      <c r="A62" s="1"/>
      <c r="B62" s="1"/>
      <c r="C62" s="262" t="str">
        <f>'01.09'!C62</f>
        <v>*Пр. Иностранный*</v>
      </c>
      <c r="D62" s="263">
        <f>'12.10'!D62+COUNTIF(D$11:D$40,$C62)</f>
        <v>7</v>
      </c>
      <c r="E62" s="263">
        <f>'12.10'!E62+COUNTIF(E$11:E$40,$C62)</f>
        <v>7</v>
      </c>
      <c r="F62" s="263">
        <f>'12.10'!F62+COUNTIF(F$11:F$40,$C62)</f>
        <v>7</v>
      </c>
      <c r="G62" s="263">
        <f>'12.10'!G62+COUNTIF(G$11:G$40,$C62)</f>
        <v>7</v>
      </c>
    </row>
    <row r="63" spans="1:7" ht="27.75">
      <c r="A63" s="1"/>
      <c r="B63" s="1"/>
      <c r="C63" s="262">
        <f>'01.09'!C63</f>
        <v>0</v>
      </c>
      <c r="D63" s="263">
        <f>'12.10'!D63+COUNTIF(D$11:D$40,$C63)</f>
        <v>0</v>
      </c>
      <c r="E63" s="263">
        <f>'12.10'!E63+COUNTIF(E$11:E$40,$C63)</f>
        <v>0</v>
      </c>
      <c r="F63" s="263">
        <f>'12.10'!F63+COUNTIF(F$11:F$40,$C63)</f>
        <v>0</v>
      </c>
      <c r="G63" s="263">
        <f>'12.10'!G63+COUNTIF(G$11:G$40,$C63)</f>
        <v>0</v>
      </c>
    </row>
    <row r="64" spans="1:7" ht="27.75">
      <c r="A64" s="1"/>
      <c r="B64" s="1"/>
      <c r="C64" s="262">
        <f>'01.09'!C64</f>
        <v>0</v>
      </c>
      <c r="D64" s="263">
        <f>'12.10'!D64+COUNTIF(D$11:D$40,$C64)</f>
        <v>0</v>
      </c>
      <c r="E64" s="263">
        <f>'12.10'!E64+COUNTIF(E$11:E$40,$C64)</f>
        <v>0</v>
      </c>
      <c r="F64" s="263">
        <f>'12.10'!F64+COUNTIF(F$11:F$40,$C64)</f>
        <v>0</v>
      </c>
      <c r="G64" s="263">
        <f>'12.10'!G64+COUNTIF(G$11:G$40,$C64)</f>
        <v>0</v>
      </c>
    </row>
    <row r="65" spans="1:7" ht="27.75">
      <c r="A65" s="1"/>
      <c r="B65" s="1"/>
      <c r="C65" s="262">
        <f>'01.09'!C65</f>
        <v>0</v>
      </c>
      <c r="D65" s="263">
        <f>'12.10'!D65+COUNTIF(D$11:D$40,$C65)</f>
        <v>0</v>
      </c>
      <c r="E65" s="263">
        <f>'12.10'!E65+COUNTIF(E$11:E$40,$C65)</f>
        <v>0</v>
      </c>
      <c r="F65" s="263">
        <f>'12.10'!F65+COUNTIF(F$11:F$40,$C65)</f>
        <v>0</v>
      </c>
      <c r="G65" s="263">
        <f>'12.10'!G65+COUNTIF(G$11:G$40,$C65)</f>
        <v>0</v>
      </c>
    </row>
    <row r="66" spans="1:7" ht="27.75">
      <c r="A66" s="1"/>
      <c r="B66" s="1"/>
      <c r="C66" s="262">
        <f>'01.09'!C66</f>
        <v>0</v>
      </c>
      <c r="D66" s="263">
        <f>'12.10'!D66+COUNTIF(D$11:D$40,$C66)</f>
        <v>0</v>
      </c>
      <c r="E66" s="263">
        <f>'12.10'!E66+COUNTIF(E$11:E$40,$C66)</f>
        <v>0</v>
      </c>
      <c r="F66" s="263">
        <f>'12.10'!F66+COUNTIF(F$11:F$40,$C66)</f>
        <v>0</v>
      </c>
      <c r="G66" s="263">
        <f>'12.10'!G66+COUNTIF(G$11:G$40,$C66)</f>
        <v>0</v>
      </c>
    </row>
    <row r="67" spans="1:7" ht="33.75" customHeight="1">
      <c r="A67" s="1"/>
      <c r="B67" s="1"/>
      <c r="C67" s="262">
        <f>'01.09'!C67</f>
        <v>0</v>
      </c>
      <c r="D67" s="22">
        <f>'12.10'!D67+COUNTIF(D$11:D$40,$C67)</f>
        <v>0</v>
      </c>
      <c r="E67" s="22">
        <f>'12.10'!E67+COUNTIF(E$11:E$40,$C67)</f>
        <v>0</v>
      </c>
      <c r="F67" s="22">
        <f>'12.10'!F67+COUNTIF(F$11:F$40,$C67)</f>
        <v>0</v>
      </c>
      <c r="G67" s="22">
        <f>'12.10'!G67+COUNTIF(G$11:G$40,$C67)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21:A25"/>
    <mergeCell ref="B11:B15"/>
    <mergeCell ref="C9:C10"/>
    <mergeCell ref="B9:B10"/>
    <mergeCell ref="A9:A10"/>
    <mergeCell ref="B16:B20"/>
    <mergeCell ref="A11:A15"/>
    <mergeCell ref="A16:A20"/>
    <mergeCell ref="A3:G3"/>
    <mergeCell ref="B4:G4"/>
    <mergeCell ref="B5:G5"/>
    <mergeCell ref="A36:A40"/>
    <mergeCell ref="B36:B40"/>
    <mergeCell ref="A26:A3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G76"/>
  <sheetViews>
    <sheetView view="pageBreakPreview" topLeftCell="A22" zoomScale="40" zoomScaleNormal="40" zoomScaleSheetLayoutView="40" zoomScalePageLayoutView="40" workbookViewId="0">
      <selection activeCell="E38" sqref="E38"/>
    </sheetView>
  </sheetViews>
  <sheetFormatPr defaultRowHeight="15"/>
  <cols>
    <col min="1" max="2" width="4.42578125" customWidth="1"/>
    <col min="3" max="3" width="23.7109375" customWidth="1"/>
    <col min="4" max="4" width="75" customWidth="1"/>
    <col min="5" max="7" width="75.28515625" customWidth="1"/>
    <col min="8" max="8" width="8.8554687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8.25" customHeight="1" thickBot="1">
      <c r="A8" s="212"/>
      <c r="B8" s="745"/>
      <c r="C8" s="745"/>
      <c r="D8" s="745"/>
      <c r="E8" s="745"/>
      <c r="F8" s="745"/>
      <c r="G8" s="745"/>
    </row>
    <row r="9" spans="1:7" ht="30.75" customHeight="1" thickBot="1">
      <c r="A9" s="771" t="s">
        <v>76</v>
      </c>
      <c r="B9" s="771" t="s">
        <v>9</v>
      </c>
      <c r="C9" s="769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5.5" customHeight="1" thickBot="1">
      <c r="A10" s="772"/>
      <c r="B10" s="772"/>
      <c r="C10" s="770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102" customHeight="1">
      <c r="A11" s="774" t="s">
        <v>0</v>
      </c>
      <c r="B11" s="716">
        <v>46321</v>
      </c>
      <c r="C11" s="46" t="s">
        <v>5</v>
      </c>
      <c r="D11" s="519" t="s">
        <v>282</v>
      </c>
      <c r="E11" s="360" t="s">
        <v>286</v>
      </c>
      <c r="F11" s="360"/>
      <c r="G11" s="476" t="s">
        <v>352</v>
      </c>
    </row>
    <row r="12" spans="1:7" ht="83.25">
      <c r="A12" s="775"/>
      <c r="B12" s="707"/>
      <c r="C12" s="47" t="s">
        <v>6</v>
      </c>
      <c r="D12" s="364" t="s">
        <v>348</v>
      </c>
      <c r="E12" s="434" t="s">
        <v>349</v>
      </c>
      <c r="F12" s="434" t="s">
        <v>351</v>
      </c>
      <c r="G12" s="625" t="s">
        <v>353</v>
      </c>
    </row>
    <row r="13" spans="1:7" ht="94.5" customHeight="1">
      <c r="A13" s="775"/>
      <c r="B13" s="707"/>
      <c r="C13" s="47" t="s">
        <v>7</v>
      </c>
      <c r="D13" s="414" t="s">
        <v>350</v>
      </c>
      <c r="E13" s="624"/>
      <c r="F13" s="624" t="s">
        <v>343</v>
      </c>
      <c r="G13" s="397" t="s">
        <v>285</v>
      </c>
    </row>
    <row r="14" spans="1:7" ht="75" customHeight="1">
      <c r="A14" s="775"/>
      <c r="B14" s="707"/>
      <c r="C14" s="47" t="s">
        <v>8</v>
      </c>
      <c r="D14" s="395"/>
      <c r="E14" s="442"/>
      <c r="F14" s="442" t="s">
        <v>285</v>
      </c>
      <c r="G14" s="397"/>
    </row>
    <row r="15" spans="1:7" ht="59.25" customHeight="1" thickBot="1">
      <c r="A15" s="775"/>
      <c r="B15" s="707"/>
      <c r="C15" s="48" t="s">
        <v>10</v>
      </c>
      <c r="D15" s="546"/>
      <c r="E15" s="547"/>
      <c r="F15" s="547"/>
      <c r="G15" s="548"/>
    </row>
    <row r="16" spans="1:7" ht="124.5" customHeight="1">
      <c r="A16" s="774" t="s">
        <v>1</v>
      </c>
      <c r="B16" s="709">
        <f>B11+1</f>
        <v>46322</v>
      </c>
      <c r="C16" s="46" t="s">
        <v>5</v>
      </c>
      <c r="D16" s="479"/>
      <c r="E16" s="404" t="s">
        <v>276</v>
      </c>
      <c r="F16" s="404" t="s">
        <v>277</v>
      </c>
      <c r="G16" s="476" t="s">
        <v>332</v>
      </c>
    </row>
    <row r="17" spans="1:7" ht="124.5" customHeight="1">
      <c r="A17" s="775"/>
      <c r="B17" s="707"/>
      <c r="C17" s="47" t="s">
        <v>6</v>
      </c>
      <c r="D17" s="395" t="s">
        <v>367</v>
      </c>
      <c r="E17" s="396" t="s">
        <v>276</v>
      </c>
      <c r="F17" s="396" t="s">
        <v>277</v>
      </c>
      <c r="G17" s="415" t="s">
        <v>300</v>
      </c>
    </row>
    <row r="18" spans="1:7" ht="78" customHeight="1">
      <c r="A18" s="775"/>
      <c r="B18" s="707"/>
      <c r="C18" s="47" t="s">
        <v>7</v>
      </c>
      <c r="D18" s="395" t="s">
        <v>278</v>
      </c>
      <c r="E18" s="396" t="s">
        <v>286</v>
      </c>
      <c r="F18" s="477" t="s">
        <v>355</v>
      </c>
      <c r="G18" s="397" t="s">
        <v>285</v>
      </c>
    </row>
    <row r="19" spans="1:7" ht="78" customHeight="1">
      <c r="A19" s="775"/>
      <c r="B19" s="707"/>
      <c r="C19" s="47" t="s">
        <v>8</v>
      </c>
      <c r="D19" s="395" t="s">
        <v>286</v>
      </c>
      <c r="E19" s="396" t="s">
        <v>278</v>
      </c>
      <c r="F19" s="396"/>
      <c r="G19" s="397"/>
    </row>
    <row r="20" spans="1:7" ht="78" customHeight="1" thickBot="1">
      <c r="A20" s="776"/>
      <c r="B20" s="707"/>
      <c r="C20" s="48" t="s">
        <v>10</v>
      </c>
      <c r="D20" s="399"/>
      <c r="E20" s="400"/>
      <c r="F20" s="400"/>
      <c r="G20" s="401"/>
    </row>
    <row r="21" spans="1:7" ht="98.25" customHeight="1">
      <c r="A21" s="774" t="s">
        <v>2</v>
      </c>
      <c r="B21" s="709">
        <f>B16+1</f>
        <v>46323</v>
      </c>
      <c r="C21" s="46" t="s">
        <v>5</v>
      </c>
      <c r="D21" s="257" t="s">
        <v>283</v>
      </c>
      <c r="E21" s="326"/>
      <c r="F21" s="326" t="s">
        <v>285</v>
      </c>
      <c r="G21" s="398" t="s">
        <v>282</v>
      </c>
    </row>
    <row r="22" spans="1:7" ht="98.25" customHeight="1">
      <c r="A22" s="775"/>
      <c r="B22" s="707"/>
      <c r="C22" s="47" t="s">
        <v>6</v>
      </c>
      <c r="D22" s="623" t="s">
        <v>343</v>
      </c>
      <c r="E22" s="258" t="s">
        <v>284</v>
      </c>
      <c r="F22" s="442" t="s">
        <v>282</v>
      </c>
      <c r="G22" s="248" t="s">
        <v>290</v>
      </c>
    </row>
    <row r="23" spans="1:7" ht="98.25" customHeight="1">
      <c r="A23" s="775"/>
      <c r="B23" s="707"/>
      <c r="C23" s="47" t="s">
        <v>7</v>
      </c>
      <c r="D23" s="395" t="s">
        <v>289</v>
      </c>
      <c r="E23" s="259" t="s">
        <v>282</v>
      </c>
      <c r="F23" s="345" t="s">
        <v>307</v>
      </c>
      <c r="G23" s="397" t="s">
        <v>288</v>
      </c>
    </row>
    <row r="24" spans="1:7" ht="98.25" customHeight="1">
      <c r="A24" s="775"/>
      <c r="B24" s="707"/>
      <c r="C24" s="47" t="s">
        <v>8</v>
      </c>
      <c r="D24" s="257" t="s">
        <v>286</v>
      </c>
      <c r="E24" s="258" t="s">
        <v>289</v>
      </c>
      <c r="F24" s="258"/>
      <c r="G24" s="614" t="s">
        <v>307</v>
      </c>
    </row>
    <row r="25" spans="1:7" ht="34.5" customHeight="1" thickBot="1">
      <c r="A25" s="776"/>
      <c r="B25" s="707"/>
      <c r="C25" s="48" t="s">
        <v>10</v>
      </c>
      <c r="D25" s="265"/>
      <c r="E25" s="315"/>
      <c r="F25" s="315"/>
      <c r="G25" s="316"/>
    </row>
    <row r="26" spans="1:7" ht="27.75">
      <c r="A26" s="778" t="s">
        <v>3</v>
      </c>
      <c r="B26" s="734">
        <f>B21+1</f>
        <v>46324</v>
      </c>
      <c r="C26" s="105" t="s">
        <v>5</v>
      </c>
      <c r="D26" s="289"/>
      <c r="E26" s="329"/>
      <c r="F26" s="329"/>
      <c r="G26" s="334"/>
    </row>
    <row r="27" spans="1:7" ht="27.75">
      <c r="A27" s="779"/>
      <c r="B27" s="731"/>
      <c r="C27" s="106" t="s">
        <v>6</v>
      </c>
      <c r="D27" s="335"/>
      <c r="E27" s="358"/>
      <c r="F27" s="358"/>
      <c r="G27" s="359"/>
    </row>
    <row r="28" spans="1:7" ht="93" customHeight="1">
      <c r="A28" s="779"/>
      <c r="B28" s="731"/>
      <c r="C28" s="106" t="s">
        <v>7</v>
      </c>
      <c r="D28" s="395"/>
      <c r="E28" s="442"/>
      <c r="F28" s="442" t="s">
        <v>290</v>
      </c>
      <c r="G28" s="397"/>
    </row>
    <row r="29" spans="1:7" ht="78" customHeight="1">
      <c r="A29" s="779"/>
      <c r="B29" s="731"/>
      <c r="C29" s="106" t="s">
        <v>8</v>
      </c>
      <c r="D29" s="395"/>
      <c r="E29" s="442"/>
      <c r="F29" s="442" t="s">
        <v>287</v>
      </c>
      <c r="G29" s="248"/>
    </row>
    <row r="30" spans="1:7" ht="28.5" thickBot="1">
      <c r="A30" s="780"/>
      <c r="B30" s="731"/>
      <c r="C30" s="107" t="s">
        <v>10</v>
      </c>
      <c r="D30" s="265"/>
      <c r="E30" s="474"/>
      <c r="F30" s="474"/>
      <c r="G30" s="475"/>
    </row>
    <row r="31" spans="1:7" ht="99" customHeight="1">
      <c r="A31" s="778" t="s">
        <v>4</v>
      </c>
      <c r="B31" s="734">
        <f>B26+1</f>
        <v>46325</v>
      </c>
      <c r="C31" s="105" t="s">
        <v>5</v>
      </c>
      <c r="D31" s="628"/>
      <c r="E31" s="255" t="s">
        <v>357</v>
      </c>
      <c r="F31" s="255"/>
      <c r="G31" s="334" t="s">
        <v>288</v>
      </c>
    </row>
    <row r="32" spans="1:7" ht="100.5" customHeight="1">
      <c r="A32" s="781"/>
      <c r="B32" s="731"/>
      <c r="C32" s="106" t="s">
        <v>6</v>
      </c>
      <c r="D32" s="257" t="s">
        <v>283</v>
      </c>
      <c r="E32" s="345" t="s">
        <v>358</v>
      </c>
      <c r="F32" s="442" t="s">
        <v>287</v>
      </c>
      <c r="G32" s="415" t="s">
        <v>357</v>
      </c>
    </row>
    <row r="33" spans="1:7" ht="114.75" customHeight="1">
      <c r="A33" s="781"/>
      <c r="B33" s="731"/>
      <c r="C33" s="106" t="s">
        <v>7</v>
      </c>
      <c r="D33" s="395" t="s">
        <v>366</v>
      </c>
      <c r="E33" s="396" t="s">
        <v>151</v>
      </c>
      <c r="F33" s="396" t="s">
        <v>152</v>
      </c>
      <c r="G33" s="415" t="s">
        <v>298</v>
      </c>
    </row>
    <row r="34" spans="1:7" ht="94.5" customHeight="1">
      <c r="A34" s="781"/>
      <c r="B34" s="731"/>
      <c r="C34" s="106" t="s">
        <v>8</v>
      </c>
      <c r="D34" s="395" t="s">
        <v>365</v>
      </c>
      <c r="E34" s="396"/>
      <c r="F34" s="396"/>
      <c r="G34" s="397" t="s">
        <v>331</v>
      </c>
    </row>
    <row r="35" spans="1:7" ht="28.5" thickBot="1">
      <c r="A35" s="782"/>
      <c r="B35" s="731"/>
      <c r="C35" s="107" t="s">
        <v>10</v>
      </c>
      <c r="D35" s="362"/>
      <c r="E35" s="363"/>
      <c r="F35" s="315"/>
      <c r="G35" s="445"/>
    </row>
    <row r="36" spans="1:7" ht="93" customHeight="1">
      <c r="A36" s="731" t="s">
        <v>18</v>
      </c>
      <c r="B36" s="734">
        <f>B31+1</f>
        <v>46326</v>
      </c>
      <c r="C36" s="105" t="s">
        <v>5</v>
      </c>
      <c r="D36" s="254" t="s">
        <v>364</v>
      </c>
      <c r="E36" s="77"/>
      <c r="F36" s="77"/>
      <c r="G36" s="218"/>
    </row>
    <row r="37" spans="1:7" ht="83.25">
      <c r="A37" s="731"/>
      <c r="B37" s="731"/>
      <c r="C37" s="106" t="s">
        <v>6</v>
      </c>
      <c r="D37" s="257" t="s">
        <v>365</v>
      </c>
      <c r="E37" s="345"/>
      <c r="F37" s="274"/>
      <c r="G37" s="279"/>
    </row>
    <row r="38" spans="1:7" ht="90.75" customHeight="1">
      <c r="A38" s="731"/>
      <c r="B38" s="731"/>
      <c r="C38" s="106" t="s">
        <v>7</v>
      </c>
      <c r="D38" s="395"/>
      <c r="E38" s="345"/>
      <c r="F38" s="57"/>
      <c r="G38" s="61"/>
    </row>
    <row r="39" spans="1:7" ht="42.75" customHeight="1">
      <c r="A39" s="731"/>
      <c r="B39" s="731"/>
      <c r="C39" s="106" t="s">
        <v>8</v>
      </c>
      <c r="D39" s="62"/>
      <c r="E39" s="57"/>
      <c r="F39" s="57"/>
      <c r="G39" s="61"/>
    </row>
    <row r="40" spans="1:7" ht="42.75" customHeight="1" thickBot="1">
      <c r="A40" s="777"/>
      <c r="B40" s="777"/>
      <c r="C40" s="107" t="s">
        <v>10</v>
      </c>
      <c r="D40" s="180"/>
      <c r="E40" s="181"/>
      <c r="F40" s="181"/>
      <c r="G40" s="197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3.25">
      <c r="A42" s="1"/>
      <c r="B42" s="1"/>
      <c r="C42" s="83" t="str">
        <f>'01.09'!C42</f>
        <v>*Л. Речевое общение в профессиональной деятельности*</v>
      </c>
      <c r="D42" s="80">
        <f>'19.10'!D42+COUNTIF(D$11:D$40,$C42)</f>
        <v>5</v>
      </c>
      <c r="E42" s="80">
        <f>'19.10'!E42+COUNTIF(E$11:E$40,$C42)</f>
        <v>5</v>
      </c>
      <c r="F42" s="80">
        <f>'19.10'!F42+COUNTIF(F$11:F$40,$C42)</f>
        <v>5</v>
      </c>
      <c r="G42" s="80">
        <f>'19.10'!G42+COUNTIF(G$11:G$40,$C42)</f>
        <v>5</v>
      </c>
    </row>
    <row r="43" spans="1:7" ht="23.25">
      <c r="A43" s="1"/>
      <c r="B43" s="1"/>
      <c r="C43" s="83" t="str">
        <f>'01.09'!C43</f>
        <v>*Пр. Речевое общение в профессиональной деятельности*</v>
      </c>
      <c r="D43" s="80">
        <f>'19.10'!D43+COUNTIF(D$11:D$40,$C43)</f>
        <v>4</v>
      </c>
      <c r="E43" s="80">
        <f>'19.10'!E43+COUNTIF(E$11:E$40,$C43)</f>
        <v>4</v>
      </c>
      <c r="F43" s="80">
        <f>'19.10'!F43+COUNTIF(F$11:F$40,$C43)</f>
        <v>4</v>
      </c>
      <c r="G43" s="80">
        <f>'19.10'!G43+COUNTIF(G$11:G$40,$C43)</f>
        <v>4</v>
      </c>
    </row>
    <row r="44" spans="1:7" ht="23.25">
      <c r="A44" s="1"/>
      <c r="B44" s="1"/>
      <c r="C44" s="83" t="str">
        <f>'01.09'!C44</f>
        <v>*Л. Физическая культура и спорт*</v>
      </c>
      <c r="D44" s="80">
        <f>'19.10'!D44+COUNTIF(D$11:D$40,$C44)</f>
        <v>5</v>
      </c>
      <c r="E44" s="80">
        <f>'19.10'!E44+COUNTIF(E$11:E$40,$C44)</f>
        <v>5</v>
      </c>
      <c r="F44" s="80">
        <f>'19.10'!F44+COUNTIF(F$11:F$40,$C44)</f>
        <v>5</v>
      </c>
      <c r="G44" s="80">
        <f>'19.10'!G44+COUNTIF(G$11:G$40,$C44)</f>
        <v>5</v>
      </c>
    </row>
    <row r="45" spans="1:7" ht="23.25">
      <c r="A45" s="1"/>
      <c r="B45" s="1"/>
      <c r="C45" s="83" t="str">
        <f>'01.09'!C45</f>
        <v>*Пр. Физическая культура и спорт*</v>
      </c>
      <c r="D45" s="80">
        <f>'19.10'!D45+COUNTIF(D$11:D$40,$C45)</f>
        <v>5</v>
      </c>
      <c r="E45" s="80">
        <f>'19.10'!E45+COUNTIF(E$11:E$40,$C45)</f>
        <v>5</v>
      </c>
      <c r="F45" s="80">
        <f>'19.10'!F45+COUNTIF(F$11:F$40,$C45)</f>
        <v>5</v>
      </c>
      <c r="G45" s="80">
        <f>'19.10'!G45+COUNTIF(G$11:G$40,$C45)</f>
        <v>5</v>
      </c>
    </row>
    <row r="46" spans="1:7" ht="23.25">
      <c r="A46" s="1"/>
      <c r="B46" s="1"/>
      <c r="C46" s="83" t="str">
        <f>'01.09'!C46</f>
        <v>*Л. Анатомия*</v>
      </c>
      <c r="D46" s="80">
        <f>'19.10'!D46+COUNTIF(D$11:D$40,$C46)</f>
        <v>4</v>
      </c>
      <c r="E46" s="80">
        <f>'19.10'!E46+COUNTIF(E$11:E$40,$C46)</f>
        <v>4</v>
      </c>
      <c r="F46" s="80">
        <f>'19.10'!F46+COUNTIF(F$11:F$40,$C46)</f>
        <v>4</v>
      </c>
      <c r="G46" s="80">
        <f>'19.10'!G46+COUNTIF(G$11:G$40,$C46)</f>
        <v>4</v>
      </c>
    </row>
    <row r="47" spans="1:7" ht="23.25">
      <c r="A47" s="1"/>
      <c r="B47" s="1"/>
      <c r="C47" s="83" t="str">
        <f>'01.09'!C47</f>
        <v>*Пр. Анатомия*</v>
      </c>
      <c r="D47" s="80">
        <f>'19.10'!D47+COUNTIF(D$11:D$40,$C47)</f>
        <v>4</v>
      </c>
      <c r="E47" s="80">
        <f>'19.10'!E47+COUNTIF(E$11:E$40,$C47)</f>
        <v>4</v>
      </c>
      <c r="F47" s="80">
        <f>'19.10'!F47+COUNTIF(F$11:F$40,$C47)</f>
        <v>4</v>
      </c>
      <c r="G47" s="80">
        <f>'19.10'!G47+COUNTIF(G$11:G$40,$C47)</f>
        <v>4</v>
      </c>
    </row>
    <row r="48" spans="1:7" ht="23.25">
      <c r="A48" s="1"/>
      <c r="B48" s="1"/>
      <c r="C48" s="83" t="str">
        <f>'01.09'!C48</f>
        <v>*Л. Теория и методика*</v>
      </c>
      <c r="D48" s="80">
        <f>'19.10'!D48+COUNTIF(D$11:D$40,$C48)</f>
        <v>5</v>
      </c>
      <c r="E48" s="80">
        <f>'19.10'!E48+COUNTIF(E$11:E$40,$C48)</f>
        <v>5</v>
      </c>
      <c r="F48" s="80">
        <f>'19.10'!F48+COUNTIF(F$11:F$40,$C48)</f>
        <v>5</v>
      </c>
      <c r="G48" s="80">
        <f>'19.10'!G48+COUNTIF(G$11:G$40,$C48)</f>
        <v>5</v>
      </c>
    </row>
    <row r="49" spans="1:7" ht="23.25">
      <c r="A49" s="1"/>
      <c r="B49" s="1"/>
      <c r="C49" s="83" t="str">
        <f>'01.09'!C49</f>
        <v>*Пр. Теория и методика*</v>
      </c>
      <c r="D49" s="80">
        <f>'19.10'!D49+COUNTIF(D$11:D$40,$C49)</f>
        <v>24</v>
      </c>
      <c r="E49" s="80">
        <f>'19.10'!E49+COUNTIF(E$11:E$40,$C49)</f>
        <v>25</v>
      </c>
      <c r="F49" s="80">
        <f>'19.10'!F49+COUNTIF(F$11:F$40,$C49)</f>
        <v>25</v>
      </c>
      <c r="G49" s="80">
        <f>'19.10'!G49+COUNTIF(G$11:G$40,$C49)</f>
        <v>25</v>
      </c>
    </row>
    <row r="50" spans="1:7" ht="23.25">
      <c r="A50" s="1"/>
      <c r="B50" s="1"/>
      <c r="C50" s="83" t="str">
        <f>'01.09'!C50</f>
        <v>*Л. Информационные технологии*</v>
      </c>
      <c r="D50" s="80">
        <f>'19.10'!D50+COUNTIF(D$11:D$40,$C50)</f>
        <v>2</v>
      </c>
      <c r="E50" s="80">
        <f>'19.10'!E50+COUNTIF(E$11:E$40,$C50)</f>
        <v>2</v>
      </c>
      <c r="F50" s="80">
        <f>'19.10'!F50+COUNTIF(F$11:F$40,$C50)</f>
        <v>2</v>
      </c>
      <c r="G50" s="80">
        <f>'19.10'!G50+COUNTIF(G$11:G$40,$C50)</f>
        <v>2</v>
      </c>
    </row>
    <row r="51" spans="1:7" ht="23.25">
      <c r="A51" s="1"/>
      <c r="B51" s="1"/>
      <c r="C51" s="83" t="str">
        <f>'01.09'!C51</f>
        <v>*Пр. Информационные технологии*</v>
      </c>
      <c r="D51" s="80">
        <f>'19.10'!D51+COUNTIF(D$11:D$40,$C51)</f>
        <v>8</v>
      </c>
      <c r="E51" s="80">
        <f>'19.10'!E51+COUNTIF(E$11:E$40,$C51)</f>
        <v>8</v>
      </c>
      <c r="F51" s="80">
        <f>'19.10'!F51+COUNTIF(F$11:F$40,$C51)</f>
        <v>8</v>
      </c>
      <c r="G51" s="80">
        <f>'19.10'!G51+COUNTIF(G$11:G$40,$C51)</f>
        <v>8</v>
      </c>
    </row>
    <row r="52" spans="1:7" ht="23.25">
      <c r="A52" s="1"/>
      <c r="B52" s="1"/>
      <c r="C52" s="83" t="str">
        <f>'01.09'!C52</f>
        <v>*Л. Гимнастика*</v>
      </c>
      <c r="D52" s="80">
        <f>'19.10'!D52+COUNTIF(D$11:D$40,$C52)</f>
        <v>3</v>
      </c>
      <c r="E52" s="80">
        <f>'19.10'!E52+COUNTIF(E$11:E$40,$C52)</f>
        <v>3</v>
      </c>
      <c r="F52" s="80">
        <f>'19.10'!F52+COUNTIF(F$11:F$40,$C52)</f>
        <v>3</v>
      </c>
      <c r="G52" s="80">
        <f>'19.10'!G52+COUNTIF(G$11:G$40,$C52)</f>
        <v>3</v>
      </c>
    </row>
    <row r="53" spans="1:7" ht="23.25">
      <c r="A53" s="1"/>
      <c r="B53" s="1"/>
      <c r="C53" s="83" t="str">
        <f>'01.09'!C53</f>
        <v>*Пр. Гимнастика*</v>
      </c>
      <c r="D53" s="80">
        <f>'19.10'!D53+COUNTIF(D$11:D$40,$C53)</f>
        <v>13</v>
      </c>
      <c r="E53" s="80">
        <f>'19.10'!E53+COUNTIF(E$11:E$40,$C53)</f>
        <v>12</v>
      </c>
      <c r="F53" s="80">
        <f>'19.10'!F53+COUNTIF(F$11:F$40,$C53)</f>
        <v>12</v>
      </c>
      <c r="G53" s="80">
        <f>'19.10'!G53+COUNTIF(G$11:G$40,$C53)</f>
        <v>12</v>
      </c>
    </row>
    <row r="54" spans="1:7" ht="23.25">
      <c r="A54" s="1"/>
      <c r="B54" s="1"/>
      <c r="C54" s="83" t="str">
        <f>'01.09'!C54</f>
        <v>*Л. Элективные дисциплины по ФКиС: Подвижные игры*</v>
      </c>
      <c r="D54" s="80">
        <f>'19.10'!D54+COUNTIF(D$11:D$40,$C54)</f>
        <v>1</v>
      </c>
      <c r="E54" s="80">
        <f>'19.10'!E54+COUNTIF(E$11:E$40,$C54)</f>
        <v>1</v>
      </c>
      <c r="F54" s="80">
        <f>'19.10'!F54+COUNTIF(F$11:F$40,$C54)</f>
        <v>1</v>
      </c>
      <c r="G54" s="80">
        <f>'19.10'!G54+COUNTIF(G$11:G$40,$C54)</f>
        <v>1</v>
      </c>
    </row>
    <row r="55" spans="1:7" ht="23.25">
      <c r="A55" s="1"/>
      <c r="B55" s="1"/>
      <c r="C55" s="83" t="str">
        <f>'01.09'!C55</f>
        <v>*Пр. Элективные дисциплины по ФКиС: Подвижные игры*</v>
      </c>
      <c r="D55" s="80">
        <f>'19.10'!D55+COUNTIF(D$11:D$40,$C55)</f>
        <v>8</v>
      </c>
      <c r="E55" s="80">
        <f>'19.10'!E55+COUNTIF(E$11:E$40,$C55)</f>
        <v>8</v>
      </c>
      <c r="F55" s="80">
        <f>'19.10'!F55+COUNTIF(F$11:F$40,$C55)</f>
        <v>9</v>
      </c>
      <c r="G55" s="80">
        <f>'19.10'!G55+COUNTIF(G$11:G$40,$C55)</f>
        <v>9</v>
      </c>
    </row>
    <row r="56" spans="1:7" ht="23.25">
      <c r="A56" s="1"/>
      <c r="B56" s="1"/>
      <c r="C56" s="83" t="str">
        <f>'01.09'!C56</f>
        <v>*Л. Волейбол*</v>
      </c>
      <c r="D56" s="80">
        <f>'19.10'!D56+COUNTIF(D$11:D$40,$C56)</f>
        <v>1</v>
      </c>
      <c r="E56" s="80">
        <f>'19.10'!E56+COUNTIF(E$11:E$40,$C56)</f>
        <v>1</v>
      </c>
      <c r="F56" s="80">
        <f>'19.10'!F56+COUNTIF(F$11:F$40,$C56)</f>
        <v>1</v>
      </c>
      <c r="G56" s="80">
        <f>'19.10'!G56+COUNTIF(G$11:G$40,$C56)</f>
        <v>1</v>
      </c>
    </row>
    <row r="57" spans="1:7" ht="23.25">
      <c r="A57" s="1"/>
      <c r="B57" s="1"/>
      <c r="C57" s="83" t="str">
        <f>'01.09'!C57</f>
        <v>*Пр. Волейбол*</v>
      </c>
      <c r="D57" s="80">
        <f>'19.10'!D57+COUNTIF(D$11:D$40,$C57)</f>
        <v>16</v>
      </c>
      <c r="E57" s="80">
        <f>'19.10'!E57+COUNTIF(E$11:E$40,$C57)</f>
        <v>16</v>
      </c>
      <c r="F57" s="80">
        <f>'19.10'!F57+COUNTIF(F$11:F$40,$C57)</f>
        <v>16</v>
      </c>
      <c r="G57" s="80">
        <f>'19.10'!G57+COUNTIF(G$11:G$40,$C57)</f>
        <v>16</v>
      </c>
    </row>
    <row r="58" spans="1:7" ht="23.25">
      <c r="A58" s="1"/>
      <c r="B58" s="1"/>
      <c r="C58" s="83" t="str">
        <f>'01.09'!C58</f>
        <v>*Л. Лыжные гонки*</v>
      </c>
      <c r="D58" s="80">
        <f>'19.10'!D58+COUNTIF(D$11:D$40,$C58)</f>
        <v>0</v>
      </c>
      <c r="E58" s="80">
        <f>'19.10'!E58+COUNTIF(E$11:E$40,$C58)</f>
        <v>0</v>
      </c>
      <c r="F58" s="80">
        <f>'19.10'!F58+COUNTIF(F$11:F$40,$C58)</f>
        <v>0</v>
      </c>
      <c r="G58" s="80">
        <f>'19.10'!G58+COUNTIF(G$11:G$40,$C58)</f>
        <v>0</v>
      </c>
    </row>
    <row r="59" spans="1:7" ht="23.25">
      <c r="A59" s="1"/>
      <c r="B59" s="1"/>
      <c r="C59" s="83" t="str">
        <f>'01.09'!C59</f>
        <v>*Пр. Лыжные гонки*</v>
      </c>
      <c r="D59" s="80">
        <f>'19.10'!D59+COUNTIF(D$11:D$40,$C59)</f>
        <v>0</v>
      </c>
      <c r="E59" s="80">
        <f>'19.10'!E59+COUNTIF(E$11:E$40,$C59)</f>
        <v>0</v>
      </c>
      <c r="F59" s="80">
        <f>'19.10'!F59+COUNTIF(F$11:F$40,$C59)</f>
        <v>0</v>
      </c>
      <c r="G59" s="80">
        <f>'19.10'!G59+COUNTIF(G$11:G$40,$C59)</f>
        <v>0</v>
      </c>
    </row>
    <row r="60" spans="1:7" ht="23.25">
      <c r="A60" s="1"/>
      <c r="B60" s="1"/>
      <c r="C60" s="83" t="str">
        <f>'01.09'!C60</f>
        <v>*Л. Использование электронной*</v>
      </c>
      <c r="D60" s="80">
        <f>'19.10'!D60+COUNTIF(D$11:D$40,$C60)</f>
        <v>1</v>
      </c>
      <c r="E60" s="80">
        <f>'19.10'!E60+COUNTIF(E$11:E$40,$C60)</f>
        <v>0</v>
      </c>
      <c r="F60" s="80">
        <f>'19.10'!F60+COUNTIF(F$11:F$40,$C60)</f>
        <v>0</v>
      </c>
      <c r="G60" s="80">
        <f>'19.10'!G60+COUNTIF(G$11:G$40,$C60)</f>
        <v>0</v>
      </c>
    </row>
    <row r="61" spans="1:7" ht="23.25">
      <c r="A61" s="1"/>
      <c r="B61" s="1"/>
      <c r="C61" s="83" t="str">
        <f>'01.09'!C61</f>
        <v>*Пр. Использование электронной*</v>
      </c>
      <c r="D61" s="80">
        <f>'19.10'!D61+COUNTIF(D$11:D$40,$C61)</f>
        <v>2</v>
      </c>
      <c r="E61" s="80">
        <f>'19.10'!E61+COUNTIF(E$11:E$40,$C61)</f>
        <v>2</v>
      </c>
      <c r="F61" s="80">
        <f>'19.10'!F61+COUNTIF(F$11:F$40,$C61)</f>
        <v>2</v>
      </c>
      <c r="G61" s="80">
        <f>'19.10'!G61+COUNTIF(G$11:G$40,$C61)</f>
        <v>2</v>
      </c>
    </row>
    <row r="62" spans="1:7" ht="23.25">
      <c r="A62" s="1"/>
      <c r="B62" s="1"/>
      <c r="C62" s="83" t="str">
        <f>'01.09'!C62</f>
        <v>*Пр. Иностранный*</v>
      </c>
      <c r="D62" s="80">
        <f>'19.10'!D62+COUNTIF(D$11:D$40,$C62)</f>
        <v>8</v>
      </c>
      <c r="E62" s="80">
        <f>'19.10'!E62+COUNTIF(E$11:E$40,$C62)</f>
        <v>8</v>
      </c>
      <c r="F62" s="80">
        <f>'19.10'!F62+COUNTIF(F$11:F$40,$C62)</f>
        <v>8</v>
      </c>
      <c r="G62" s="80">
        <f>'19.10'!G62+COUNTIF(G$11:G$40,$C62)</f>
        <v>8</v>
      </c>
    </row>
    <row r="63" spans="1:7" ht="23.25">
      <c r="A63" s="1"/>
      <c r="B63" s="1"/>
      <c r="C63" s="83">
        <f>'01.09'!C63</f>
        <v>0</v>
      </c>
      <c r="D63" s="80">
        <f>'19.10'!D63+COUNTIF(D$11:D$40,$C63)</f>
        <v>0</v>
      </c>
      <c r="E63" s="80">
        <f>'19.10'!E63+COUNTIF(E$11:E$40,$C63)</f>
        <v>0</v>
      </c>
      <c r="F63" s="80">
        <f>'19.10'!F63+COUNTIF(F$11:F$40,$C63)</f>
        <v>0</v>
      </c>
      <c r="G63" s="80">
        <f>'19.10'!G63+COUNTIF(G$11:G$40,$C63)</f>
        <v>0</v>
      </c>
    </row>
    <row r="64" spans="1:7" ht="23.25">
      <c r="A64" s="1"/>
      <c r="B64" s="1"/>
      <c r="C64" s="83">
        <f>'01.09'!C64</f>
        <v>0</v>
      </c>
      <c r="D64" s="80">
        <f>'19.10'!D64+COUNTIF(D$11:D$40,$C64)</f>
        <v>0</v>
      </c>
      <c r="E64" s="80">
        <f>'19.10'!E64+COUNTIF(E$11:E$40,$C64)</f>
        <v>0</v>
      </c>
      <c r="F64" s="80">
        <f>'19.10'!F64+COUNTIF(F$11:F$40,$C64)</f>
        <v>0</v>
      </c>
      <c r="G64" s="80">
        <f>'19.10'!G64+COUNTIF(G$11:G$40,$C64)</f>
        <v>0</v>
      </c>
    </row>
    <row r="65" spans="1:7" ht="23.25">
      <c r="A65" s="1"/>
      <c r="B65" s="1"/>
      <c r="C65" s="83">
        <f>'01.09'!C65</f>
        <v>0</v>
      </c>
      <c r="D65" s="80">
        <f>'19.10'!D65+COUNTIF(D$11:D$40,$C65)</f>
        <v>0</v>
      </c>
      <c r="E65" s="80">
        <f>'19.10'!E65+COUNTIF(E$11:E$40,$C65)</f>
        <v>0</v>
      </c>
      <c r="F65" s="80">
        <f>'19.10'!F65+COUNTIF(F$11:F$40,$C65)</f>
        <v>0</v>
      </c>
      <c r="G65" s="80">
        <f>'19.10'!G65+COUNTIF(G$11:G$40,$C65)</f>
        <v>0</v>
      </c>
    </row>
    <row r="66" spans="1:7" ht="23.25">
      <c r="A66" s="1"/>
      <c r="B66" s="1"/>
      <c r="C66" s="83">
        <f>'01.09'!C66</f>
        <v>0</v>
      </c>
      <c r="D66" s="80">
        <f>'19.10'!D66+COUNTIF(D$11:D$40,$C66)</f>
        <v>0</v>
      </c>
      <c r="E66" s="80">
        <f>'19.10'!E66+COUNTIF(E$11:E$40,$C66)</f>
        <v>0</v>
      </c>
      <c r="F66" s="80">
        <f>'19.10'!F66+COUNTIF(F$11:F$40,$C66)</f>
        <v>0</v>
      </c>
      <c r="G66" s="80">
        <f>'19.10'!G66+COUNTIF(G$11:G$40,$C66)</f>
        <v>0</v>
      </c>
    </row>
    <row r="67" spans="1:7" ht="23.25">
      <c r="A67" s="1"/>
      <c r="B67" s="1"/>
      <c r="C67" s="83">
        <f>'01.09'!C67</f>
        <v>0</v>
      </c>
      <c r="D67" s="80">
        <f>'19.10'!D67+COUNTIF(D$11:D$40,$C67)</f>
        <v>0</v>
      </c>
      <c r="E67" s="80">
        <f>'19.10'!E67+COUNTIF(E$11:E$40,$C67)</f>
        <v>0</v>
      </c>
      <c r="F67" s="80">
        <f>'19.10'!F67+COUNTIF(F$11:F$40,$C67)</f>
        <v>0</v>
      </c>
      <c r="G67" s="80">
        <f>'19.10'!G67+COUNTIF(G$11:G$40,$C67)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A11:A15"/>
    <mergeCell ref="B4:G4"/>
    <mergeCell ref="B5:G5"/>
    <mergeCell ref="B1:G1"/>
    <mergeCell ref="B2:G2"/>
    <mergeCell ref="B6:G6"/>
    <mergeCell ref="B7:G7"/>
    <mergeCell ref="A21:A25"/>
    <mergeCell ref="A3:G3"/>
    <mergeCell ref="A36:A40"/>
    <mergeCell ref="B36:B40"/>
    <mergeCell ref="A26:A30"/>
    <mergeCell ref="A31:A35"/>
    <mergeCell ref="B26:B30"/>
    <mergeCell ref="B31:B35"/>
    <mergeCell ref="B8:G8"/>
    <mergeCell ref="B21:B25"/>
    <mergeCell ref="A16:A20"/>
    <mergeCell ref="B11:B15"/>
    <mergeCell ref="B16:B20"/>
    <mergeCell ref="C9:C10"/>
    <mergeCell ref="A9:A10"/>
    <mergeCell ref="B9:B10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G76"/>
  <sheetViews>
    <sheetView view="pageBreakPreview" topLeftCell="A7" zoomScale="40" zoomScaleNormal="40" zoomScaleSheetLayoutView="40" zoomScalePageLayoutView="40" workbookViewId="0">
      <selection activeCell="F10" sqref="F10"/>
    </sheetView>
  </sheetViews>
  <sheetFormatPr defaultRowHeight="15"/>
  <cols>
    <col min="1" max="2" width="4.42578125" customWidth="1"/>
    <col min="3" max="3" width="23" customWidth="1"/>
    <col min="4" max="7" width="75.14062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6" customHeight="1" thickBot="1">
      <c r="A8" s="212"/>
      <c r="B8" s="745"/>
      <c r="C8" s="745"/>
      <c r="D8" s="745"/>
      <c r="E8" s="745"/>
      <c r="F8" s="745"/>
      <c r="G8" s="745"/>
    </row>
    <row r="9" spans="1:7" ht="33" customHeight="1" thickBot="1">
      <c r="A9" s="771" t="s">
        <v>76</v>
      </c>
      <c r="B9" s="771" t="s">
        <v>9</v>
      </c>
      <c r="C9" s="769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99" customHeight="1" thickBot="1">
      <c r="A10" s="772"/>
      <c r="B10" s="772"/>
      <c r="C10" s="770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4.75" customHeight="1">
      <c r="A11" s="786" t="s">
        <v>0</v>
      </c>
      <c r="B11" s="783">
        <v>46328</v>
      </c>
      <c r="C11" s="430" t="s">
        <v>5</v>
      </c>
      <c r="D11" s="519"/>
      <c r="E11" s="360"/>
      <c r="F11" s="360"/>
      <c r="G11" s="520"/>
    </row>
    <row r="12" spans="1:7" ht="84.75" customHeight="1">
      <c r="A12" s="787"/>
      <c r="B12" s="784"/>
      <c r="C12" s="431" t="s">
        <v>6</v>
      </c>
      <c r="D12" s="395"/>
      <c r="E12" s="442"/>
      <c r="F12" s="442"/>
      <c r="G12" s="397"/>
    </row>
    <row r="13" spans="1:7" ht="84.75" customHeight="1">
      <c r="A13" s="787"/>
      <c r="B13" s="784"/>
      <c r="C13" s="431" t="s">
        <v>7</v>
      </c>
      <c r="D13" s="395"/>
      <c r="E13" s="396"/>
      <c r="F13" s="396"/>
      <c r="G13" s="397"/>
    </row>
    <row r="14" spans="1:7" ht="84.75" customHeight="1">
      <c r="A14" s="787"/>
      <c r="B14" s="784"/>
      <c r="C14" s="431" t="s">
        <v>8</v>
      </c>
      <c r="D14" s="395"/>
      <c r="E14" s="442"/>
      <c r="F14" s="442"/>
      <c r="G14" s="397"/>
    </row>
    <row r="15" spans="1:7" ht="84.75" customHeight="1" thickBot="1">
      <c r="A15" s="788"/>
      <c r="B15" s="785"/>
      <c r="C15" s="432" t="s">
        <v>10</v>
      </c>
      <c r="D15" s="428"/>
      <c r="E15" s="533"/>
      <c r="F15" s="533"/>
      <c r="G15" s="429"/>
    </row>
    <row r="16" spans="1:7" ht="84.75" customHeight="1">
      <c r="A16" s="781" t="s">
        <v>1</v>
      </c>
      <c r="B16" s="737">
        <f>B11+1</f>
        <v>46329</v>
      </c>
      <c r="C16" s="357" t="s">
        <v>5</v>
      </c>
      <c r="D16" s="479"/>
      <c r="E16" s="404"/>
      <c r="F16" s="478"/>
      <c r="G16" s="476"/>
    </row>
    <row r="17" spans="1:7" ht="84.75" customHeight="1">
      <c r="A17" s="781"/>
      <c r="B17" s="731"/>
      <c r="C17" s="106" t="s">
        <v>6</v>
      </c>
      <c r="D17" s="364"/>
      <c r="E17" s="434"/>
      <c r="F17" s="434"/>
      <c r="G17" s="415"/>
    </row>
    <row r="18" spans="1:7" ht="84.75" customHeight="1">
      <c r="A18" s="781"/>
      <c r="B18" s="731"/>
      <c r="C18" s="106" t="s">
        <v>7</v>
      </c>
      <c r="D18" s="395"/>
      <c r="E18" s="442"/>
      <c r="F18" s="396"/>
      <c r="G18" s="435"/>
    </row>
    <row r="19" spans="1:7" ht="84.75" customHeight="1">
      <c r="A19" s="781"/>
      <c r="B19" s="731"/>
      <c r="C19" s="106" t="s">
        <v>8</v>
      </c>
      <c r="D19" s="522"/>
      <c r="E19" s="396"/>
      <c r="F19" s="444"/>
      <c r="G19" s="436"/>
    </row>
    <row r="20" spans="1:7" ht="84.75" customHeight="1" thickBot="1">
      <c r="A20" s="782"/>
      <c r="B20" s="731"/>
      <c r="C20" s="107" t="s">
        <v>10</v>
      </c>
      <c r="D20" s="399"/>
      <c r="E20" s="400"/>
      <c r="F20" s="400"/>
      <c r="G20" s="401"/>
    </row>
    <row r="21" spans="1:7" ht="68.25" customHeight="1">
      <c r="A21" s="778" t="s">
        <v>2</v>
      </c>
      <c r="B21" s="734">
        <f>B16+1</f>
        <v>46330</v>
      </c>
      <c r="C21" s="105" t="s">
        <v>5</v>
      </c>
      <c r="D21" s="500"/>
      <c r="E21" s="501"/>
      <c r="F21" s="501"/>
      <c r="G21" s="560"/>
    </row>
    <row r="22" spans="1:7" ht="68.25" customHeight="1">
      <c r="A22" s="781"/>
      <c r="B22" s="731"/>
      <c r="C22" s="106" t="s">
        <v>6</v>
      </c>
      <c r="D22" s="502"/>
      <c r="E22" s="503"/>
      <c r="F22" s="527"/>
      <c r="G22" s="504"/>
    </row>
    <row r="23" spans="1:7" ht="68.25" customHeight="1">
      <c r="A23" s="781"/>
      <c r="B23" s="731"/>
      <c r="C23" s="106" t="s">
        <v>7</v>
      </c>
      <c r="D23" s="526"/>
      <c r="E23" s="506"/>
      <c r="F23" s="503"/>
      <c r="G23" s="504"/>
    </row>
    <row r="24" spans="1:7" ht="68.25" customHeight="1">
      <c r="A24" s="781"/>
      <c r="B24" s="731"/>
      <c r="C24" s="106" t="s">
        <v>8</v>
      </c>
      <c r="D24" s="502"/>
      <c r="E24" s="503"/>
      <c r="F24" s="503"/>
      <c r="G24" s="504"/>
    </row>
    <row r="25" spans="1:7" ht="68.25" customHeight="1" thickBot="1">
      <c r="A25" s="782"/>
      <c r="B25" s="731"/>
      <c r="C25" s="107" t="s">
        <v>10</v>
      </c>
      <c r="D25" s="561"/>
      <c r="E25" s="505"/>
      <c r="F25" s="505"/>
      <c r="G25" s="562"/>
    </row>
    <row r="26" spans="1:7" ht="81" customHeight="1">
      <c r="A26" s="778" t="s">
        <v>3</v>
      </c>
      <c r="B26" s="734">
        <f>B21+1</f>
        <v>46331</v>
      </c>
      <c r="C26" s="97" t="s">
        <v>5</v>
      </c>
      <c r="D26" s="289"/>
      <c r="E26" s="329"/>
      <c r="F26" s="329"/>
      <c r="G26" s="334"/>
    </row>
    <row r="27" spans="1:7" ht="81" customHeight="1">
      <c r="A27" s="779"/>
      <c r="B27" s="731"/>
      <c r="C27" s="98" t="s">
        <v>6</v>
      </c>
      <c r="D27" s="335"/>
      <c r="E27" s="358"/>
      <c r="F27" s="358"/>
      <c r="G27" s="359"/>
    </row>
    <row r="28" spans="1:7" ht="81" customHeight="1">
      <c r="A28" s="779"/>
      <c r="B28" s="731"/>
      <c r="C28" s="98" t="s">
        <v>7</v>
      </c>
      <c r="D28" s="395"/>
      <c r="E28" s="434"/>
      <c r="F28" s="434"/>
      <c r="G28" s="415"/>
    </row>
    <row r="29" spans="1:7" ht="81" customHeight="1">
      <c r="A29" s="779"/>
      <c r="B29" s="731"/>
      <c r="C29" s="98" t="s">
        <v>8</v>
      </c>
      <c r="D29" s="395"/>
      <c r="E29" s="434"/>
      <c r="F29" s="442"/>
      <c r="G29" s="248"/>
    </row>
    <row r="30" spans="1:7" ht="81" customHeight="1" thickBot="1">
      <c r="A30" s="780"/>
      <c r="B30" s="731"/>
      <c r="C30" s="99" t="s">
        <v>10</v>
      </c>
      <c r="D30" s="265"/>
      <c r="E30" s="474"/>
      <c r="F30" s="474"/>
      <c r="G30" s="475"/>
    </row>
    <row r="31" spans="1:7" ht="81" customHeight="1">
      <c r="A31" s="778" t="s">
        <v>4</v>
      </c>
      <c r="B31" s="734">
        <f>B26+1</f>
        <v>46332</v>
      </c>
      <c r="C31" s="105" t="s">
        <v>5</v>
      </c>
      <c r="D31" s="254"/>
      <c r="E31" s="255"/>
      <c r="F31" s="255"/>
      <c r="G31" s="334"/>
    </row>
    <row r="32" spans="1:7" ht="81" customHeight="1">
      <c r="A32" s="781"/>
      <c r="B32" s="731"/>
      <c r="C32" s="106" t="s">
        <v>6</v>
      </c>
      <c r="D32" s="257"/>
      <c r="E32" s="358"/>
      <c r="F32" s="259"/>
      <c r="G32" s="397"/>
    </row>
    <row r="33" spans="1:7" ht="81" customHeight="1">
      <c r="A33" s="781"/>
      <c r="B33" s="731"/>
      <c r="C33" s="106" t="s">
        <v>7</v>
      </c>
      <c r="D33" s="257"/>
      <c r="E33" s="285"/>
      <c r="F33" s="258"/>
      <c r="G33" s="286"/>
    </row>
    <row r="34" spans="1:7" ht="81" customHeight="1">
      <c r="A34" s="781"/>
      <c r="B34" s="731"/>
      <c r="C34" s="106" t="s">
        <v>8</v>
      </c>
      <c r="D34" s="257"/>
      <c r="E34" s="285"/>
      <c r="F34" s="258"/>
      <c r="G34" s="248"/>
    </row>
    <row r="35" spans="1:7" ht="81" customHeight="1" thickBot="1">
      <c r="A35" s="782"/>
      <c r="B35" s="731"/>
      <c r="C35" s="107" t="s">
        <v>10</v>
      </c>
      <c r="D35" s="297"/>
      <c r="E35" s="298"/>
      <c r="F35" s="229"/>
      <c r="G35" s="267"/>
    </row>
    <row r="36" spans="1:7" ht="48.75" customHeight="1">
      <c r="A36" s="731" t="s">
        <v>18</v>
      </c>
      <c r="B36" s="734">
        <f>B31+1</f>
        <v>46333</v>
      </c>
      <c r="C36" s="105" t="s">
        <v>5</v>
      </c>
      <c r="D36" s="108"/>
      <c r="E36" s="109"/>
      <c r="F36" s="109"/>
      <c r="G36" s="241"/>
    </row>
    <row r="37" spans="1:7" ht="48.75" customHeight="1">
      <c r="A37" s="731"/>
      <c r="B37" s="731"/>
      <c r="C37" s="106" t="s">
        <v>6</v>
      </c>
      <c r="D37" s="209"/>
      <c r="E37" s="210"/>
      <c r="F37" s="259"/>
      <c r="G37" s="233"/>
    </row>
    <row r="38" spans="1:7" ht="48.75" customHeight="1">
      <c r="A38" s="731"/>
      <c r="B38" s="731"/>
      <c r="C38" s="106" t="s">
        <v>7</v>
      </c>
      <c r="D38" s="245"/>
      <c r="E38" s="244"/>
      <c r="F38" s="244"/>
      <c r="G38" s="246"/>
    </row>
    <row r="39" spans="1:7" ht="48.75" customHeight="1">
      <c r="A39" s="731"/>
      <c r="B39" s="731"/>
      <c r="C39" s="106" t="s">
        <v>8</v>
      </c>
      <c r="D39" s="209"/>
      <c r="E39" s="210"/>
      <c r="F39" s="210"/>
      <c r="G39" s="233"/>
    </row>
    <row r="40" spans="1:7" ht="48.75" customHeight="1" thickBot="1">
      <c r="A40" s="777"/>
      <c r="B40" s="777"/>
      <c r="C40" s="107" t="s">
        <v>10</v>
      </c>
      <c r="D40" s="242"/>
      <c r="E40" s="243"/>
      <c r="F40" s="243"/>
      <c r="G40" s="247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7.75">
      <c r="A42" s="1"/>
      <c r="B42" s="1"/>
      <c r="C42" s="480" t="str">
        <f>'01.09'!C42</f>
        <v>*Л. Речевое общение в профессиональной деятельности*</v>
      </c>
      <c r="D42" s="263">
        <f>'26.10'!D42+COUNTIF(D$11:D$40,$C42)</f>
        <v>5</v>
      </c>
      <c r="E42" s="263">
        <f>'26.10'!E42+COUNTIF(E$11:E$40,$C42)</f>
        <v>5</v>
      </c>
      <c r="F42" s="263">
        <f>'26.10'!F42+COUNTIF(F$11:F$40,$C42)</f>
        <v>5</v>
      </c>
      <c r="G42" s="263">
        <f>'26.10'!G42+COUNTIF(G$11:G$40,$C42)</f>
        <v>5</v>
      </c>
    </row>
    <row r="43" spans="1:7" ht="27.75">
      <c r="A43" s="1"/>
      <c r="B43" s="1"/>
      <c r="C43" s="480" t="str">
        <f>'01.09'!C43</f>
        <v>*Пр. Речевое общение в профессиональной деятельности*</v>
      </c>
      <c r="D43" s="263">
        <f>'26.10'!D43+COUNTIF(D$11:D$40,$C43)</f>
        <v>4</v>
      </c>
      <c r="E43" s="263">
        <f>'26.10'!E43+COUNTIF(E$11:E$40,$C43)</f>
        <v>4</v>
      </c>
      <c r="F43" s="263">
        <f>'26.10'!F43+COUNTIF(F$11:F$40,$C43)</f>
        <v>4</v>
      </c>
      <c r="G43" s="263">
        <f>'26.10'!G43+COUNTIF(G$11:G$40,$C43)</f>
        <v>4</v>
      </c>
    </row>
    <row r="44" spans="1:7" ht="27.75">
      <c r="A44" s="1"/>
      <c r="B44" s="1"/>
      <c r="C44" s="480" t="str">
        <f>'01.09'!C44</f>
        <v>*Л. Физическая культура и спорт*</v>
      </c>
      <c r="D44" s="263">
        <f>'26.10'!D44+COUNTIF(D$11:D$40,$C44)</f>
        <v>5</v>
      </c>
      <c r="E44" s="263">
        <f>'26.10'!E44+COUNTIF(E$11:E$40,$C44)</f>
        <v>5</v>
      </c>
      <c r="F44" s="263">
        <f>'26.10'!F44+COUNTIF(F$11:F$40,$C44)</f>
        <v>5</v>
      </c>
      <c r="G44" s="263">
        <f>'26.10'!G44+COUNTIF(G$11:G$40,$C44)</f>
        <v>5</v>
      </c>
    </row>
    <row r="45" spans="1:7" ht="27.75">
      <c r="A45" s="1"/>
      <c r="B45" s="1"/>
      <c r="C45" s="480" t="str">
        <f>'01.09'!C45</f>
        <v>*Пр. Физическая культура и спорт*</v>
      </c>
      <c r="D45" s="263">
        <f>'26.10'!D45+COUNTIF(D$11:D$40,$C45)</f>
        <v>5</v>
      </c>
      <c r="E45" s="263">
        <f>'26.10'!E45+COUNTIF(E$11:E$40,$C45)</f>
        <v>5</v>
      </c>
      <c r="F45" s="263">
        <f>'26.10'!F45+COUNTIF(F$11:F$40,$C45)</f>
        <v>5</v>
      </c>
      <c r="G45" s="263">
        <f>'26.10'!G45+COUNTIF(G$11:G$40,$C45)</f>
        <v>5</v>
      </c>
    </row>
    <row r="46" spans="1:7" ht="27.75">
      <c r="A46" s="1"/>
      <c r="B46" s="1"/>
      <c r="C46" s="480" t="str">
        <f>'01.09'!C46</f>
        <v>*Л. Анатомия*</v>
      </c>
      <c r="D46" s="263">
        <f>'26.10'!D46+COUNTIF(D$11:D$40,$C46)</f>
        <v>4</v>
      </c>
      <c r="E46" s="263">
        <f>'26.10'!E46+COUNTIF(E$11:E$40,$C46)</f>
        <v>4</v>
      </c>
      <c r="F46" s="263">
        <f>'26.10'!F46+COUNTIF(F$11:F$40,$C46)</f>
        <v>4</v>
      </c>
      <c r="G46" s="263">
        <f>'26.10'!G46+COUNTIF(G$11:G$40,$C46)</f>
        <v>4</v>
      </c>
    </row>
    <row r="47" spans="1:7" ht="27.75">
      <c r="A47" s="1"/>
      <c r="B47" s="1"/>
      <c r="C47" s="480" t="str">
        <f>'01.09'!C47</f>
        <v>*Пр. Анатомия*</v>
      </c>
      <c r="D47" s="263">
        <f>'26.10'!D47+COUNTIF(D$11:D$40,$C47)</f>
        <v>4</v>
      </c>
      <c r="E47" s="263">
        <f>'26.10'!E47+COUNTIF(E$11:E$40,$C47)</f>
        <v>4</v>
      </c>
      <c r="F47" s="263">
        <f>'26.10'!F47+COUNTIF(F$11:F$40,$C47)</f>
        <v>4</v>
      </c>
      <c r="G47" s="263">
        <f>'26.10'!G47+COUNTIF(G$11:G$40,$C47)</f>
        <v>4</v>
      </c>
    </row>
    <row r="48" spans="1:7" ht="27.75">
      <c r="A48" s="1"/>
      <c r="B48" s="1"/>
      <c r="C48" s="480" t="str">
        <f>'01.09'!C48</f>
        <v>*Л. Теория и методика*</v>
      </c>
      <c r="D48" s="263">
        <f>'26.10'!D48+COUNTIF(D$11:D$40,$C48)</f>
        <v>5</v>
      </c>
      <c r="E48" s="263">
        <f>'26.10'!E48+COUNTIF(E$11:E$40,$C48)</f>
        <v>5</v>
      </c>
      <c r="F48" s="263">
        <f>'26.10'!F48+COUNTIF(F$11:F$40,$C48)</f>
        <v>5</v>
      </c>
      <c r="G48" s="263">
        <f>'26.10'!G48+COUNTIF(G$11:G$40,$C48)</f>
        <v>5</v>
      </c>
    </row>
    <row r="49" spans="1:7" ht="27.75">
      <c r="A49" s="1"/>
      <c r="B49" s="1"/>
      <c r="C49" s="480" t="str">
        <f>'01.09'!C49</f>
        <v>*Пр. Теория и методика*</v>
      </c>
      <c r="D49" s="263">
        <f>'26.10'!D49+COUNTIF(D$11:D$40,$C49)</f>
        <v>24</v>
      </c>
      <c r="E49" s="263">
        <f>'26.10'!E49+COUNTIF(E$11:E$40,$C49)</f>
        <v>25</v>
      </c>
      <c r="F49" s="263">
        <f>'26.10'!F49+COUNTIF(F$11:F$40,$C49)</f>
        <v>25</v>
      </c>
      <c r="G49" s="263">
        <f>'26.10'!G49+COUNTIF(G$11:G$40,$C49)</f>
        <v>25</v>
      </c>
    </row>
    <row r="50" spans="1:7" ht="27.75">
      <c r="A50" s="1"/>
      <c r="B50" s="1"/>
      <c r="C50" s="480" t="str">
        <f>'01.09'!C50</f>
        <v>*Л. Информационные технологии*</v>
      </c>
      <c r="D50" s="263">
        <f>'26.10'!D50+COUNTIF(D$11:D$40,$C50)</f>
        <v>2</v>
      </c>
      <c r="E50" s="263">
        <f>'26.10'!E50+COUNTIF(E$11:E$40,$C50)</f>
        <v>2</v>
      </c>
      <c r="F50" s="263">
        <f>'26.10'!F50+COUNTIF(F$11:F$40,$C50)</f>
        <v>2</v>
      </c>
      <c r="G50" s="263">
        <f>'26.10'!G50+COUNTIF(G$11:G$40,$C50)</f>
        <v>2</v>
      </c>
    </row>
    <row r="51" spans="1:7" ht="27.75">
      <c r="A51" s="1"/>
      <c r="B51" s="1"/>
      <c r="C51" s="480" t="str">
        <f>'01.09'!C51</f>
        <v>*Пр. Информационные технологии*</v>
      </c>
      <c r="D51" s="263">
        <f>'26.10'!D51+COUNTIF(D$11:D$40,$C51)</f>
        <v>8</v>
      </c>
      <c r="E51" s="263">
        <f>'26.10'!E51+COUNTIF(E$11:E$40,$C51)</f>
        <v>8</v>
      </c>
      <c r="F51" s="263">
        <f>'26.10'!F51+COUNTIF(F$11:F$40,$C51)</f>
        <v>8</v>
      </c>
      <c r="G51" s="263">
        <f>'26.10'!G51+COUNTIF(G$11:G$40,$C51)</f>
        <v>8</v>
      </c>
    </row>
    <row r="52" spans="1:7" ht="27.75">
      <c r="A52" s="1"/>
      <c r="B52" s="1"/>
      <c r="C52" s="480" t="str">
        <f>'01.09'!C52</f>
        <v>*Л. Гимнастика*</v>
      </c>
      <c r="D52" s="263">
        <f>'26.10'!D52+COUNTIF(D$11:D$40,$C52)</f>
        <v>3</v>
      </c>
      <c r="E52" s="263">
        <f>'26.10'!E52+COUNTIF(E$11:E$40,$C52)</f>
        <v>3</v>
      </c>
      <c r="F52" s="263">
        <f>'26.10'!F52+COUNTIF(F$11:F$40,$C52)</f>
        <v>3</v>
      </c>
      <c r="G52" s="263">
        <f>'26.10'!G52+COUNTIF(G$11:G$40,$C52)</f>
        <v>3</v>
      </c>
    </row>
    <row r="53" spans="1:7" ht="27.75">
      <c r="A53" s="1"/>
      <c r="B53" s="1"/>
      <c r="C53" s="480" t="str">
        <f>'01.09'!C53</f>
        <v>*Пр. Гимнастика*</v>
      </c>
      <c r="D53" s="263">
        <f>'26.10'!D53+COUNTIF(D$11:D$40,$C53)</f>
        <v>13</v>
      </c>
      <c r="E53" s="263">
        <f>'26.10'!E53+COUNTIF(E$11:E$40,$C53)</f>
        <v>12</v>
      </c>
      <c r="F53" s="263">
        <f>'26.10'!F53+COUNTIF(F$11:F$40,$C53)</f>
        <v>12</v>
      </c>
      <c r="G53" s="263">
        <f>'26.10'!G53+COUNTIF(G$11:G$40,$C53)</f>
        <v>12</v>
      </c>
    </row>
    <row r="54" spans="1:7" ht="27.75">
      <c r="A54" s="1"/>
      <c r="B54" s="1"/>
      <c r="C54" s="480" t="str">
        <f>'01.09'!C54</f>
        <v>*Л. Элективные дисциплины по ФКиС: Подвижные игры*</v>
      </c>
      <c r="D54" s="263">
        <f>'26.10'!D54+COUNTIF(D$11:D$40,$C54)</f>
        <v>1</v>
      </c>
      <c r="E54" s="263">
        <f>'26.10'!E54+COUNTIF(E$11:E$40,$C54)</f>
        <v>1</v>
      </c>
      <c r="F54" s="263">
        <f>'26.10'!F54+COUNTIF(F$11:F$40,$C54)</f>
        <v>1</v>
      </c>
      <c r="G54" s="263">
        <f>'26.10'!G54+COUNTIF(G$11:G$40,$C54)</f>
        <v>1</v>
      </c>
    </row>
    <row r="55" spans="1:7" ht="27.75">
      <c r="A55" s="1"/>
      <c r="B55" s="1"/>
      <c r="C55" s="480" t="str">
        <f>'01.09'!C55</f>
        <v>*Пр. Элективные дисциплины по ФКиС: Подвижные игры*</v>
      </c>
      <c r="D55" s="263">
        <f>'26.10'!D55+COUNTIF(D$11:D$40,$C55)</f>
        <v>8</v>
      </c>
      <c r="E55" s="263">
        <f>'26.10'!E55+COUNTIF(E$11:E$40,$C55)</f>
        <v>8</v>
      </c>
      <c r="F55" s="263">
        <f>'26.10'!F55+COUNTIF(F$11:F$40,$C55)</f>
        <v>9</v>
      </c>
      <c r="G55" s="263">
        <f>'26.10'!G55+COUNTIF(G$11:G$40,$C55)</f>
        <v>9</v>
      </c>
    </row>
    <row r="56" spans="1:7" ht="27.75">
      <c r="A56" s="1"/>
      <c r="B56" s="1"/>
      <c r="C56" s="480" t="str">
        <f>'01.09'!C56</f>
        <v>*Л. Волейбол*</v>
      </c>
      <c r="D56" s="263">
        <f>'26.10'!D56+COUNTIF(D$11:D$40,$C56)</f>
        <v>1</v>
      </c>
      <c r="E56" s="263">
        <f>'26.10'!E56+COUNTIF(E$11:E$40,$C56)</f>
        <v>1</v>
      </c>
      <c r="F56" s="263">
        <f>'26.10'!F56+COUNTIF(F$11:F$40,$C56)</f>
        <v>1</v>
      </c>
      <c r="G56" s="263">
        <f>'26.10'!G56+COUNTIF(G$11:G$40,$C56)</f>
        <v>1</v>
      </c>
    </row>
    <row r="57" spans="1:7" ht="27.75">
      <c r="A57" s="1"/>
      <c r="B57" s="1"/>
      <c r="C57" s="480" t="str">
        <f>'01.09'!C57</f>
        <v>*Пр. Волейбол*</v>
      </c>
      <c r="D57" s="263">
        <f>'26.10'!D57+COUNTIF(D$11:D$40,$C57)</f>
        <v>16</v>
      </c>
      <c r="E57" s="263">
        <f>'26.10'!E57+COUNTIF(E$11:E$40,$C57)</f>
        <v>16</v>
      </c>
      <c r="F57" s="263">
        <f>'26.10'!F57+COUNTIF(F$11:F$40,$C57)</f>
        <v>16</v>
      </c>
      <c r="G57" s="263">
        <f>'26.10'!G57+COUNTIF(G$11:G$40,$C57)</f>
        <v>16</v>
      </c>
    </row>
    <row r="58" spans="1:7" ht="27.75">
      <c r="A58" s="1"/>
      <c r="B58" s="1"/>
      <c r="C58" s="480" t="str">
        <f>'01.09'!C58</f>
        <v>*Л. Лыжные гонки*</v>
      </c>
      <c r="D58" s="263">
        <f>'26.10'!D58+COUNTIF(D$11:D$40,$C58)</f>
        <v>0</v>
      </c>
      <c r="E58" s="263">
        <f>'26.10'!E58+COUNTIF(E$11:E$40,$C58)</f>
        <v>0</v>
      </c>
      <c r="F58" s="263">
        <f>'26.10'!F58+COUNTIF(F$11:F$40,$C58)</f>
        <v>0</v>
      </c>
      <c r="G58" s="263">
        <f>'26.10'!G58+COUNTIF(G$11:G$40,$C58)</f>
        <v>0</v>
      </c>
    </row>
    <row r="59" spans="1:7" ht="27.75">
      <c r="A59" s="1"/>
      <c r="B59" s="1"/>
      <c r="C59" s="480" t="str">
        <f>'01.09'!C59</f>
        <v>*Пр. Лыжные гонки*</v>
      </c>
      <c r="D59" s="263">
        <f>'26.10'!D59+COUNTIF(D$11:D$40,$C59)</f>
        <v>0</v>
      </c>
      <c r="E59" s="263">
        <f>'26.10'!E59+COUNTIF(E$11:E$40,$C59)</f>
        <v>0</v>
      </c>
      <c r="F59" s="263">
        <f>'26.10'!F59+COUNTIF(F$11:F$40,$C59)</f>
        <v>0</v>
      </c>
      <c r="G59" s="263">
        <f>'26.10'!G59+COUNTIF(G$11:G$40,$C59)</f>
        <v>0</v>
      </c>
    </row>
    <row r="60" spans="1:7" ht="27.75">
      <c r="A60" s="1"/>
      <c r="B60" s="1"/>
      <c r="C60" s="480" t="str">
        <f>'01.09'!C60</f>
        <v>*Л. Использование электронной*</v>
      </c>
      <c r="D60" s="263">
        <f>'26.10'!D60+COUNTIF(D$11:D$40,$C60)</f>
        <v>1</v>
      </c>
      <c r="E60" s="263">
        <f>'26.10'!E60+COUNTIF(E$11:E$40,$C60)</f>
        <v>0</v>
      </c>
      <c r="F60" s="263">
        <f>'26.10'!F60+COUNTIF(F$11:F$40,$C60)</f>
        <v>0</v>
      </c>
      <c r="G60" s="263">
        <f>'26.10'!G60+COUNTIF(G$11:G$40,$C60)</f>
        <v>0</v>
      </c>
    </row>
    <row r="61" spans="1:7" ht="27.75">
      <c r="A61" s="1"/>
      <c r="B61" s="1"/>
      <c r="C61" s="480" t="str">
        <f>'01.09'!C61</f>
        <v>*Пр. Использование электронной*</v>
      </c>
      <c r="D61" s="263">
        <f>'26.10'!D61+COUNTIF(D$11:D$40,$C61)</f>
        <v>2</v>
      </c>
      <c r="E61" s="263">
        <f>'26.10'!E61+COUNTIF(E$11:E$40,$C61)</f>
        <v>2</v>
      </c>
      <c r="F61" s="263">
        <f>'26.10'!F61+COUNTIF(F$11:F$40,$C61)</f>
        <v>2</v>
      </c>
      <c r="G61" s="263">
        <f>'26.10'!G61+COUNTIF(G$11:G$40,$C61)</f>
        <v>2</v>
      </c>
    </row>
    <row r="62" spans="1:7" ht="27.75">
      <c r="A62" s="1"/>
      <c r="B62" s="1"/>
      <c r="C62" s="480" t="str">
        <f>'01.09'!C62</f>
        <v>*Пр. Иностранный*</v>
      </c>
      <c r="D62" s="263">
        <f>'26.10'!D62+COUNTIF(D$11:D$40,$C62)</f>
        <v>8</v>
      </c>
      <c r="E62" s="263">
        <f>'26.10'!E62+COUNTIF(E$11:E$40,$C62)</f>
        <v>8</v>
      </c>
      <c r="F62" s="263">
        <f>'26.10'!F62+COUNTIF(F$11:F$40,$C62)</f>
        <v>8</v>
      </c>
      <c r="G62" s="263">
        <f>'26.10'!G62+COUNTIF(G$11:G$40,$C62)</f>
        <v>8</v>
      </c>
    </row>
    <row r="63" spans="1:7" ht="27.75">
      <c r="A63" s="1"/>
      <c r="B63" s="1"/>
      <c r="C63" s="480">
        <f>'01.09'!C63</f>
        <v>0</v>
      </c>
      <c r="D63" s="263">
        <f>'26.10'!D63+COUNTIF(D$11:D$40,$C63)</f>
        <v>0</v>
      </c>
      <c r="E63" s="263">
        <f>'26.10'!E63+COUNTIF(E$11:E$40,$C63)</f>
        <v>0</v>
      </c>
      <c r="F63" s="263">
        <f>'26.10'!F63+COUNTIF(F$11:F$40,$C63)</f>
        <v>0</v>
      </c>
      <c r="G63" s="263">
        <f>'26.10'!G63+COUNTIF(G$11:G$40,$C63)</f>
        <v>0</v>
      </c>
    </row>
    <row r="64" spans="1:7" ht="27.75">
      <c r="A64" s="1"/>
      <c r="B64" s="1"/>
      <c r="C64" s="480">
        <f>'01.09'!C64</f>
        <v>0</v>
      </c>
      <c r="D64" s="263">
        <f>'26.10'!D64+COUNTIF(D$11:D$40,$C64)</f>
        <v>0</v>
      </c>
      <c r="E64" s="263">
        <f>'26.10'!E64+COUNTIF(E$11:E$40,$C64)</f>
        <v>0</v>
      </c>
      <c r="F64" s="263">
        <f>'26.10'!F64+COUNTIF(F$11:F$40,$C64)</f>
        <v>0</v>
      </c>
      <c r="G64" s="263">
        <f>'26.10'!G64+COUNTIF(G$11:G$40,$C64)</f>
        <v>0</v>
      </c>
    </row>
    <row r="65" spans="1:7" ht="27.75">
      <c r="A65" s="1"/>
      <c r="B65" s="1"/>
      <c r="C65" s="480">
        <f>'01.09'!C65</f>
        <v>0</v>
      </c>
      <c r="D65" s="263">
        <f>'26.10'!D65+COUNTIF(D$11:D$40,$C65)</f>
        <v>0</v>
      </c>
      <c r="E65" s="263">
        <f>'26.10'!E65+COUNTIF(E$11:E$40,$C65)</f>
        <v>0</v>
      </c>
      <c r="F65" s="263">
        <f>'26.10'!F65+COUNTIF(F$11:F$40,$C65)</f>
        <v>0</v>
      </c>
      <c r="G65" s="263">
        <f>'26.10'!G65+COUNTIF(G$11:G$40,$C65)</f>
        <v>0</v>
      </c>
    </row>
    <row r="66" spans="1:7" ht="27.75">
      <c r="A66" s="1"/>
      <c r="B66" s="1"/>
      <c r="C66" s="480">
        <f>'01.09'!C66</f>
        <v>0</v>
      </c>
      <c r="D66" s="263">
        <f>'26.10'!D66+COUNTIF(D$11:D$40,$C66)</f>
        <v>0</v>
      </c>
      <c r="E66" s="263">
        <f>'26.10'!E66+COUNTIF(E$11:E$40,$C66)</f>
        <v>0</v>
      </c>
      <c r="F66" s="263">
        <f>'26.10'!F66+COUNTIF(F$11:F$40,$C66)</f>
        <v>0</v>
      </c>
      <c r="G66" s="263">
        <f>'26.10'!G66+COUNTIF(G$11:G$40,$C66)</f>
        <v>0</v>
      </c>
    </row>
    <row r="67" spans="1:7" ht="27.75">
      <c r="A67" s="1"/>
      <c r="B67" s="1"/>
      <c r="C67" s="480">
        <f>'01.09'!C67</f>
        <v>0</v>
      </c>
      <c r="D67" s="22">
        <f>'26.10'!D67+COUNTIF(D$11:D$40,$C67)</f>
        <v>0</v>
      </c>
      <c r="E67" s="22">
        <f>'26.10'!E67+COUNTIF(E$11:E$40,$C67)</f>
        <v>0</v>
      </c>
      <c r="F67" s="22">
        <f>'26.10'!F67+COUNTIF(F$11:F$40,$C67)</f>
        <v>0</v>
      </c>
      <c r="G67" s="22">
        <f>'26.10'!G67+COUNTIF(G$11:G$40,$C67)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B1:G1"/>
    <mergeCell ref="B2:G2"/>
    <mergeCell ref="B6:G6"/>
    <mergeCell ref="B8:G8"/>
    <mergeCell ref="B7:G7"/>
    <mergeCell ref="A3:G3"/>
    <mergeCell ref="B4:G4"/>
    <mergeCell ref="B5:G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30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G76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15"/>
  <cols>
    <col min="1" max="2" width="4.42578125" customWidth="1"/>
    <col min="3" max="3" width="22.5703125" customWidth="1"/>
    <col min="4" max="7" width="74.570312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5.25" customHeight="1" thickBot="1">
      <c r="A8" s="92"/>
      <c r="B8" s="92"/>
      <c r="C8" s="92"/>
      <c r="D8" s="92"/>
      <c r="E8" s="92"/>
      <c r="F8" s="92"/>
      <c r="G8" s="92"/>
    </row>
    <row r="9" spans="1:7" ht="30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7.75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4.75" customHeight="1">
      <c r="A11" s="778" t="s">
        <v>0</v>
      </c>
      <c r="B11" s="737">
        <v>46335</v>
      </c>
      <c r="C11" s="105" t="s">
        <v>5</v>
      </c>
      <c r="D11" s="519"/>
      <c r="E11" s="360"/>
      <c r="F11" s="360"/>
      <c r="G11" s="520"/>
    </row>
    <row r="12" spans="1:7" ht="84.75" customHeight="1">
      <c r="A12" s="781"/>
      <c r="B12" s="731"/>
      <c r="C12" s="106" t="s">
        <v>6</v>
      </c>
      <c r="D12" s="395"/>
      <c r="E12" s="442"/>
      <c r="F12" s="442"/>
      <c r="G12" s="397"/>
    </row>
    <row r="13" spans="1:7" ht="84.75" customHeight="1">
      <c r="A13" s="781"/>
      <c r="B13" s="731"/>
      <c r="C13" s="106" t="s">
        <v>7</v>
      </c>
      <c r="D13" s="395"/>
      <c r="E13" s="396"/>
      <c r="F13" s="396"/>
      <c r="G13" s="397"/>
    </row>
    <row r="14" spans="1:7" ht="84.75" customHeight="1">
      <c r="A14" s="781"/>
      <c r="B14" s="731"/>
      <c r="C14" s="106" t="s">
        <v>8</v>
      </c>
      <c r="D14" s="395"/>
      <c r="E14" s="442"/>
      <c r="F14" s="442"/>
      <c r="G14" s="397"/>
    </row>
    <row r="15" spans="1:7" ht="84.75" customHeight="1" thickBot="1">
      <c r="A15" s="781"/>
      <c r="B15" s="731"/>
      <c r="C15" s="107" t="s">
        <v>10</v>
      </c>
      <c r="D15" s="428"/>
      <c r="E15" s="534"/>
      <c r="F15" s="534"/>
      <c r="G15" s="429"/>
    </row>
    <row r="16" spans="1:7" ht="84.75" customHeight="1">
      <c r="A16" s="778" t="s">
        <v>1</v>
      </c>
      <c r="B16" s="734">
        <f>B11+1</f>
        <v>46336</v>
      </c>
      <c r="C16" s="97" t="s">
        <v>5</v>
      </c>
      <c r="D16" s="479"/>
      <c r="E16" s="404"/>
      <c r="F16" s="478"/>
      <c r="G16" s="476"/>
    </row>
    <row r="17" spans="1:7" ht="84.75" customHeight="1">
      <c r="A17" s="781"/>
      <c r="B17" s="731"/>
      <c r="C17" s="98" t="s">
        <v>6</v>
      </c>
      <c r="D17" s="364"/>
      <c r="E17" s="434"/>
      <c r="F17" s="434"/>
      <c r="G17" s="415"/>
    </row>
    <row r="18" spans="1:7" ht="84.75" customHeight="1">
      <c r="A18" s="781"/>
      <c r="B18" s="731"/>
      <c r="C18" s="98" t="s">
        <v>7</v>
      </c>
      <c r="D18" s="395"/>
      <c r="E18" s="442"/>
      <c r="F18" s="396"/>
      <c r="G18" s="435"/>
    </row>
    <row r="19" spans="1:7" ht="84.75" customHeight="1">
      <c r="A19" s="781"/>
      <c r="B19" s="731"/>
      <c r="C19" s="98" t="s">
        <v>8</v>
      </c>
      <c r="D19" s="522"/>
      <c r="E19" s="396"/>
      <c r="F19" s="444"/>
      <c r="G19" s="436"/>
    </row>
    <row r="20" spans="1:7" ht="84.75" customHeight="1" thickBot="1">
      <c r="A20" s="782"/>
      <c r="B20" s="731"/>
      <c r="C20" s="99" t="s">
        <v>10</v>
      </c>
      <c r="D20" s="399"/>
      <c r="E20" s="400"/>
      <c r="F20" s="400"/>
      <c r="G20" s="401"/>
    </row>
    <row r="21" spans="1:7" ht="84.75" customHeight="1">
      <c r="A21" s="778" t="s">
        <v>2</v>
      </c>
      <c r="B21" s="734">
        <f>B16+1</f>
        <v>46337</v>
      </c>
      <c r="C21" s="105" t="s">
        <v>5</v>
      </c>
      <c r="D21" s="254"/>
      <c r="E21" s="255"/>
      <c r="F21" s="255"/>
      <c r="G21" s="256"/>
    </row>
    <row r="22" spans="1:7" ht="84.75" customHeight="1">
      <c r="A22" s="781"/>
      <c r="B22" s="731"/>
      <c r="C22" s="106" t="s">
        <v>6</v>
      </c>
      <c r="D22" s="257"/>
      <c r="E22" s="258"/>
      <c r="F22" s="442"/>
      <c r="G22" s="248"/>
    </row>
    <row r="23" spans="1:7" ht="84.75" customHeight="1">
      <c r="A23" s="781"/>
      <c r="B23" s="731"/>
      <c r="C23" s="106" t="s">
        <v>7</v>
      </c>
      <c r="D23" s="395"/>
      <c r="E23" s="259"/>
      <c r="F23" s="258"/>
      <c r="G23" s="248"/>
    </row>
    <row r="24" spans="1:7" ht="84.75" customHeight="1">
      <c r="A24" s="781"/>
      <c r="B24" s="731"/>
      <c r="C24" s="106" t="s">
        <v>8</v>
      </c>
      <c r="D24" s="257"/>
      <c r="E24" s="258"/>
      <c r="F24" s="258"/>
      <c r="G24" s="248"/>
    </row>
    <row r="25" spans="1:7" ht="84.75" customHeight="1" thickBot="1">
      <c r="A25" s="782"/>
      <c r="B25" s="731"/>
      <c r="C25" s="107" t="s">
        <v>10</v>
      </c>
      <c r="D25" s="265"/>
      <c r="E25" s="315"/>
      <c r="F25" s="315"/>
      <c r="G25" s="316"/>
    </row>
    <row r="26" spans="1:7" ht="84.75" customHeight="1">
      <c r="A26" s="778" t="s">
        <v>3</v>
      </c>
      <c r="B26" s="734">
        <f>B21+1</f>
        <v>46338</v>
      </c>
      <c r="C26" s="105" t="s">
        <v>5</v>
      </c>
      <c r="D26" s="289"/>
      <c r="E26" s="329"/>
      <c r="F26" s="329"/>
      <c r="G26" s="334"/>
    </row>
    <row r="27" spans="1:7" ht="84.75" customHeight="1">
      <c r="A27" s="779"/>
      <c r="B27" s="731"/>
      <c r="C27" s="106" t="s">
        <v>6</v>
      </c>
      <c r="D27" s="335"/>
      <c r="E27" s="358"/>
      <c r="F27" s="358"/>
      <c r="G27" s="359"/>
    </row>
    <row r="28" spans="1:7" ht="84.75" customHeight="1">
      <c r="A28" s="779"/>
      <c r="B28" s="731"/>
      <c r="C28" s="106" t="s">
        <v>7</v>
      </c>
      <c r="D28" s="395"/>
      <c r="E28" s="434"/>
      <c r="F28" s="434"/>
      <c r="G28" s="415"/>
    </row>
    <row r="29" spans="1:7" ht="84.75" customHeight="1">
      <c r="A29" s="779"/>
      <c r="B29" s="731"/>
      <c r="C29" s="106" t="s">
        <v>8</v>
      </c>
      <c r="D29" s="395"/>
      <c r="E29" s="434"/>
      <c r="F29" s="442"/>
      <c r="G29" s="248"/>
    </row>
    <row r="30" spans="1:7" ht="84.75" customHeight="1" thickBot="1">
      <c r="A30" s="780"/>
      <c r="B30" s="731"/>
      <c r="C30" s="107" t="s">
        <v>10</v>
      </c>
      <c r="D30" s="265"/>
      <c r="E30" s="474"/>
      <c r="F30" s="474"/>
      <c r="G30" s="475"/>
    </row>
    <row r="31" spans="1:7" ht="84.75" customHeight="1">
      <c r="A31" s="778" t="s">
        <v>4</v>
      </c>
      <c r="B31" s="734">
        <f>B26+1</f>
        <v>46339</v>
      </c>
      <c r="C31" s="105" t="s">
        <v>5</v>
      </c>
      <c r="D31" s="254"/>
      <c r="E31" s="255"/>
      <c r="F31" s="255"/>
      <c r="G31" s="334"/>
    </row>
    <row r="32" spans="1:7" ht="84.75" customHeight="1">
      <c r="A32" s="781"/>
      <c r="B32" s="731"/>
      <c r="C32" s="106" t="s">
        <v>6</v>
      </c>
      <c r="D32" s="257"/>
      <c r="E32" s="358"/>
      <c r="F32" s="259"/>
      <c r="G32" s="397"/>
    </row>
    <row r="33" spans="1:7" ht="84.75" customHeight="1">
      <c r="A33" s="781"/>
      <c r="B33" s="731"/>
      <c r="C33" s="106" t="s">
        <v>7</v>
      </c>
      <c r="D33" s="257"/>
      <c r="E33" s="285"/>
      <c r="F33" s="258"/>
      <c r="G33" s="286"/>
    </row>
    <row r="34" spans="1:7" ht="84.75" customHeight="1">
      <c r="A34" s="781"/>
      <c r="B34" s="731"/>
      <c r="C34" s="106" t="s">
        <v>8</v>
      </c>
      <c r="D34" s="257"/>
      <c r="E34" s="285"/>
      <c r="F34" s="258"/>
      <c r="G34" s="248"/>
    </row>
    <row r="35" spans="1:7" ht="84.75" customHeight="1" thickBot="1">
      <c r="A35" s="782"/>
      <c r="B35" s="731"/>
      <c r="C35" s="107" t="s">
        <v>10</v>
      </c>
      <c r="D35" s="297"/>
      <c r="E35" s="298"/>
      <c r="F35" s="229"/>
      <c r="G35" s="267"/>
    </row>
    <row r="36" spans="1:7" ht="42" customHeight="1">
      <c r="A36" s="731" t="s">
        <v>18</v>
      </c>
      <c r="B36" s="734">
        <f>B31+1</f>
        <v>46340</v>
      </c>
      <c r="C36" s="105" t="s">
        <v>5</v>
      </c>
      <c r="D36" s="347"/>
      <c r="E36" s="348"/>
      <c r="F36" s="348"/>
      <c r="G36" s="349"/>
    </row>
    <row r="37" spans="1:7" ht="42" customHeight="1">
      <c r="A37" s="731"/>
      <c r="B37" s="731"/>
      <c r="C37" s="106" t="s">
        <v>6</v>
      </c>
      <c r="D37" s="350"/>
      <c r="E37" s="60"/>
      <c r="F37" s="60"/>
      <c r="G37" s="193"/>
    </row>
    <row r="38" spans="1:7" ht="42" customHeight="1">
      <c r="A38" s="731"/>
      <c r="B38" s="731"/>
      <c r="C38" s="106" t="s">
        <v>7</v>
      </c>
      <c r="D38" s="350"/>
      <c r="E38" s="60"/>
      <c r="F38" s="60"/>
      <c r="G38" s="193"/>
    </row>
    <row r="39" spans="1:7" ht="42" customHeight="1">
      <c r="A39" s="731"/>
      <c r="B39" s="731"/>
      <c r="C39" s="106" t="s">
        <v>8</v>
      </c>
      <c r="D39" s="350"/>
      <c r="E39" s="60"/>
      <c r="F39" s="60"/>
      <c r="G39" s="193"/>
    </row>
    <row r="40" spans="1:7" ht="42" customHeight="1" thickBot="1">
      <c r="A40" s="777"/>
      <c r="B40" s="777"/>
      <c r="C40" s="107" t="s">
        <v>10</v>
      </c>
      <c r="D40" s="351"/>
      <c r="E40" s="352"/>
      <c r="F40" s="352"/>
      <c r="G40" s="353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6.25">
      <c r="A42" s="1"/>
      <c r="B42" s="1"/>
      <c r="C42" s="27" t="str">
        <f>'01.09'!C42</f>
        <v>*Л. Речевое общение в профессиональной деятельности*</v>
      </c>
      <c r="D42" s="50">
        <f>'02.11'!D42+COUNTIF(D$11:D$40,$C42)</f>
        <v>5</v>
      </c>
      <c r="E42" s="50">
        <f>'02.11'!E42+COUNTIF(E$11:E$40,$C42)</f>
        <v>5</v>
      </c>
      <c r="F42" s="50">
        <f>'02.11'!F42+COUNTIF(F$11:F$40,$C42)</f>
        <v>5</v>
      </c>
      <c r="G42" s="50">
        <f>'02.11'!G42+COUNTIF(G$11:G$40,$C42)</f>
        <v>5</v>
      </c>
    </row>
    <row r="43" spans="1:7" ht="26.25">
      <c r="A43" s="1"/>
      <c r="B43" s="1"/>
      <c r="C43" s="27" t="str">
        <f>'01.09'!C43</f>
        <v>*Пр. Речевое общение в профессиональной деятельности*</v>
      </c>
      <c r="D43" s="50">
        <f>'02.11'!D43+COUNTIF(D$11:D$40,$C43)</f>
        <v>4</v>
      </c>
      <c r="E43" s="50">
        <f>'02.11'!E43+COUNTIF(E$11:E$40,$C43)</f>
        <v>4</v>
      </c>
      <c r="F43" s="50">
        <f>'02.11'!F43+COUNTIF(F$11:F$40,$C43)</f>
        <v>4</v>
      </c>
      <c r="G43" s="50">
        <f>'02.11'!G43+COUNTIF(G$11:G$40,$C43)</f>
        <v>4</v>
      </c>
    </row>
    <row r="44" spans="1:7" ht="26.25">
      <c r="A44" s="1"/>
      <c r="B44" s="1"/>
      <c r="C44" s="27" t="str">
        <f>'01.09'!C44</f>
        <v>*Л. Физическая культура и спорт*</v>
      </c>
      <c r="D44" s="50">
        <f>'02.11'!D44+COUNTIF(D$11:D$40,$C44)</f>
        <v>5</v>
      </c>
      <c r="E44" s="50">
        <f>'02.11'!E44+COUNTIF(E$11:E$40,$C44)</f>
        <v>5</v>
      </c>
      <c r="F44" s="50">
        <f>'02.11'!F44+COUNTIF(F$11:F$40,$C44)</f>
        <v>5</v>
      </c>
      <c r="G44" s="50">
        <f>'02.11'!G44+COUNTIF(G$11:G$40,$C44)</f>
        <v>5</v>
      </c>
    </row>
    <row r="45" spans="1:7" ht="26.25">
      <c r="A45" s="1"/>
      <c r="B45" s="1"/>
      <c r="C45" s="27" t="str">
        <f>'01.09'!C45</f>
        <v>*Пр. Физическая культура и спорт*</v>
      </c>
      <c r="D45" s="50">
        <f>'02.11'!D45+COUNTIF(D$11:D$40,$C45)</f>
        <v>5</v>
      </c>
      <c r="E45" s="50">
        <f>'02.11'!E45+COUNTIF(E$11:E$40,$C45)</f>
        <v>5</v>
      </c>
      <c r="F45" s="50">
        <f>'02.11'!F45+COUNTIF(F$11:F$40,$C45)</f>
        <v>5</v>
      </c>
      <c r="G45" s="50">
        <f>'02.11'!G45+COUNTIF(G$11:G$40,$C45)</f>
        <v>5</v>
      </c>
    </row>
    <row r="46" spans="1:7" ht="26.25">
      <c r="A46" s="1"/>
      <c r="B46" s="1"/>
      <c r="C46" s="27" t="str">
        <f>'01.09'!C46</f>
        <v>*Л. Анатомия*</v>
      </c>
      <c r="D46" s="50">
        <f>'02.11'!D46+COUNTIF(D$11:D$40,$C46)</f>
        <v>4</v>
      </c>
      <c r="E46" s="50">
        <f>'02.11'!E46+COUNTIF(E$11:E$40,$C46)</f>
        <v>4</v>
      </c>
      <c r="F46" s="50">
        <f>'02.11'!F46+COUNTIF(F$11:F$40,$C46)</f>
        <v>4</v>
      </c>
      <c r="G46" s="50">
        <f>'02.11'!G46+COUNTIF(G$11:G$40,$C46)</f>
        <v>4</v>
      </c>
    </row>
    <row r="47" spans="1:7" ht="26.25">
      <c r="A47" s="1"/>
      <c r="B47" s="1"/>
      <c r="C47" s="27" t="str">
        <f>'01.09'!C47</f>
        <v>*Пр. Анатомия*</v>
      </c>
      <c r="D47" s="50">
        <f>'02.11'!D47+COUNTIF(D$11:D$40,$C47)</f>
        <v>4</v>
      </c>
      <c r="E47" s="50">
        <f>'02.11'!E47+COUNTIF(E$11:E$40,$C47)</f>
        <v>4</v>
      </c>
      <c r="F47" s="50">
        <f>'02.11'!F47+COUNTIF(F$11:F$40,$C47)</f>
        <v>4</v>
      </c>
      <c r="G47" s="50">
        <f>'02.11'!G47+COUNTIF(G$11:G$40,$C47)</f>
        <v>4</v>
      </c>
    </row>
    <row r="48" spans="1:7" ht="26.25">
      <c r="A48" s="1"/>
      <c r="B48" s="1"/>
      <c r="C48" s="27" t="str">
        <f>'01.09'!C48</f>
        <v>*Л. Теория и методика*</v>
      </c>
      <c r="D48" s="50">
        <f>'02.11'!D48+COUNTIF(D$11:D$40,$C48)</f>
        <v>5</v>
      </c>
      <c r="E48" s="50">
        <f>'02.11'!E48+COUNTIF(E$11:E$40,$C48)</f>
        <v>5</v>
      </c>
      <c r="F48" s="50">
        <f>'02.11'!F48+COUNTIF(F$11:F$40,$C48)</f>
        <v>5</v>
      </c>
      <c r="G48" s="50">
        <f>'02.11'!G48+COUNTIF(G$11:G$40,$C48)</f>
        <v>5</v>
      </c>
    </row>
    <row r="49" spans="1:7" ht="26.25">
      <c r="A49" s="1"/>
      <c r="B49" s="1"/>
      <c r="C49" s="27" t="str">
        <f>'01.09'!C49</f>
        <v>*Пр. Теория и методика*</v>
      </c>
      <c r="D49" s="50">
        <f>'02.11'!D49+COUNTIF(D$11:D$40,$C49)</f>
        <v>24</v>
      </c>
      <c r="E49" s="50">
        <f>'02.11'!E49+COUNTIF(E$11:E$40,$C49)</f>
        <v>25</v>
      </c>
      <c r="F49" s="50">
        <f>'02.11'!F49+COUNTIF(F$11:F$40,$C49)</f>
        <v>25</v>
      </c>
      <c r="G49" s="50">
        <f>'02.11'!G49+COUNTIF(G$11:G$40,$C49)</f>
        <v>25</v>
      </c>
    </row>
    <row r="50" spans="1:7" ht="26.25">
      <c r="A50" s="1"/>
      <c r="B50" s="1"/>
      <c r="C50" s="27" t="str">
        <f>'01.09'!C50</f>
        <v>*Л. Информационные технологии*</v>
      </c>
      <c r="D50" s="50">
        <f>'02.11'!D50+COUNTIF(D$11:D$40,$C50)</f>
        <v>2</v>
      </c>
      <c r="E50" s="50">
        <f>'02.11'!E50+COUNTIF(E$11:E$40,$C50)</f>
        <v>2</v>
      </c>
      <c r="F50" s="50">
        <f>'02.11'!F50+COUNTIF(F$11:F$40,$C50)</f>
        <v>2</v>
      </c>
      <c r="G50" s="50">
        <f>'02.11'!G50+COUNTIF(G$11:G$40,$C50)</f>
        <v>2</v>
      </c>
    </row>
    <row r="51" spans="1:7" ht="26.25">
      <c r="A51" s="1"/>
      <c r="B51" s="1"/>
      <c r="C51" s="27" t="str">
        <f>'01.09'!C51</f>
        <v>*Пр. Информационные технологии*</v>
      </c>
      <c r="D51" s="50">
        <f>'02.11'!D51+COUNTIF(D$11:D$40,$C51)</f>
        <v>8</v>
      </c>
      <c r="E51" s="50">
        <f>'02.11'!E51+COUNTIF(E$11:E$40,$C51)</f>
        <v>8</v>
      </c>
      <c r="F51" s="50">
        <f>'02.11'!F51+COUNTIF(F$11:F$40,$C51)</f>
        <v>8</v>
      </c>
      <c r="G51" s="50">
        <f>'02.11'!G51+COUNTIF(G$11:G$40,$C51)</f>
        <v>8</v>
      </c>
    </row>
    <row r="52" spans="1:7" ht="26.25">
      <c r="A52" s="1"/>
      <c r="B52" s="1"/>
      <c r="C52" s="27" t="str">
        <f>'01.09'!C52</f>
        <v>*Л. Гимнастика*</v>
      </c>
      <c r="D52" s="50">
        <f>'02.11'!D52+COUNTIF(D$11:D$40,$C52)</f>
        <v>3</v>
      </c>
      <c r="E52" s="50">
        <f>'02.11'!E52+COUNTIF(E$11:E$40,$C52)</f>
        <v>3</v>
      </c>
      <c r="F52" s="50">
        <f>'02.11'!F52+COUNTIF(F$11:F$40,$C52)</f>
        <v>3</v>
      </c>
      <c r="G52" s="50">
        <f>'02.11'!G52+COUNTIF(G$11:G$40,$C52)</f>
        <v>3</v>
      </c>
    </row>
    <row r="53" spans="1:7" ht="26.25">
      <c r="A53" s="1"/>
      <c r="B53" s="1"/>
      <c r="C53" s="27" t="str">
        <f>'01.09'!C53</f>
        <v>*Пр. Гимнастика*</v>
      </c>
      <c r="D53" s="50">
        <f>'02.11'!D53+COUNTIF(D$11:D$40,$C53)</f>
        <v>13</v>
      </c>
      <c r="E53" s="50">
        <f>'02.11'!E53+COUNTIF(E$11:E$40,$C53)</f>
        <v>12</v>
      </c>
      <c r="F53" s="50">
        <f>'02.11'!F53+COUNTIF(F$11:F$40,$C53)</f>
        <v>12</v>
      </c>
      <c r="G53" s="50">
        <f>'02.11'!G53+COUNTIF(G$11:G$40,$C53)</f>
        <v>12</v>
      </c>
    </row>
    <row r="54" spans="1:7" ht="26.25">
      <c r="A54" s="1"/>
      <c r="B54" s="1"/>
      <c r="C54" s="27" t="str">
        <f>'01.09'!C54</f>
        <v>*Л. Элективные дисциплины по ФКиС: Подвижные игры*</v>
      </c>
      <c r="D54" s="50">
        <f>'02.11'!D54+COUNTIF(D$11:D$40,$C54)</f>
        <v>1</v>
      </c>
      <c r="E54" s="50">
        <f>'02.11'!E54+COUNTIF(E$11:E$40,$C54)</f>
        <v>1</v>
      </c>
      <c r="F54" s="50">
        <f>'02.11'!F54+COUNTIF(F$11:F$40,$C54)</f>
        <v>1</v>
      </c>
      <c r="G54" s="50">
        <f>'02.11'!G54+COUNTIF(G$11:G$40,$C54)</f>
        <v>1</v>
      </c>
    </row>
    <row r="55" spans="1:7" ht="26.25">
      <c r="A55" s="1"/>
      <c r="B55" s="1"/>
      <c r="C55" s="27" t="str">
        <f>'01.09'!C55</f>
        <v>*Пр. Элективные дисциплины по ФКиС: Подвижные игры*</v>
      </c>
      <c r="D55" s="50">
        <f>'02.11'!D55+COUNTIF(D$11:D$40,$C55)</f>
        <v>8</v>
      </c>
      <c r="E55" s="50">
        <f>'02.11'!E55+COUNTIF(E$11:E$40,$C55)</f>
        <v>8</v>
      </c>
      <c r="F55" s="50">
        <f>'02.11'!F55+COUNTIF(F$11:F$40,$C55)</f>
        <v>9</v>
      </c>
      <c r="G55" s="50">
        <f>'02.11'!G55+COUNTIF(G$11:G$40,$C55)</f>
        <v>9</v>
      </c>
    </row>
    <row r="56" spans="1:7" ht="26.25">
      <c r="A56" s="1"/>
      <c r="B56" s="1"/>
      <c r="C56" s="27" t="str">
        <f>'01.09'!C56</f>
        <v>*Л. Волейбол*</v>
      </c>
      <c r="D56" s="50">
        <f>'02.11'!D56+COUNTIF(D$11:D$40,$C56)</f>
        <v>1</v>
      </c>
      <c r="E56" s="50">
        <f>'02.11'!E56+COUNTIF(E$11:E$40,$C56)</f>
        <v>1</v>
      </c>
      <c r="F56" s="50">
        <f>'02.11'!F56+COUNTIF(F$11:F$40,$C56)</f>
        <v>1</v>
      </c>
      <c r="G56" s="50">
        <f>'02.11'!G56+COUNTIF(G$11:G$40,$C56)</f>
        <v>1</v>
      </c>
    </row>
    <row r="57" spans="1:7" ht="26.25">
      <c r="A57" s="1"/>
      <c r="B57" s="1"/>
      <c r="C57" s="27" t="str">
        <f>'01.09'!C57</f>
        <v>*Пр. Волейбол*</v>
      </c>
      <c r="D57" s="50">
        <f>'02.11'!D57+COUNTIF(D$11:D$40,$C57)</f>
        <v>16</v>
      </c>
      <c r="E57" s="50">
        <f>'02.11'!E57+COUNTIF(E$11:E$40,$C57)</f>
        <v>16</v>
      </c>
      <c r="F57" s="50">
        <f>'02.11'!F57+COUNTIF(F$11:F$40,$C57)</f>
        <v>16</v>
      </c>
      <c r="G57" s="50">
        <f>'02.11'!G57+COUNTIF(G$11:G$40,$C57)</f>
        <v>16</v>
      </c>
    </row>
    <row r="58" spans="1:7" ht="26.25">
      <c r="A58" s="1"/>
      <c r="B58" s="1"/>
      <c r="C58" s="27" t="str">
        <f>'01.09'!C58</f>
        <v>*Л. Лыжные гонки*</v>
      </c>
      <c r="D58" s="50">
        <f>'02.11'!D58+COUNTIF(D$11:D$40,$C58)</f>
        <v>0</v>
      </c>
      <c r="E58" s="50">
        <f>'02.11'!E58+COUNTIF(E$11:E$40,$C58)</f>
        <v>0</v>
      </c>
      <c r="F58" s="50">
        <f>'02.11'!F58+COUNTIF(F$11:F$40,$C58)</f>
        <v>0</v>
      </c>
      <c r="G58" s="50">
        <f>'02.11'!G58+COUNTIF(G$11:G$40,$C58)</f>
        <v>0</v>
      </c>
    </row>
    <row r="59" spans="1:7" ht="26.25">
      <c r="A59" s="1"/>
      <c r="B59" s="1"/>
      <c r="C59" s="27" t="str">
        <f>'01.09'!C59</f>
        <v>*Пр. Лыжные гонки*</v>
      </c>
      <c r="D59" s="50">
        <f>'02.11'!D59+COUNTIF(D$11:D$40,$C59)</f>
        <v>0</v>
      </c>
      <c r="E59" s="50">
        <f>'02.11'!E59+COUNTIF(E$11:E$40,$C59)</f>
        <v>0</v>
      </c>
      <c r="F59" s="50">
        <f>'02.11'!F59+COUNTIF(F$11:F$40,$C59)</f>
        <v>0</v>
      </c>
      <c r="G59" s="50">
        <f>'02.11'!G59+COUNTIF(G$11:G$40,$C59)</f>
        <v>0</v>
      </c>
    </row>
    <row r="60" spans="1:7" ht="26.25">
      <c r="A60" s="1"/>
      <c r="B60" s="1"/>
      <c r="C60" s="27" t="str">
        <f>'01.09'!C60</f>
        <v>*Л. Использование электронной*</v>
      </c>
      <c r="D60" s="50">
        <f>'02.11'!D60+COUNTIF(D$11:D$40,$C60)</f>
        <v>1</v>
      </c>
      <c r="E60" s="50">
        <f>'02.11'!E60+COUNTIF(E$11:E$40,$C60)</f>
        <v>0</v>
      </c>
      <c r="F60" s="50">
        <f>'02.11'!F60+COUNTIF(F$11:F$40,$C60)</f>
        <v>0</v>
      </c>
      <c r="G60" s="50">
        <f>'02.11'!G60+COUNTIF(G$11:G$40,$C60)</f>
        <v>0</v>
      </c>
    </row>
    <row r="61" spans="1:7" ht="26.25">
      <c r="A61" s="1"/>
      <c r="B61" s="1"/>
      <c r="C61" s="27" t="str">
        <f>'01.09'!C61</f>
        <v>*Пр. Использование электронной*</v>
      </c>
      <c r="D61" s="50">
        <f>'02.11'!D61+COUNTIF(D$11:D$40,$C61)</f>
        <v>2</v>
      </c>
      <c r="E61" s="50">
        <f>'02.11'!E61+COUNTIF(E$11:E$40,$C61)</f>
        <v>2</v>
      </c>
      <c r="F61" s="50">
        <f>'02.11'!F61+COUNTIF(F$11:F$40,$C61)</f>
        <v>2</v>
      </c>
      <c r="G61" s="50">
        <f>'02.11'!G61+COUNTIF(G$11:G$40,$C61)</f>
        <v>2</v>
      </c>
    </row>
    <row r="62" spans="1:7" ht="26.25">
      <c r="A62" s="1"/>
      <c r="B62" s="1"/>
      <c r="C62" s="27" t="str">
        <f>'01.09'!C62</f>
        <v>*Пр. Иностранный*</v>
      </c>
      <c r="D62" s="50">
        <f>'02.11'!D62+COUNTIF(D$11:D$40,$C62)</f>
        <v>8</v>
      </c>
      <c r="E62" s="50">
        <f>'02.11'!E62+COUNTIF(E$11:E$40,$C62)</f>
        <v>8</v>
      </c>
      <c r="F62" s="50">
        <f>'02.11'!F62+COUNTIF(F$11:F$40,$C62)</f>
        <v>8</v>
      </c>
      <c r="G62" s="50">
        <f>'02.11'!G62+COUNTIF(G$11:G$40,$C62)</f>
        <v>8</v>
      </c>
    </row>
    <row r="63" spans="1:7" ht="26.25">
      <c r="A63" s="1"/>
      <c r="B63" s="1"/>
      <c r="C63" s="27">
        <f>'01.09'!C63</f>
        <v>0</v>
      </c>
      <c r="D63" s="50">
        <f>'02.11'!D63+COUNTIF(D$11:D$40,$C63)</f>
        <v>0</v>
      </c>
      <c r="E63" s="50">
        <f>'02.11'!E63+COUNTIF(E$11:E$40,$C63)</f>
        <v>0</v>
      </c>
      <c r="F63" s="50">
        <f>'02.11'!F63+COUNTIF(F$11:F$40,$C63)</f>
        <v>0</v>
      </c>
      <c r="G63" s="50">
        <f>'02.11'!G63+COUNTIF(G$11:G$40,$C63)</f>
        <v>0</v>
      </c>
    </row>
    <row r="64" spans="1:7" ht="26.25">
      <c r="A64" s="1"/>
      <c r="B64" s="1"/>
      <c r="C64" s="27">
        <f>'01.09'!C64</f>
        <v>0</v>
      </c>
      <c r="D64" s="50">
        <f>'02.11'!D64+COUNTIF(D$11:D$40,$C64)</f>
        <v>0</v>
      </c>
      <c r="E64" s="50">
        <f>'02.11'!E64+COUNTIF(E$11:E$40,$C64)</f>
        <v>0</v>
      </c>
      <c r="F64" s="50">
        <f>'02.11'!F64+COUNTIF(F$11:F$40,$C64)</f>
        <v>0</v>
      </c>
      <c r="G64" s="50">
        <f>'02.11'!G64+COUNTIF(G$11:G$40,$C64)</f>
        <v>0</v>
      </c>
    </row>
    <row r="65" spans="1:7" ht="26.25">
      <c r="A65" s="1"/>
      <c r="B65" s="1"/>
      <c r="C65" s="27">
        <f>'01.09'!C65</f>
        <v>0</v>
      </c>
      <c r="D65" s="50">
        <f>'02.11'!D65+COUNTIF(D$11:D$40,$C65)</f>
        <v>0</v>
      </c>
      <c r="E65" s="50">
        <f>'02.11'!E65+COUNTIF(E$11:E$40,$C65)</f>
        <v>0</v>
      </c>
      <c r="F65" s="50">
        <f>'02.11'!F65+COUNTIF(F$11:F$40,$C65)</f>
        <v>0</v>
      </c>
      <c r="G65" s="50">
        <f>'02.11'!G65+COUNTIF(G$11:G$40,$C65)</f>
        <v>0</v>
      </c>
    </row>
    <row r="66" spans="1:7" ht="26.25">
      <c r="A66" s="1"/>
      <c r="B66" s="1"/>
      <c r="C66" s="27">
        <f>'01.09'!C66</f>
        <v>0</v>
      </c>
      <c r="D66" s="50">
        <f>'02.11'!D66+COUNTIF(D$11:D$40,$C66)</f>
        <v>0</v>
      </c>
      <c r="E66" s="50">
        <f>'02.11'!E66+COUNTIF(E$11:E$40,$C66)</f>
        <v>0</v>
      </c>
      <c r="F66" s="50">
        <f>'02.11'!F66+COUNTIF(F$11:F$40,$C66)</f>
        <v>0</v>
      </c>
      <c r="G66" s="50">
        <f>'02.11'!G66+COUNTIF(G$11:G$40,$C66)</f>
        <v>0</v>
      </c>
    </row>
    <row r="67" spans="1:7" ht="26.25">
      <c r="A67" s="1"/>
      <c r="B67" s="1"/>
      <c r="C67" s="27">
        <f>'01.09'!C67</f>
        <v>0</v>
      </c>
      <c r="D67" s="50">
        <f>'02.11'!D67+COUNTIF(D$11:D$40,$C67)</f>
        <v>0</v>
      </c>
      <c r="E67" s="50">
        <f>'02.11'!E67+COUNTIF(E$11:E$40,$C67)</f>
        <v>0</v>
      </c>
      <c r="F67" s="50">
        <f>'02.11'!F67+COUNTIF(F$11:F$40,$C67)</f>
        <v>0</v>
      </c>
      <c r="G67" s="50">
        <f>'02.11'!G67+COUNTIF(G$11:G$40,$C67)</f>
        <v>0</v>
      </c>
    </row>
    <row r="68" spans="1:7" ht="26.25">
      <c r="A68" s="1"/>
      <c r="B68" s="1"/>
      <c r="C68" s="69"/>
      <c r="D68" s="69"/>
      <c r="E68" s="69"/>
      <c r="F68" s="69"/>
      <c r="G68" s="69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I76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15"/>
  <cols>
    <col min="1" max="1" width="4.42578125" customWidth="1"/>
    <col min="2" max="2" width="6.5703125" customWidth="1"/>
    <col min="3" max="3" width="23.5703125" customWidth="1"/>
    <col min="4" max="4" width="74.85546875" customWidth="1"/>
    <col min="5" max="5" width="73.7109375" customWidth="1"/>
    <col min="6" max="7" width="74.85546875" customWidth="1"/>
  </cols>
  <sheetData>
    <row r="1" spans="1:7" ht="33" customHeight="1">
      <c r="A1" s="84"/>
      <c r="B1" s="726" t="s">
        <v>182</v>
      </c>
      <c r="C1" s="726"/>
      <c r="D1" s="726"/>
      <c r="E1" s="726"/>
      <c r="F1" s="726"/>
      <c r="G1" s="726"/>
    </row>
    <row r="2" spans="1:7" ht="33" customHeight="1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23.25" customHeight="1">
      <c r="A6" s="86"/>
      <c r="B6" s="726" t="s">
        <v>183</v>
      </c>
      <c r="C6" s="726"/>
      <c r="D6" s="726"/>
      <c r="E6" s="726"/>
      <c r="F6" s="726"/>
      <c r="G6" s="726"/>
    </row>
    <row r="7" spans="1:7" ht="25.5" customHeight="1">
      <c r="A7" s="87"/>
      <c r="B7" s="728" t="s">
        <v>296</v>
      </c>
      <c r="C7" s="728"/>
      <c r="D7" s="728"/>
      <c r="E7" s="728"/>
      <c r="F7" s="728"/>
      <c r="G7" s="728"/>
    </row>
    <row r="8" spans="1:7" ht="6.75" customHeight="1" thickBot="1">
      <c r="A8" s="104"/>
      <c r="B8" s="92"/>
      <c r="C8" s="92"/>
      <c r="D8" s="92"/>
      <c r="E8" s="92"/>
      <c r="F8" s="92"/>
      <c r="G8" s="92"/>
    </row>
    <row r="9" spans="1:7" ht="26.25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102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7" customHeight="1">
      <c r="A11" s="778" t="s">
        <v>0</v>
      </c>
      <c r="B11" s="737">
        <v>46342</v>
      </c>
      <c r="C11" s="97" t="s">
        <v>5</v>
      </c>
      <c r="D11" s="519"/>
      <c r="E11" s="360"/>
      <c r="F11" s="360"/>
      <c r="G11" s="520"/>
    </row>
    <row r="12" spans="1:7" ht="87" customHeight="1">
      <c r="A12" s="781"/>
      <c r="B12" s="731"/>
      <c r="C12" s="98" t="s">
        <v>6</v>
      </c>
      <c r="D12" s="395"/>
      <c r="E12" s="442"/>
      <c r="F12" s="442"/>
      <c r="G12" s="397"/>
    </row>
    <row r="13" spans="1:7" ht="87" customHeight="1">
      <c r="A13" s="781"/>
      <c r="B13" s="731"/>
      <c r="C13" s="98" t="s">
        <v>7</v>
      </c>
      <c r="D13" s="395"/>
      <c r="E13" s="396"/>
      <c r="F13" s="396"/>
      <c r="G13" s="397"/>
    </row>
    <row r="14" spans="1:7" ht="87" customHeight="1">
      <c r="A14" s="781"/>
      <c r="B14" s="731"/>
      <c r="C14" s="98" t="s">
        <v>8</v>
      </c>
      <c r="D14" s="395"/>
      <c r="E14" s="442"/>
      <c r="F14" s="442"/>
      <c r="G14" s="397"/>
    </row>
    <row r="15" spans="1:7" ht="87" customHeight="1" thickBot="1">
      <c r="A15" s="781"/>
      <c r="B15" s="731"/>
      <c r="C15" s="99" t="s">
        <v>10</v>
      </c>
      <c r="D15" s="428"/>
      <c r="E15" s="534"/>
      <c r="F15" s="534"/>
      <c r="G15" s="429"/>
    </row>
    <row r="16" spans="1:7" ht="87" customHeight="1">
      <c r="A16" s="778" t="s">
        <v>1</v>
      </c>
      <c r="B16" s="734">
        <f>B11+1</f>
        <v>46343</v>
      </c>
      <c r="C16" s="105" t="s">
        <v>5</v>
      </c>
      <c r="D16" s="479"/>
      <c r="E16" s="404"/>
      <c r="F16" s="478"/>
      <c r="G16" s="476"/>
    </row>
    <row r="17" spans="1:9" ht="87" customHeight="1">
      <c r="A17" s="781"/>
      <c r="B17" s="731"/>
      <c r="C17" s="106" t="s">
        <v>6</v>
      </c>
      <c r="D17" s="364"/>
      <c r="E17" s="434"/>
      <c r="F17" s="434"/>
      <c r="G17" s="415"/>
    </row>
    <row r="18" spans="1:9" ht="87" customHeight="1">
      <c r="A18" s="781"/>
      <c r="B18" s="731"/>
      <c r="C18" s="106" t="s">
        <v>7</v>
      </c>
      <c r="D18" s="395"/>
      <c r="E18" s="442"/>
      <c r="F18" s="396"/>
      <c r="G18" s="435"/>
    </row>
    <row r="19" spans="1:9" ht="87" customHeight="1">
      <c r="A19" s="781"/>
      <c r="B19" s="731"/>
      <c r="C19" s="106" t="s">
        <v>8</v>
      </c>
      <c r="D19" s="522"/>
      <c r="E19" s="396"/>
      <c r="F19" s="444"/>
      <c r="G19" s="436"/>
    </row>
    <row r="20" spans="1:9" ht="87" customHeight="1" thickBot="1">
      <c r="A20" s="782"/>
      <c r="B20" s="731"/>
      <c r="C20" s="107" t="s">
        <v>10</v>
      </c>
      <c r="D20" s="399"/>
      <c r="E20" s="400"/>
      <c r="F20" s="400"/>
      <c r="G20" s="401"/>
      <c r="I20" s="2"/>
    </row>
    <row r="21" spans="1:9" ht="87" customHeight="1">
      <c r="A21" s="786" t="s">
        <v>2</v>
      </c>
      <c r="B21" s="793">
        <f>B16+1</f>
        <v>46344</v>
      </c>
      <c r="C21" s="176" t="s">
        <v>5</v>
      </c>
      <c r="D21" s="254"/>
      <c r="E21" s="255"/>
      <c r="F21" s="255"/>
      <c r="G21" s="256"/>
    </row>
    <row r="22" spans="1:9" ht="87" customHeight="1">
      <c r="A22" s="787"/>
      <c r="B22" s="784"/>
      <c r="C22" s="177" t="s">
        <v>6</v>
      </c>
      <c r="D22" s="257"/>
      <c r="E22" s="258"/>
      <c r="F22" s="442"/>
      <c r="G22" s="248"/>
    </row>
    <row r="23" spans="1:9" ht="87" customHeight="1">
      <c r="A23" s="787"/>
      <c r="B23" s="784"/>
      <c r="C23" s="177" t="s">
        <v>7</v>
      </c>
      <c r="D23" s="395"/>
      <c r="E23" s="259"/>
      <c r="F23" s="258"/>
      <c r="G23" s="248"/>
      <c r="I23" s="2"/>
    </row>
    <row r="24" spans="1:9" ht="87" customHeight="1">
      <c r="A24" s="787"/>
      <c r="B24" s="784"/>
      <c r="C24" s="177" t="s">
        <v>8</v>
      </c>
      <c r="D24" s="257"/>
      <c r="E24" s="258"/>
      <c r="F24" s="258"/>
      <c r="G24" s="248"/>
    </row>
    <row r="25" spans="1:9" ht="87" customHeight="1" thickBot="1">
      <c r="A25" s="788"/>
      <c r="B25" s="784"/>
      <c r="C25" s="178" t="s">
        <v>10</v>
      </c>
      <c r="D25" s="265"/>
      <c r="E25" s="315"/>
      <c r="F25" s="315"/>
      <c r="G25" s="316"/>
    </row>
    <row r="26" spans="1:9" ht="87" customHeight="1">
      <c r="A26" s="778" t="s">
        <v>3</v>
      </c>
      <c r="B26" s="734">
        <f>B21+1</f>
        <v>46345</v>
      </c>
      <c r="C26" s="97" t="s">
        <v>5</v>
      </c>
      <c r="D26" s="289"/>
      <c r="E26" s="329"/>
      <c r="F26" s="329"/>
      <c r="G26" s="334"/>
    </row>
    <row r="27" spans="1:9" ht="87" customHeight="1">
      <c r="A27" s="779"/>
      <c r="B27" s="731"/>
      <c r="C27" s="98" t="s">
        <v>6</v>
      </c>
      <c r="D27" s="335"/>
      <c r="E27" s="358"/>
      <c r="F27" s="358"/>
      <c r="G27" s="359"/>
    </row>
    <row r="28" spans="1:9" ht="87" customHeight="1">
      <c r="A28" s="779"/>
      <c r="B28" s="731"/>
      <c r="C28" s="98" t="s">
        <v>7</v>
      </c>
      <c r="D28" s="395"/>
      <c r="E28" s="434"/>
      <c r="F28" s="434"/>
      <c r="G28" s="415"/>
    </row>
    <row r="29" spans="1:9" ht="87" customHeight="1">
      <c r="A29" s="779"/>
      <c r="B29" s="731"/>
      <c r="C29" s="98" t="s">
        <v>8</v>
      </c>
      <c r="D29" s="395"/>
      <c r="E29" s="434"/>
      <c r="F29" s="442"/>
      <c r="G29" s="248"/>
    </row>
    <row r="30" spans="1:9" ht="87" customHeight="1" thickBot="1">
      <c r="A30" s="780"/>
      <c r="B30" s="731"/>
      <c r="C30" s="99" t="s">
        <v>10</v>
      </c>
      <c r="D30" s="265"/>
      <c r="E30" s="474"/>
      <c r="F30" s="474"/>
      <c r="G30" s="475"/>
    </row>
    <row r="31" spans="1:9" ht="87" customHeight="1">
      <c r="A31" s="778" t="s">
        <v>4</v>
      </c>
      <c r="B31" s="734">
        <f>B26+1</f>
        <v>46346</v>
      </c>
      <c r="C31" s="105" t="s">
        <v>5</v>
      </c>
      <c r="D31" s="254"/>
      <c r="E31" s="255"/>
      <c r="F31" s="255"/>
      <c r="G31" s="334"/>
    </row>
    <row r="32" spans="1:9" ht="87" customHeight="1">
      <c r="A32" s="781"/>
      <c r="B32" s="731"/>
      <c r="C32" s="106" t="s">
        <v>6</v>
      </c>
      <c r="D32" s="257"/>
      <c r="E32" s="358"/>
      <c r="F32" s="259"/>
      <c r="G32" s="397"/>
    </row>
    <row r="33" spans="1:7" ht="87" customHeight="1">
      <c r="A33" s="781"/>
      <c r="B33" s="731"/>
      <c r="C33" s="106" t="s">
        <v>7</v>
      </c>
      <c r="D33" s="257"/>
      <c r="E33" s="285"/>
      <c r="F33" s="258"/>
      <c r="G33" s="286"/>
    </row>
    <row r="34" spans="1:7" ht="87" customHeight="1">
      <c r="A34" s="781"/>
      <c r="B34" s="731"/>
      <c r="C34" s="106" t="s">
        <v>8</v>
      </c>
      <c r="D34" s="257"/>
      <c r="E34" s="285"/>
      <c r="F34" s="258"/>
      <c r="G34" s="248"/>
    </row>
    <row r="35" spans="1:7" ht="87" customHeight="1" thickBot="1">
      <c r="A35" s="782"/>
      <c r="B35" s="731"/>
      <c r="C35" s="107" t="s">
        <v>10</v>
      </c>
      <c r="D35" s="297"/>
      <c r="E35" s="298"/>
      <c r="F35" s="229"/>
      <c r="G35" s="267"/>
    </row>
    <row r="36" spans="1:7" ht="51" customHeight="1">
      <c r="A36" s="731" t="s">
        <v>18</v>
      </c>
      <c r="B36" s="734">
        <f>B31+1</f>
        <v>46347</v>
      </c>
      <c r="C36" s="105" t="s">
        <v>5</v>
      </c>
      <c r="D36" s="347"/>
      <c r="E36" s="348"/>
      <c r="F36" s="348"/>
      <c r="G36" s="349"/>
    </row>
    <row r="37" spans="1:7" ht="51" customHeight="1">
      <c r="A37" s="731"/>
      <c r="B37" s="731"/>
      <c r="C37" s="106" t="s">
        <v>6</v>
      </c>
      <c r="D37" s="350"/>
      <c r="E37" s="60"/>
      <c r="F37" s="60"/>
      <c r="G37" s="193"/>
    </row>
    <row r="38" spans="1:7" ht="51" customHeight="1">
      <c r="A38" s="731"/>
      <c r="B38" s="731"/>
      <c r="C38" s="106" t="s">
        <v>7</v>
      </c>
      <c r="D38" s="350"/>
      <c r="E38" s="60"/>
      <c r="F38" s="60"/>
      <c r="G38" s="193"/>
    </row>
    <row r="39" spans="1:7" ht="51" customHeight="1">
      <c r="A39" s="731"/>
      <c r="B39" s="731"/>
      <c r="C39" s="106" t="s">
        <v>8</v>
      </c>
      <c r="D39" s="350"/>
      <c r="E39" s="60"/>
      <c r="F39" s="60"/>
      <c r="G39" s="193"/>
    </row>
    <row r="40" spans="1:7" ht="51" customHeight="1" thickBot="1">
      <c r="A40" s="777"/>
      <c r="B40" s="777"/>
      <c r="C40" s="107" t="s">
        <v>10</v>
      </c>
      <c r="D40" s="351"/>
      <c r="E40" s="352"/>
      <c r="F40" s="352"/>
      <c r="G40" s="353"/>
    </row>
    <row r="41" spans="1:7" ht="30.75">
      <c r="A41" s="1"/>
      <c r="B41" s="1"/>
      <c r="C41" s="20"/>
      <c r="D41" s="211" t="s">
        <v>120</v>
      </c>
      <c r="E41" s="20"/>
      <c r="F41" s="20"/>
      <c r="G41" s="25"/>
    </row>
    <row r="42" spans="1:7" ht="26.25">
      <c r="A42" s="1"/>
      <c r="B42" s="118">
        <v>2</v>
      </c>
      <c r="C42" s="27" t="str">
        <f>'01.09'!C42</f>
        <v>*Л. Речевое общение в профессиональной деятельности*</v>
      </c>
      <c r="D42" s="50">
        <f>'09.11'!D42+COUNTIF(D$11:D$40,$C42)</f>
        <v>5</v>
      </c>
      <c r="E42" s="50">
        <f>'09.11'!E42+COUNTIF(E$11:E$40,$C42)</f>
        <v>5</v>
      </c>
      <c r="F42" s="50">
        <f>'09.11'!F42+COUNTIF(F$11:F$40,$C42)</f>
        <v>5</v>
      </c>
      <c r="G42" s="50">
        <f>'09.11'!G42+COUNTIF(G$11:G$40,$C42)</f>
        <v>5</v>
      </c>
    </row>
    <row r="43" spans="1:7" ht="26.25">
      <c r="A43" s="1"/>
      <c r="B43" s="118">
        <v>14</v>
      </c>
      <c r="C43" s="27" t="str">
        <f>'01.09'!C43</f>
        <v>*Пр. Речевое общение в профессиональной деятельности*</v>
      </c>
      <c r="D43" s="50">
        <f>'09.11'!D43+COUNTIF(D$11:D$40,$C43)</f>
        <v>4</v>
      </c>
      <c r="E43" s="50">
        <f>'09.11'!E43+COUNTIF(E$11:E$40,$C43)</f>
        <v>4</v>
      </c>
      <c r="F43" s="50">
        <f>'09.11'!F43+COUNTIF(F$11:F$40,$C43)</f>
        <v>4</v>
      </c>
      <c r="G43" s="50">
        <f>'09.11'!G43+COUNTIF(G$11:G$40,$C43)</f>
        <v>4</v>
      </c>
    </row>
    <row r="44" spans="1:7" ht="26.25">
      <c r="A44" s="1"/>
      <c r="B44" s="118">
        <v>1</v>
      </c>
      <c r="C44" s="27" t="str">
        <f>'01.09'!C44</f>
        <v>*Л. Физическая культура и спорт*</v>
      </c>
      <c r="D44" s="50">
        <f>'09.11'!D44+COUNTIF(D$11:D$40,$C44)</f>
        <v>5</v>
      </c>
      <c r="E44" s="50">
        <f>'09.11'!E44+COUNTIF(E$11:E$40,$C44)</f>
        <v>5</v>
      </c>
      <c r="F44" s="50">
        <f>'09.11'!F44+COUNTIF(F$11:F$40,$C44)</f>
        <v>5</v>
      </c>
      <c r="G44" s="50">
        <f>'09.11'!G44+COUNTIF(G$11:G$40,$C44)</f>
        <v>5</v>
      </c>
    </row>
    <row r="45" spans="1:7" ht="26.25">
      <c r="A45" s="1"/>
      <c r="B45" s="118">
        <v>23</v>
      </c>
      <c r="C45" s="27" t="str">
        <f>'01.09'!C45</f>
        <v>*Пр. Физическая культура и спорт*</v>
      </c>
      <c r="D45" s="50">
        <f>'09.11'!D45+COUNTIF(D$11:D$40,$C45)</f>
        <v>5</v>
      </c>
      <c r="E45" s="50">
        <f>'09.11'!E45+COUNTIF(E$11:E$40,$C45)</f>
        <v>5</v>
      </c>
      <c r="F45" s="50">
        <f>'09.11'!F45+COUNTIF(F$11:F$40,$C45)</f>
        <v>5</v>
      </c>
      <c r="G45" s="50">
        <f>'09.11'!G45+COUNTIF(G$11:G$40,$C45)</f>
        <v>5</v>
      </c>
    </row>
    <row r="46" spans="1:7" ht="26.25">
      <c r="A46" s="1"/>
      <c r="B46" s="118">
        <v>7</v>
      </c>
      <c r="C46" s="27" t="str">
        <f>'01.09'!C46</f>
        <v>*Л. Анатомия*</v>
      </c>
      <c r="D46" s="50">
        <f>'09.11'!D46+COUNTIF(D$11:D$40,$C46)</f>
        <v>4</v>
      </c>
      <c r="E46" s="50">
        <f>'09.11'!E46+COUNTIF(E$11:E$40,$C46)</f>
        <v>4</v>
      </c>
      <c r="F46" s="50">
        <f>'09.11'!F46+COUNTIF(F$11:F$40,$C46)</f>
        <v>4</v>
      </c>
      <c r="G46" s="50">
        <f>'09.11'!G46+COUNTIF(G$11:G$40,$C46)</f>
        <v>4</v>
      </c>
    </row>
    <row r="47" spans="1:7" ht="26.25">
      <c r="A47" s="1"/>
      <c r="B47" s="118">
        <v>17</v>
      </c>
      <c r="C47" s="27" t="str">
        <f>'01.09'!C47</f>
        <v>*Пр. Анатомия*</v>
      </c>
      <c r="D47" s="50">
        <f>'09.11'!D47+COUNTIF(D$11:D$40,$C47)</f>
        <v>4</v>
      </c>
      <c r="E47" s="50">
        <f>'09.11'!E47+COUNTIF(E$11:E$40,$C47)</f>
        <v>4</v>
      </c>
      <c r="F47" s="50">
        <f>'09.11'!F47+COUNTIF(F$11:F$40,$C47)</f>
        <v>4</v>
      </c>
      <c r="G47" s="50">
        <f>'09.11'!G47+COUNTIF(G$11:G$40,$C47)</f>
        <v>4</v>
      </c>
    </row>
    <row r="48" spans="1:7" ht="26.25">
      <c r="A48" s="1"/>
      <c r="B48" s="118">
        <v>5</v>
      </c>
      <c r="C48" s="27" t="str">
        <f>'01.09'!C48</f>
        <v>*Л. Теория и методика*</v>
      </c>
      <c r="D48" s="50">
        <f>'09.11'!D48+COUNTIF(D$11:D$40,$C48)</f>
        <v>5</v>
      </c>
      <c r="E48" s="50">
        <f>'09.11'!E48+COUNTIF(E$11:E$40,$C48)</f>
        <v>5</v>
      </c>
      <c r="F48" s="50">
        <f>'09.11'!F48+COUNTIF(F$11:F$40,$C48)</f>
        <v>5</v>
      </c>
      <c r="G48" s="50">
        <f>'09.11'!G48+COUNTIF(G$11:G$40,$C48)</f>
        <v>5</v>
      </c>
    </row>
    <row r="49" spans="1:7" ht="26.25">
      <c r="A49" s="1"/>
      <c r="B49" s="118">
        <v>53</v>
      </c>
      <c r="C49" s="27" t="str">
        <f>'01.09'!C49</f>
        <v>*Пр. Теория и методика*</v>
      </c>
      <c r="D49" s="50">
        <f>'09.11'!D49+COUNTIF(D$11:D$40,$C49)</f>
        <v>24</v>
      </c>
      <c r="E49" s="50">
        <f>'09.11'!E49+COUNTIF(E$11:E$40,$C49)</f>
        <v>25</v>
      </c>
      <c r="F49" s="50">
        <f>'09.11'!F49+COUNTIF(F$11:F$40,$C49)</f>
        <v>25</v>
      </c>
      <c r="G49" s="50">
        <f>'09.11'!G49+COUNTIF(G$11:G$40,$C49)</f>
        <v>25</v>
      </c>
    </row>
    <row r="50" spans="1:7" ht="26.25">
      <c r="A50" s="1"/>
      <c r="B50" s="118">
        <v>1</v>
      </c>
      <c r="C50" s="27" t="str">
        <f>'01.09'!C50</f>
        <v>*Л. Информационные технологии*</v>
      </c>
      <c r="D50" s="50">
        <f>'09.11'!D50+COUNTIF(D$11:D$40,$C50)</f>
        <v>2</v>
      </c>
      <c r="E50" s="50">
        <f>'09.11'!E50+COUNTIF(E$11:E$40,$C50)</f>
        <v>2</v>
      </c>
      <c r="F50" s="50">
        <f>'09.11'!F50+COUNTIF(F$11:F$40,$C50)</f>
        <v>2</v>
      </c>
      <c r="G50" s="50">
        <f>'09.11'!G50+COUNTIF(G$11:G$40,$C50)</f>
        <v>2</v>
      </c>
    </row>
    <row r="51" spans="1:7" ht="26.25">
      <c r="A51" s="1"/>
      <c r="B51" s="118">
        <v>23</v>
      </c>
      <c r="C51" s="27" t="str">
        <f>'01.09'!C51</f>
        <v>*Пр. Информационные технологии*</v>
      </c>
      <c r="D51" s="50">
        <f>'09.11'!D51+COUNTIF(D$11:D$40,$C51)</f>
        <v>8</v>
      </c>
      <c r="E51" s="50">
        <f>'09.11'!E51+COUNTIF(E$11:E$40,$C51)</f>
        <v>8</v>
      </c>
      <c r="F51" s="50">
        <f>'09.11'!F51+COUNTIF(F$11:F$40,$C51)</f>
        <v>8</v>
      </c>
      <c r="G51" s="50">
        <f>'09.11'!G51+COUNTIF(G$11:G$40,$C51)</f>
        <v>8</v>
      </c>
    </row>
    <row r="52" spans="1:7" ht="26.25">
      <c r="A52" s="1"/>
      <c r="B52" s="118">
        <v>1</v>
      </c>
      <c r="C52" s="27" t="str">
        <f>'01.09'!C52</f>
        <v>*Л. Гимнастика*</v>
      </c>
      <c r="D52" s="50">
        <f>'09.11'!D52+COUNTIF(D$11:D$40,$C52)</f>
        <v>3</v>
      </c>
      <c r="E52" s="50">
        <f>'09.11'!E52+COUNTIF(E$11:E$40,$C52)</f>
        <v>3</v>
      </c>
      <c r="F52" s="50">
        <f>'09.11'!F52+COUNTIF(F$11:F$40,$C52)</f>
        <v>3</v>
      </c>
      <c r="G52" s="50">
        <f>'09.11'!G52+COUNTIF(G$11:G$40,$C52)</f>
        <v>3</v>
      </c>
    </row>
    <row r="53" spans="1:7" ht="26.25">
      <c r="A53" s="1"/>
      <c r="B53" s="118">
        <v>23</v>
      </c>
      <c r="C53" s="27" t="str">
        <f>'01.09'!C53</f>
        <v>*Пр. Гимнастика*</v>
      </c>
      <c r="D53" s="50">
        <f>'09.11'!D53+COUNTIF(D$11:D$40,$C53)</f>
        <v>13</v>
      </c>
      <c r="E53" s="50">
        <f>'09.11'!E53+COUNTIF(E$11:E$40,$C53)</f>
        <v>12</v>
      </c>
      <c r="F53" s="50">
        <f>'09.11'!F53+COUNTIF(F$11:F$40,$C53)</f>
        <v>12</v>
      </c>
      <c r="G53" s="50">
        <f>'09.11'!G53+COUNTIF(G$11:G$40,$C53)</f>
        <v>12</v>
      </c>
    </row>
    <row r="54" spans="1:7" ht="26.25">
      <c r="A54" s="1"/>
      <c r="B54" s="118">
        <v>3</v>
      </c>
      <c r="C54" s="27" t="str">
        <f>'01.09'!C54</f>
        <v>*Л. Элективные дисциплины по ФКиС: Подвижные игры*</v>
      </c>
      <c r="D54" s="50">
        <f>'09.11'!D54+COUNTIF(D$11:D$40,$C54)</f>
        <v>1</v>
      </c>
      <c r="E54" s="50">
        <f>'09.11'!E54+COUNTIF(E$11:E$40,$C54)</f>
        <v>1</v>
      </c>
      <c r="F54" s="50">
        <f>'09.11'!F54+COUNTIF(F$11:F$40,$C54)</f>
        <v>1</v>
      </c>
      <c r="G54" s="50">
        <f>'09.11'!G54+COUNTIF(G$11:G$40,$C54)</f>
        <v>1</v>
      </c>
    </row>
    <row r="55" spans="1:7" ht="26.25">
      <c r="A55" s="1"/>
      <c r="B55" s="118">
        <v>21</v>
      </c>
      <c r="C55" s="27" t="str">
        <f>'01.09'!C55</f>
        <v>*Пр. Элективные дисциплины по ФКиС: Подвижные игры*</v>
      </c>
      <c r="D55" s="50">
        <f>'09.11'!D55+COUNTIF(D$11:D$40,$C55)</f>
        <v>8</v>
      </c>
      <c r="E55" s="50">
        <f>'09.11'!E55+COUNTIF(E$11:E$40,$C55)</f>
        <v>8</v>
      </c>
      <c r="F55" s="50">
        <f>'09.11'!F55+COUNTIF(F$11:F$40,$C55)</f>
        <v>9</v>
      </c>
      <c r="G55" s="50">
        <f>'09.11'!G55+COUNTIF(G$11:G$40,$C55)</f>
        <v>9</v>
      </c>
    </row>
    <row r="56" spans="1:7" ht="26.25">
      <c r="A56" s="1"/>
      <c r="B56" s="118">
        <v>1</v>
      </c>
      <c r="C56" s="27" t="str">
        <f>'01.09'!C56</f>
        <v>*Л. Волейбол*</v>
      </c>
      <c r="D56" s="50">
        <f>'09.11'!D56+COUNTIF(D$11:D$40,$C56)</f>
        <v>1</v>
      </c>
      <c r="E56" s="50">
        <f>'09.11'!E56+COUNTIF(E$11:E$40,$C56)</f>
        <v>1</v>
      </c>
      <c r="F56" s="50">
        <f>'09.11'!F56+COUNTIF(F$11:F$40,$C56)</f>
        <v>1</v>
      </c>
      <c r="G56" s="50">
        <f>'09.11'!G56+COUNTIF(G$11:G$40,$C56)</f>
        <v>1</v>
      </c>
    </row>
    <row r="57" spans="1:7" ht="26.25">
      <c r="A57" s="1"/>
      <c r="B57" s="118">
        <v>9</v>
      </c>
      <c r="C57" s="27" t="str">
        <f>'01.09'!C57</f>
        <v>*Пр. Волейбол*</v>
      </c>
      <c r="D57" s="50">
        <f>'09.11'!D57+COUNTIF(D$11:D$40,$C57)</f>
        <v>16</v>
      </c>
      <c r="E57" s="50">
        <f>'09.11'!E57+COUNTIF(E$11:E$40,$C57)</f>
        <v>16</v>
      </c>
      <c r="F57" s="50">
        <f>'09.11'!F57+COUNTIF(F$11:F$40,$C57)</f>
        <v>16</v>
      </c>
      <c r="G57" s="50">
        <f>'09.11'!G57+COUNTIF(G$11:G$40,$C57)</f>
        <v>16</v>
      </c>
    </row>
    <row r="58" spans="1:7" ht="26.25">
      <c r="A58" s="1"/>
      <c r="B58" s="118">
        <v>16</v>
      </c>
      <c r="C58" s="27" t="str">
        <f>'01.09'!C58</f>
        <v>*Л. Лыжные гонки*</v>
      </c>
      <c r="D58" s="50">
        <f>'09.11'!D58+COUNTIF(D$11:D$40,$C58)</f>
        <v>0</v>
      </c>
      <c r="E58" s="50">
        <f>'09.11'!E58+COUNTIF(E$11:E$40,$C58)</f>
        <v>0</v>
      </c>
      <c r="F58" s="50">
        <f>'09.11'!F58+COUNTIF(F$11:F$40,$C58)</f>
        <v>0</v>
      </c>
      <c r="G58" s="50">
        <f>'09.11'!G58+COUNTIF(G$11:G$40,$C58)</f>
        <v>0</v>
      </c>
    </row>
    <row r="59" spans="1:7" ht="26.25">
      <c r="A59" s="1"/>
      <c r="B59" s="118">
        <v>1</v>
      </c>
      <c r="C59" s="27" t="str">
        <f>'01.09'!C59</f>
        <v>*Пр. Лыжные гонки*</v>
      </c>
      <c r="D59" s="50">
        <f>'09.11'!D59+COUNTIF(D$11:D$40,$C59)</f>
        <v>0</v>
      </c>
      <c r="E59" s="50">
        <f>'09.11'!E59+COUNTIF(E$11:E$40,$C59)</f>
        <v>0</v>
      </c>
      <c r="F59" s="50">
        <f>'09.11'!F59+COUNTIF(F$11:F$40,$C59)</f>
        <v>0</v>
      </c>
      <c r="G59" s="50">
        <f>'09.11'!G59+COUNTIF(G$11:G$40,$C59)</f>
        <v>0</v>
      </c>
    </row>
    <row r="60" spans="1:7" ht="26.25">
      <c r="A60" s="1"/>
      <c r="B60" s="118">
        <v>2</v>
      </c>
      <c r="C60" s="27" t="str">
        <f>'01.09'!C60</f>
        <v>*Л. Использование электронной*</v>
      </c>
      <c r="D60" s="50">
        <f>'09.11'!D60+COUNTIF(D$11:D$40,$C60)</f>
        <v>1</v>
      </c>
      <c r="E60" s="50">
        <f>'09.11'!E60+COUNTIF(E$11:E$40,$C60)</f>
        <v>0</v>
      </c>
      <c r="F60" s="50">
        <f>'09.11'!F60+COUNTIF(F$11:F$40,$C60)</f>
        <v>0</v>
      </c>
      <c r="G60" s="50">
        <f>'09.11'!G60+COUNTIF(G$11:G$40,$C60)</f>
        <v>0</v>
      </c>
    </row>
    <row r="61" spans="1:7" ht="26.25">
      <c r="A61" s="1"/>
      <c r="B61" s="1"/>
      <c r="C61" s="27" t="str">
        <f>'01.09'!C61</f>
        <v>*Пр. Использование электронной*</v>
      </c>
      <c r="D61" s="22">
        <f>'09.11'!D61+COUNTIF(D$11:D$40,$C61)</f>
        <v>2</v>
      </c>
      <c r="E61" s="22">
        <f>'09.11'!E61+COUNTIF(E$11:E$40,$C61)</f>
        <v>2</v>
      </c>
      <c r="F61" s="22">
        <f>'09.11'!F61+COUNTIF(F$11:F$40,$C61)</f>
        <v>2</v>
      </c>
      <c r="G61" s="22">
        <f>'09.11'!G61+COUNTIF(G$11:G$40,$C61)</f>
        <v>2</v>
      </c>
    </row>
    <row r="62" spans="1:7" ht="26.25">
      <c r="A62" s="1"/>
      <c r="B62" s="1"/>
      <c r="C62" s="27" t="str">
        <f>'01.09'!C62</f>
        <v>*Пр. Иностранный*</v>
      </c>
      <c r="D62" s="22">
        <f>'09.11'!D62+COUNTIF(D$11:D$40,$C62)</f>
        <v>8</v>
      </c>
      <c r="E62" s="22">
        <f>'09.11'!E62+COUNTIF(E$11:E$40,$C62)</f>
        <v>8</v>
      </c>
      <c r="F62" s="22">
        <f>'09.11'!F62+COUNTIF(F$11:F$40,$C62)</f>
        <v>8</v>
      </c>
      <c r="G62" s="22">
        <f>'09.11'!G62+COUNTIF(G$11:G$40,$C62)</f>
        <v>8</v>
      </c>
    </row>
    <row r="63" spans="1:7" ht="26.25">
      <c r="A63" s="1"/>
      <c r="B63" s="1"/>
      <c r="C63" s="27">
        <f>'01.09'!C63</f>
        <v>0</v>
      </c>
      <c r="D63" s="22">
        <f>'09.11'!D63+COUNTIF(D$11:D$40,$C63)</f>
        <v>0</v>
      </c>
      <c r="E63" s="22">
        <f>'09.11'!E63+COUNTIF(E$11:E$40,$C63)</f>
        <v>0</v>
      </c>
      <c r="F63" s="22">
        <f>'09.11'!F63+COUNTIF(F$11:F$40,$C63)</f>
        <v>0</v>
      </c>
      <c r="G63" s="22">
        <f>'09.11'!G63+COUNTIF(G$11:G$40,$C63)</f>
        <v>0</v>
      </c>
    </row>
    <row r="64" spans="1:7" ht="26.25">
      <c r="A64" s="1"/>
      <c r="B64" s="1"/>
      <c r="C64" s="27">
        <f>'01.09'!C64</f>
        <v>0</v>
      </c>
      <c r="D64" s="22">
        <f>'09.11'!D64+COUNTIF(D$11:D$40,$C64)</f>
        <v>0</v>
      </c>
      <c r="E64" s="22">
        <f>'09.11'!E64+COUNTIF(E$11:E$40,$C64)</f>
        <v>0</v>
      </c>
      <c r="F64" s="22">
        <f>'09.11'!F64+COUNTIF(F$11:F$40,$C64)</f>
        <v>0</v>
      </c>
      <c r="G64" s="22">
        <f>'09.11'!G64+COUNTIF(G$11:G$40,$C64)</f>
        <v>0</v>
      </c>
    </row>
    <row r="65" spans="1:7" ht="26.25">
      <c r="A65" s="1"/>
      <c r="B65" s="1"/>
      <c r="C65" s="27">
        <f>'01.09'!C65</f>
        <v>0</v>
      </c>
      <c r="D65" s="22">
        <f>'09.11'!D65+COUNTIF(D$11:D$40,$C65)</f>
        <v>0</v>
      </c>
      <c r="E65" s="22">
        <f>'09.11'!E65+COUNTIF(E$11:E$40,$C65)</f>
        <v>0</v>
      </c>
      <c r="F65" s="22">
        <f>'09.11'!F65+COUNTIF(F$11:F$40,$C65)</f>
        <v>0</v>
      </c>
      <c r="G65" s="22">
        <f>'09.11'!G65+COUNTIF(G$11:G$40,$C65)</f>
        <v>0</v>
      </c>
    </row>
    <row r="66" spans="1:7" ht="26.25">
      <c r="A66" s="1"/>
      <c r="B66" s="1"/>
      <c r="C66" s="27">
        <f>'01.09'!C66</f>
        <v>0</v>
      </c>
      <c r="D66" s="22">
        <f>'09.11'!D66+COUNTIF(D$11:D$40,$C66)</f>
        <v>0</v>
      </c>
      <c r="E66" s="22">
        <f>'09.11'!E66+COUNTIF(E$11:E$40,$C66)</f>
        <v>0</v>
      </c>
      <c r="F66" s="22">
        <f>'09.11'!F66+COUNTIF(F$11:F$40,$C66)</f>
        <v>0</v>
      </c>
      <c r="G66" s="22">
        <f>'09.11'!G66+COUNTIF(G$11:G$40,$C66)</f>
        <v>0</v>
      </c>
    </row>
    <row r="67" spans="1:7" ht="26.25">
      <c r="A67" s="1"/>
      <c r="B67" s="1"/>
      <c r="C67" s="27">
        <f>'01.09'!C67</f>
        <v>0</v>
      </c>
      <c r="D67" s="22">
        <f>'09.11'!D67+COUNTIF(D$11:D$40,$C67)</f>
        <v>0</v>
      </c>
      <c r="E67" s="22">
        <f>'09.11'!E67+COUNTIF(E$11:E$40,$C67)</f>
        <v>0</v>
      </c>
      <c r="F67" s="22">
        <f>'09.11'!F67+COUNTIF(F$11:F$40,$C67)</f>
        <v>0</v>
      </c>
      <c r="G67" s="22">
        <f>'09.11'!G67+COUNTIF(G$11:G$40,$C67)</f>
        <v>0</v>
      </c>
    </row>
    <row r="68" spans="1:7">
      <c r="A68" s="1"/>
      <c r="B68" s="1"/>
      <c r="C68" s="1"/>
      <c r="D68" s="1"/>
      <c r="E68" s="1"/>
      <c r="F68" s="1"/>
    </row>
    <row r="69" spans="1:7">
      <c r="A69" s="1"/>
      <c r="B69" s="1"/>
      <c r="C69" s="1"/>
      <c r="D69" s="1"/>
      <c r="E69" s="1"/>
      <c r="F69" s="1"/>
    </row>
    <row r="70" spans="1:7">
      <c r="A70" s="1"/>
      <c r="B70" s="1"/>
      <c r="C70" s="1"/>
      <c r="D70" s="1"/>
      <c r="E70" s="1"/>
      <c r="F70" s="1"/>
    </row>
    <row r="71" spans="1:7">
      <c r="A71" s="1"/>
      <c r="B71" s="1"/>
      <c r="C71" s="1"/>
      <c r="D71" s="1"/>
      <c r="E71" s="1"/>
      <c r="F71" s="1"/>
    </row>
    <row r="72" spans="1:7">
      <c r="A72" s="1"/>
      <c r="B72" s="1"/>
      <c r="C72" s="1"/>
      <c r="D72" s="1"/>
      <c r="E72" s="1"/>
      <c r="F72" s="1"/>
    </row>
    <row r="73" spans="1:7">
      <c r="A73" s="1"/>
      <c r="B73" s="1"/>
      <c r="C73" s="1"/>
      <c r="D73" s="1"/>
      <c r="E73" s="1"/>
      <c r="F73" s="1"/>
    </row>
    <row r="74" spans="1:7">
      <c r="A74" s="1"/>
      <c r="B74" s="1"/>
      <c r="C74" s="1"/>
      <c r="D74" s="1"/>
      <c r="E74" s="1"/>
      <c r="F74" s="1"/>
    </row>
    <row r="75" spans="1:7">
      <c r="A75" s="1"/>
      <c r="B75" s="1"/>
      <c r="C75" s="1"/>
      <c r="D75" s="1"/>
      <c r="E75" s="1"/>
      <c r="F75" s="1"/>
    </row>
    <row r="76" spans="1:7">
      <c r="A76" s="1"/>
      <c r="B76" s="1"/>
      <c r="C76" s="1"/>
      <c r="D76" s="1"/>
      <c r="E76" s="1"/>
      <c r="F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30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G76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15"/>
  <cols>
    <col min="1" max="2" width="4.42578125" customWidth="1"/>
    <col min="3" max="3" width="22.7109375" customWidth="1"/>
    <col min="4" max="7" width="74.140625" customWidth="1"/>
  </cols>
  <sheetData>
    <row r="1" spans="1:7" ht="27.75" customHeight="1">
      <c r="A1" s="84"/>
      <c r="B1" s="726" t="s">
        <v>182</v>
      </c>
      <c r="C1" s="726"/>
      <c r="D1" s="726"/>
      <c r="E1" s="726"/>
      <c r="F1" s="726"/>
      <c r="G1" s="726"/>
    </row>
    <row r="2" spans="1:7" ht="27" customHeight="1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25.5" customHeight="1">
      <c r="A6" s="86"/>
      <c r="B6" s="726" t="s">
        <v>183</v>
      </c>
      <c r="C6" s="726"/>
      <c r="D6" s="726"/>
      <c r="E6" s="726"/>
      <c r="F6" s="726"/>
      <c r="G6" s="726"/>
    </row>
    <row r="7" spans="1:7" ht="28.5" customHeight="1">
      <c r="A7" s="87"/>
      <c r="B7" s="728" t="s">
        <v>296</v>
      </c>
      <c r="C7" s="728"/>
      <c r="D7" s="728"/>
      <c r="E7" s="728"/>
      <c r="F7" s="728"/>
      <c r="G7" s="728"/>
    </row>
    <row r="8" spans="1:7" ht="6.75" customHeight="1" thickBot="1">
      <c r="A8" s="104"/>
      <c r="B8" s="92"/>
      <c r="C8" s="92"/>
      <c r="D8" s="92"/>
      <c r="E8" s="92"/>
      <c r="F8" s="92"/>
      <c r="G8" s="92"/>
    </row>
    <row r="9" spans="1:7" ht="35.25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94.5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5.5" customHeight="1">
      <c r="A11" s="778" t="s">
        <v>0</v>
      </c>
      <c r="B11" s="737">
        <v>46349</v>
      </c>
      <c r="C11" s="105" t="s">
        <v>5</v>
      </c>
      <c r="D11" s="519"/>
      <c r="E11" s="360"/>
      <c r="F11" s="360"/>
      <c r="G11" s="520"/>
    </row>
    <row r="12" spans="1:7" ht="85.5" customHeight="1">
      <c r="A12" s="781"/>
      <c r="B12" s="731"/>
      <c r="C12" s="106" t="s">
        <v>6</v>
      </c>
      <c r="D12" s="395"/>
      <c r="E12" s="442"/>
      <c r="F12" s="442"/>
      <c r="G12" s="397"/>
    </row>
    <row r="13" spans="1:7" ht="85.5" customHeight="1">
      <c r="A13" s="781"/>
      <c r="B13" s="731"/>
      <c r="C13" s="106" t="s">
        <v>7</v>
      </c>
      <c r="D13" s="395"/>
      <c r="E13" s="396"/>
      <c r="F13" s="396"/>
      <c r="G13" s="397"/>
    </row>
    <row r="14" spans="1:7" ht="85.5" customHeight="1">
      <c r="A14" s="781"/>
      <c r="B14" s="731"/>
      <c r="C14" s="106" t="s">
        <v>8</v>
      </c>
      <c r="D14" s="395"/>
      <c r="E14" s="442"/>
      <c r="F14" s="442"/>
      <c r="G14" s="397"/>
    </row>
    <row r="15" spans="1:7" ht="85.5" customHeight="1" thickBot="1">
      <c r="A15" s="781"/>
      <c r="B15" s="731"/>
      <c r="C15" s="107" t="s">
        <v>10</v>
      </c>
      <c r="D15" s="428"/>
      <c r="E15" s="557"/>
      <c r="F15" s="557"/>
      <c r="G15" s="429"/>
    </row>
    <row r="16" spans="1:7" ht="85.5" customHeight="1">
      <c r="A16" s="778" t="s">
        <v>1</v>
      </c>
      <c r="B16" s="734">
        <f>B11+1</f>
        <v>46350</v>
      </c>
      <c r="C16" s="105" t="s">
        <v>5</v>
      </c>
      <c r="D16" s="479"/>
      <c r="E16" s="404"/>
      <c r="F16" s="404"/>
      <c r="G16" s="559"/>
    </row>
    <row r="17" spans="1:7" ht="85.5" customHeight="1">
      <c r="A17" s="781"/>
      <c r="B17" s="731"/>
      <c r="C17" s="106" t="s">
        <v>6</v>
      </c>
      <c r="D17" s="395"/>
      <c r="E17" s="442"/>
      <c r="F17" s="442"/>
      <c r="G17" s="397"/>
    </row>
    <row r="18" spans="1:7" ht="85.5" customHeight="1">
      <c r="A18" s="781"/>
      <c r="B18" s="731"/>
      <c r="C18" s="106" t="s">
        <v>7</v>
      </c>
      <c r="D18" s="395"/>
      <c r="E18" s="442"/>
      <c r="F18" s="396"/>
      <c r="G18" s="521"/>
    </row>
    <row r="19" spans="1:7" ht="85.5" customHeight="1">
      <c r="A19" s="781"/>
      <c r="B19" s="731"/>
      <c r="C19" s="106" t="s">
        <v>8</v>
      </c>
      <c r="D19" s="522"/>
      <c r="E19" s="396"/>
      <c r="F19" s="444"/>
      <c r="G19" s="443"/>
    </row>
    <row r="20" spans="1:7" ht="85.5" customHeight="1" thickBot="1">
      <c r="A20" s="782"/>
      <c r="B20" s="731"/>
      <c r="C20" s="107" t="s">
        <v>10</v>
      </c>
      <c r="D20" s="399"/>
      <c r="E20" s="400"/>
      <c r="F20" s="400"/>
      <c r="G20" s="401"/>
    </row>
    <row r="21" spans="1:7" ht="85.5" customHeight="1">
      <c r="A21" s="778" t="s">
        <v>2</v>
      </c>
      <c r="B21" s="734">
        <f>B16+1</f>
        <v>46351</v>
      </c>
      <c r="C21" s="105" t="s">
        <v>5</v>
      </c>
      <c r="D21" s="254"/>
      <c r="E21" s="255"/>
      <c r="F21" s="255"/>
      <c r="G21" s="256"/>
    </row>
    <row r="22" spans="1:7" ht="85.5" customHeight="1">
      <c r="A22" s="781"/>
      <c r="B22" s="731"/>
      <c r="C22" s="106" t="s">
        <v>6</v>
      </c>
      <c r="D22" s="257"/>
      <c r="E22" s="258"/>
      <c r="F22" s="442"/>
      <c r="G22" s="248"/>
    </row>
    <row r="23" spans="1:7" ht="85.5" customHeight="1">
      <c r="A23" s="781"/>
      <c r="B23" s="731"/>
      <c r="C23" s="106" t="s">
        <v>7</v>
      </c>
      <c r="D23" s="395"/>
      <c r="E23" s="259"/>
      <c r="F23" s="258"/>
      <c r="G23" s="248"/>
    </row>
    <row r="24" spans="1:7" ht="85.5" customHeight="1">
      <c r="A24" s="781"/>
      <c r="B24" s="731"/>
      <c r="C24" s="106" t="s">
        <v>8</v>
      </c>
      <c r="D24" s="257"/>
      <c r="E24" s="258"/>
      <c r="F24" s="258"/>
      <c r="G24" s="248"/>
    </row>
    <row r="25" spans="1:7" ht="85.5" customHeight="1" thickBot="1">
      <c r="A25" s="782"/>
      <c r="B25" s="731"/>
      <c r="C25" s="107" t="s">
        <v>10</v>
      </c>
      <c r="D25" s="265"/>
      <c r="E25" s="315"/>
      <c r="F25" s="315"/>
      <c r="G25" s="316"/>
    </row>
    <row r="26" spans="1:7" ht="85.5" customHeight="1">
      <c r="A26" s="778" t="s">
        <v>3</v>
      </c>
      <c r="B26" s="734">
        <f>B21+1</f>
        <v>46352</v>
      </c>
      <c r="C26" s="105" t="s">
        <v>5</v>
      </c>
      <c r="D26" s="289"/>
      <c r="E26" s="329"/>
      <c r="F26" s="329"/>
      <c r="G26" s="334"/>
    </row>
    <row r="27" spans="1:7" ht="85.5" customHeight="1">
      <c r="A27" s="779"/>
      <c r="B27" s="731"/>
      <c r="C27" s="106" t="s">
        <v>6</v>
      </c>
      <c r="D27" s="335"/>
      <c r="E27" s="358"/>
      <c r="F27" s="358"/>
      <c r="G27" s="359"/>
    </row>
    <row r="28" spans="1:7" ht="85.5" customHeight="1">
      <c r="A28" s="779"/>
      <c r="B28" s="731"/>
      <c r="C28" s="106" t="s">
        <v>7</v>
      </c>
      <c r="D28" s="395"/>
      <c r="E28" s="442"/>
      <c r="F28" s="442"/>
      <c r="G28" s="397"/>
    </row>
    <row r="29" spans="1:7" ht="85.5" customHeight="1">
      <c r="A29" s="779"/>
      <c r="B29" s="731"/>
      <c r="C29" s="106" t="s">
        <v>8</v>
      </c>
      <c r="D29" s="395"/>
      <c r="E29" s="442"/>
      <c r="F29" s="442"/>
      <c r="G29" s="248"/>
    </row>
    <row r="30" spans="1:7" ht="85.5" customHeight="1" thickBot="1">
      <c r="A30" s="780"/>
      <c r="B30" s="731"/>
      <c r="C30" s="107" t="s">
        <v>10</v>
      </c>
      <c r="D30" s="265"/>
      <c r="E30" s="474"/>
      <c r="F30" s="474"/>
      <c r="G30" s="475"/>
    </row>
    <row r="31" spans="1:7" ht="85.5" customHeight="1">
      <c r="A31" s="774" t="s">
        <v>4</v>
      </c>
      <c r="B31" s="709">
        <f>B26+1</f>
        <v>46353</v>
      </c>
      <c r="C31" s="46" t="s">
        <v>5</v>
      </c>
      <c r="D31" s="254"/>
      <c r="E31" s="255"/>
      <c r="F31" s="255"/>
      <c r="G31" s="334"/>
    </row>
    <row r="32" spans="1:7" ht="85.5" customHeight="1">
      <c r="A32" s="775"/>
      <c r="B32" s="707"/>
      <c r="C32" s="47" t="s">
        <v>6</v>
      </c>
      <c r="D32" s="257"/>
      <c r="E32" s="358"/>
      <c r="F32" s="259"/>
      <c r="G32" s="397"/>
    </row>
    <row r="33" spans="1:7" ht="85.5" customHeight="1">
      <c r="A33" s="775"/>
      <c r="B33" s="707"/>
      <c r="C33" s="47" t="s">
        <v>7</v>
      </c>
      <c r="D33" s="257"/>
      <c r="E33" s="285"/>
      <c r="F33" s="258"/>
      <c r="G33" s="286"/>
    </row>
    <row r="34" spans="1:7" ht="85.5" customHeight="1">
      <c r="A34" s="775"/>
      <c r="B34" s="707"/>
      <c r="C34" s="47" t="s">
        <v>8</v>
      </c>
      <c r="D34" s="257"/>
      <c r="E34" s="285"/>
      <c r="F34" s="258"/>
      <c r="G34" s="248"/>
    </row>
    <row r="35" spans="1:7" ht="85.5" customHeight="1" thickBot="1">
      <c r="A35" s="776"/>
      <c r="B35" s="707"/>
      <c r="C35" s="48" t="s">
        <v>10</v>
      </c>
      <c r="D35" s="362"/>
      <c r="E35" s="363"/>
      <c r="F35" s="315"/>
      <c r="G35" s="445"/>
    </row>
    <row r="36" spans="1:7" ht="37.5" customHeight="1">
      <c r="A36" s="707" t="s">
        <v>18</v>
      </c>
      <c r="B36" s="709">
        <f>B31+1</f>
        <v>46354</v>
      </c>
      <c r="C36" s="43" t="s">
        <v>5</v>
      </c>
      <c r="D36" s="254"/>
      <c r="E36" s="255"/>
      <c r="F36" s="336"/>
      <c r="G36" s="256"/>
    </row>
    <row r="37" spans="1:7" ht="37.5" customHeight="1">
      <c r="A37" s="707"/>
      <c r="B37" s="707"/>
      <c r="C37" s="44" t="s">
        <v>6</v>
      </c>
      <c r="D37" s="257"/>
      <c r="E37" s="333"/>
      <c r="F37" s="258"/>
      <c r="G37" s="248"/>
    </row>
    <row r="38" spans="1:7" ht="37.5" customHeight="1">
      <c r="A38" s="707"/>
      <c r="B38" s="707"/>
      <c r="C38" s="44" t="s">
        <v>7</v>
      </c>
      <c r="D38" s="332"/>
      <c r="E38" s="333"/>
      <c r="F38" s="333"/>
      <c r="G38" s="248"/>
    </row>
    <row r="39" spans="1:7" ht="37.5" customHeight="1">
      <c r="A39" s="707"/>
      <c r="B39" s="707"/>
      <c r="C39" s="44" t="s">
        <v>8</v>
      </c>
      <c r="D39" s="257"/>
      <c r="E39" s="258"/>
      <c r="F39" s="333"/>
      <c r="G39" s="248"/>
    </row>
    <row r="40" spans="1:7" ht="37.5" customHeight="1" thickBot="1">
      <c r="A40" s="708"/>
      <c r="B40" s="708"/>
      <c r="C40" s="45" t="s">
        <v>10</v>
      </c>
      <c r="D40" s="265"/>
      <c r="E40" s="315"/>
      <c r="F40" s="315"/>
      <c r="G40" s="316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27.75">
      <c r="A42" s="1"/>
      <c r="B42" s="1"/>
      <c r="C42" s="262" t="str">
        <f>'01.09'!C42</f>
        <v>*Л. Речевое общение в профессиональной деятельности*</v>
      </c>
      <c r="D42" s="263">
        <f>'16.11'!D42+COUNTIF(D$11:D$40,$C42)</f>
        <v>5</v>
      </c>
      <c r="E42" s="263">
        <f>'16.11'!E42+COUNTIF(E$11:E$40,$C42)</f>
        <v>5</v>
      </c>
      <c r="F42" s="263">
        <f>'16.11'!F42+COUNTIF(F$11:F$40,$C42)</f>
        <v>5</v>
      </c>
      <c r="G42" s="263">
        <f>'16.11'!G42+COUNTIF(G$11:G$40,$C42)</f>
        <v>5</v>
      </c>
    </row>
    <row r="43" spans="1:7" ht="27.75">
      <c r="A43" s="1"/>
      <c r="B43" s="1"/>
      <c r="C43" s="262" t="str">
        <f>'01.09'!C43</f>
        <v>*Пр. Речевое общение в профессиональной деятельности*</v>
      </c>
      <c r="D43" s="263">
        <f>'16.11'!D43+COUNTIF(D$11:D$40,$C43)</f>
        <v>4</v>
      </c>
      <c r="E43" s="263">
        <f>'16.11'!E43+COUNTIF(E$11:E$40,$C43)</f>
        <v>4</v>
      </c>
      <c r="F43" s="263">
        <f>'16.11'!F43+COUNTIF(F$11:F$40,$C43)</f>
        <v>4</v>
      </c>
      <c r="G43" s="263">
        <f>'16.11'!G43+COUNTIF(G$11:G$40,$C43)</f>
        <v>4</v>
      </c>
    </row>
    <row r="44" spans="1:7" ht="27.75">
      <c r="A44" s="1"/>
      <c r="B44" s="1"/>
      <c r="C44" s="262" t="str">
        <f>'01.09'!C44</f>
        <v>*Л. Физическая культура и спорт*</v>
      </c>
      <c r="D44" s="263">
        <f>'16.11'!D44+COUNTIF(D$11:D$40,$C44)</f>
        <v>5</v>
      </c>
      <c r="E44" s="263">
        <f>'16.11'!E44+COUNTIF(E$11:E$40,$C44)</f>
        <v>5</v>
      </c>
      <c r="F44" s="263">
        <f>'16.11'!F44+COUNTIF(F$11:F$40,$C44)</f>
        <v>5</v>
      </c>
      <c r="G44" s="263">
        <f>'16.11'!G44+COUNTIF(G$11:G$40,$C44)</f>
        <v>5</v>
      </c>
    </row>
    <row r="45" spans="1:7" ht="27.75">
      <c r="A45" s="1"/>
      <c r="B45" s="1"/>
      <c r="C45" s="262" t="str">
        <f>'01.09'!C45</f>
        <v>*Пр. Физическая культура и спорт*</v>
      </c>
      <c r="D45" s="263">
        <f>'16.11'!D45+COUNTIF(D$11:D$40,$C45)</f>
        <v>5</v>
      </c>
      <c r="E45" s="263">
        <f>'16.11'!E45+COUNTIF(E$11:E$40,$C45)</f>
        <v>5</v>
      </c>
      <c r="F45" s="263">
        <f>'16.11'!F45+COUNTIF(F$11:F$40,$C45)</f>
        <v>5</v>
      </c>
      <c r="G45" s="263">
        <f>'16.11'!G45+COUNTIF(G$11:G$40,$C45)</f>
        <v>5</v>
      </c>
    </row>
    <row r="46" spans="1:7" ht="27.75">
      <c r="A46" s="1"/>
      <c r="B46" s="1"/>
      <c r="C46" s="262" t="str">
        <f>'01.09'!C46</f>
        <v>*Л. Анатомия*</v>
      </c>
      <c r="D46" s="263">
        <f>'16.11'!D46+COUNTIF(D$11:D$40,$C46)</f>
        <v>4</v>
      </c>
      <c r="E46" s="263">
        <f>'16.11'!E46+COUNTIF(E$11:E$40,$C46)</f>
        <v>4</v>
      </c>
      <c r="F46" s="263">
        <f>'16.11'!F46+COUNTIF(F$11:F$40,$C46)</f>
        <v>4</v>
      </c>
      <c r="G46" s="263">
        <f>'16.11'!G46+COUNTIF(G$11:G$40,$C46)</f>
        <v>4</v>
      </c>
    </row>
    <row r="47" spans="1:7" ht="27.75">
      <c r="A47" s="1"/>
      <c r="B47" s="1"/>
      <c r="C47" s="262" t="str">
        <f>'01.09'!C47</f>
        <v>*Пр. Анатомия*</v>
      </c>
      <c r="D47" s="263">
        <f>'16.11'!D47+COUNTIF(D$11:D$40,$C47)</f>
        <v>4</v>
      </c>
      <c r="E47" s="263">
        <f>'16.11'!E47+COUNTIF(E$11:E$40,$C47)</f>
        <v>4</v>
      </c>
      <c r="F47" s="263">
        <f>'16.11'!F47+COUNTIF(F$11:F$40,$C47)</f>
        <v>4</v>
      </c>
      <c r="G47" s="263">
        <f>'16.11'!G47+COUNTIF(G$11:G$40,$C47)</f>
        <v>4</v>
      </c>
    </row>
    <row r="48" spans="1:7" ht="27.75">
      <c r="A48" s="1"/>
      <c r="B48" s="1"/>
      <c r="C48" s="262" t="str">
        <f>'01.09'!C48</f>
        <v>*Л. Теория и методика*</v>
      </c>
      <c r="D48" s="263">
        <f>'16.11'!D48+COUNTIF(D$11:D$40,$C48)</f>
        <v>5</v>
      </c>
      <c r="E48" s="263">
        <f>'16.11'!E48+COUNTIF(E$11:E$40,$C48)</f>
        <v>5</v>
      </c>
      <c r="F48" s="263">
        <f>'16.11'!F48+COUNTIF(F$11:F$40,$C48)</f>
        <v>5</v>
      </c>
      <c r="G48" s="263">
        <f>'16.11'!G48+COUNTIF(G$11:G$40,$C48)</f>
        <v>5</v>
      </c>
    </row>
    <row r="49" spans="1:7" ht="27.75">
      <c r="A49" s="1"/>
      <c r="B49" s="1"/>
      <c r="C49" s="262" t="str">
        <f>'01.09'!C49</f>
        <v>*Пр. Теория и методика*</v>
      </c>
      <c r="D49" s="263">
        <f>'16.11'!D49+COUNTIF(D$11:D$40,$C49)</f>
        <v>24</v>
      </c>
      <c r="E49" s="263">
        <f>'16.11'!E49+COUNTIF(E$11:E$40,$C49)</f>
        <v>25</v>
      </c>
      <c r="F49" s="263">
        <f>'16.11'!F49+COUNTIF(F$11:F$40,$C49)</f>
        <v>25</v>
      </c>
      <c r="G49" s="263">
        <f>'16.11'!G49+COUNTIF(G$11:G$40,$C49)</f>
        <v>25</v>
      </c>
    </row>
    <row r="50" spans="1:7" ht="27.75">
      <c r="A50" s="1"/>
      <c r="B50" s="1"/>
      <c r="C50" s="262" t="str">
        <f>'01.09'!C50</f>
        <v>*Л. Информационные технологии*</v>
      </c>
      <c r="D50" s="263">
        <f>'16.11'!D50+COUNTIF(D$11:D$40,$C50)</f>
        <v>2</v>
      </c>
      <c r="E50" s="263">
        <f>'16.11'!E50+COUNTIF(E$11:E$40,$C50)</f>
        <v>2</v>
      </c>
      <c r="F50" s="263">
        <f>'16.11'!F50+COUNTIF(F$11:F$40,$C50)</f>
        <v>2</v>
      </c>
      <c r="G50" s="263">
        <f>'16.11'!G50+COUNTIF(G$11:G$40,$C50)</f>
        <v>2</v>
      </c>
    </row>
    <row r="51" spans="1:7" ht="27.75">
      <c r="A51" s="1"/>
      <c r="B51" s="1"/>
      <c r="C51" s="262" t="str">
        <f>'01.09'!C51</f>
        <v>*Пр. Информационные технологии*</v>
      </c>
      <c r="D51" s="263">
        <f>'16.11'!D51+COUNTIF(D$11:D$40,$C51)</f>
        <v>8</v>
      </c>
      <c r="E51" s="263">
        <f>'16.11'!E51+COUNTIF(E$11:E$40,$C51)</f>
        <v>8</v>
      </c>
      <c r="F51" s="263">
        <f>'16.11'!F51+COUNTIF(F$11:F$40,$C51)</f>
        <v>8</v>
      </c>
      <c r="G51" s="263">
        <f>'16.11'!G51+COUNTIF(G$11:G$40,$C51)</f>
        <v>8</v>
      </c>
    </row>
    <row r="52" spans="1:7" ht="27.75">
      <c r="A52" s="1"/>
      <c r="B52" s="1"/>
      <c r="C52" s="262" t="str">
        <f>'01.09'!C52</f>
        <v>*Л. Гимнастика*</v>
      </c>
      <c r="D52" s="263">
        <f>'16.11'!D52+COUNTIF(D$11:D$40,$C52)</f>
        <v>3</v>
      </c>
      <c r="E52" s="263">
        <f>'16.11'!E52+COUNTIF(E$11:E$40,$C52)</f>
        <v>3</v>
      </c>
      <c r="F52" s="263">
        <f>'16.11'!F52+COUNTIF(F$11:F$40,$C52)</f>
        <v>3</v>
      </c>
      <c r="G52" s="263">
        <f>'16.11'!G52+COUNTIF(G$11:G$40,$C52)</f>
        <v>3</v>
      </c>
    </row>
    <row r="53" spans="1:7" ht="27.75">
      <c r="A53" s="1"/>
      <c r="B53" s="1"/>
      <c r="C53" s="262" t="str">
        <f>'01.09'!C53</f>
        <v>*Пр. Гимнастика*</v>
      </c>
      <c r="D53" s="263">
        <f>'16.11'!D53+COUNTIF(D$11:D$40,$C53)</f>
        <v>13</v>
      </c>
      <c r="E53" s="263">
        <f>'16.11'!E53+COUNTIF(E$11:E$40,$C53)</f>
        <v>12</v>
      </c>
      <c r="F53" s="263">
        <f>'16.11'!F53+COUNTIF(F$11:F$40,$C53)</f>
        <v>12</v>
      </c>
      <c r="G53" s="263">
        <f>'16.11'!G53+COUNTIF(G$11:G$40,$C53)</f>
        <v>12</v>
      </c>
    </row>
    <row r="54" spans="1:7" ht="27.75">
      <c r="A54" s="1"/>
      <c r="B54" s="1"/>
      <c r="C54" s="262" t="str">
        <f>'01.09'!C54</f>
        <v>*Л. Элективные дисциплины по ФКиС: Подвижные игры*</v>
      </c>
      <c r="D54" s="263">
        <f>'16.11'!D54+COUNTIF(D$11:D$40,$C54)</f>
        <v>1</v>
      </c>
      <c r="E54" s="263">
        <f>'16.11'!E54+COUNTIF(E$11:E$40,$C54)</f>
        <v>1</v>
      </c>
      <c r="F54" s="263">
        <f>'16.11'!F54+COUNTIF(F$11:F$40,$C54)</f>
        <v>1</v>
      </c>
      <c r="G54" s="263">
        <f>'16.11'!G54+COUNTIF(G$11:G$40,$C54)</f>
        <v>1</v>
      </c>
    </row>
    <row r="55" spans="1:7" ht="27.75">
      <c r="A55" s="1"/>
      <c r="B55" s="1"/>
      <c r="C55" s="262" t="str">
        <f>'01.09'!C55</f>
        <v>*Пр. Элективные дисциплины по ФКиС: Подвижные игры*</v>
      </c>
      <c r="D55" s="263">
        <f>'16.11'!D55+COUNTIF(D$11:D$40,$C55)</f>
        <v>8</v>
      </c>
      <c r="E55" s="263">
        <f>'16.11'!E55+COUNTIF(E$11:E$40,$C55)</f>
        <v>8</v>
      </c>
      <c r="F55" s="263">
        <f>'16.11'!F55+COUNTIF(F$11:F$40,$C55)</f>
        <v>9</v>
      </c>
      <c r="G55" s="263">
        <f>'16.11'!G55+COUNTIF(G$11:G$40,$C55)</f>
        <v>9</v>
      </c>
    </row>
    <row r="56" spans="1:7" ht="27.75">
      <c r="A56" s="1"/>
      <c r="B56" s="1"/>
      <c r="C56" s="262" t="str">
        <f>'01.09'!C56</f>
        <v>*Л. Волейбол*</v>
      </c>
      <c r="D56" s="263">
        <f>'16.11'!D56+COUNTIF(D$11:D$40,$C56)</f>
        <v>1</v>
      </c>
      <c r="E56" s="263">
        <f>'16.11'!E56+COUNTIF(E$11:E$40,$C56)</f>
        <v>1</v>
      </c>
      <c r="F56" s="263">
        <f>'16.11'!F56+COUNTIF(F$11:F$40,$C56)</f>
        <v>1</v>
      </c>
      <c r="G56" s="263">
        <f>'16.11'!G56+COUNTIF(G$11:G$40,$C56)</f>
        <v>1</v>
      </c>
    </row>
    <row r="57" spans="1:7" ht="27.75">
      <c r="A57" s="1"/>
      <c r="B57" s="1"/>
      <c r="C57" s="262" t="str">
        <f>'01.09'!C57</f>
        <v>*Пр. Волейбол*</v>
      </c>
      <c r="D57" s="263">
        <f>'16.11'!D57+COUNTIF(D$11:D$40,$C57)</f>
        <v>16</v>
      </c>
      <c r="E57" s="263">
        <f>'16.11'!E57+COUNTIF(E$11:E$40,$C57)</f>
        <v>16</v>
      </c>
      <c r="F57" s="263">
        <f>'16.11'!F57+COUNTIF(F$11:F$40,$C57)</f>
        <v>16</v>
      </c>
      <c r="G57" s="263">
        <f>'16.11'!G57+COUNTIF(G$11:G$40,$C57)</f>
        <v>16</v>
      </c>
    </row>
    <row r="58" spans="1:7" ht="27.75">
      <c r="A58" s="1"/>
      <c r="B58" s="1"/>
      <c r="C58" s="262" t="str">
        <f>'01.09'!C58</f>
        <v>*Л. Лыжные гонки*</v>
      </c>
      <c r="D58" s="263">
        <f>'16.11'!D58+COUNTIF(D$11:D$40,$C58)</f>
        <v>0</v>
      </c>
      <c r="E58" s="263">
        <f>'16.11'!E58+COUNTIF(E$11:E$40,$C58)</f>
        <v>0</v>
      </c>
      <c r="F58" s="263">
        <f>'16.11'!F58+COUNTIF(F$11:F$40,$C58)</f>
        <v>0</v>
      </c>
      <c r="G58" s="263">
        <f>'16.11'!G58+COUNTIF(G$11:G$40,$C58)</f>
        <v>0</v>
      </c>
    </row>
    <row r="59" spans="1:7" ht="27.75">
      <c r="A59" s="1"/>
      <c r="B59" s="1"/>
      <c r="C59" s="262" t="str">
        <f>'01.09'!C59</f>
        <v>*Пр. Лыжные гонки*</v>
      </c>
      <c r="D59" s="263">
        <f>'16.11'!D59+COUNTIF(D$11:D$40,$C59)</f>
        <v>0</v>
      </c>
      <c r="E59" s="263">
        <f>'16.11'!E59+COUNTIF(E$11:E$40,$C59)</f>
        <v>0</v>
      </c>
      <c r="F59" s="263">
        <f>'16.11'!F59+COUNTIF(F$11:F$40,$C59)</f>
        <v>0</v>
      </c>
      <c r="G59" s="263">
        <f>'16.11'!G59+COUNTIF(G$11:G$40,$C59)</f>
        <v>0</v>
      </c>
    </row>
    <row r="60" spans="1:7" ht="27.75">
      <c r="A60" s="1"/>
      <c r="B60" s="1"/>
      <c r="C60" s="262" t="str">
        <f>'01.09'!C60</f>
        <v>*Л. Использование электронной*</v>
      </c>
      <c r="D60" s="263">
        <f>'16.11'!D60+COUNTIF(D$11:D$40,$C60)</f>
        <v>1</v>
      </c>
      <c r="E60" s="263">
        <f>'16.11'!E60+COUNTIF(E$11:E$40,$C60)</f>
        <v>0</v>
      </c>
      <c r="F60" s="263">
        <f>'16.11'!F60+COUNTIF(F$11:F$40,$C60)</f>
        <v>0</v>
      </c>
      <c r="G60" s="263">
        <f>'16.11'!G60+COUNTIF(G$11:G$40,$C60)</f>
        <v>0</v>
      </c>
    </row>
    <row r="61" spans="1:7" ht="27.75">
      <c r="A61" s="1"/>
      <c r="B61" s="1"/>
      <c r="C61" s="262" t="str">
        <f>'01.09'!C61</f>
        <v>*Пр. Использование электронной*</v>
      </c>
      <c r="D61" s="263">
        <f>'16.11'!D61+COUNTIF(D$11:D$40,$C61)</f>
        <v>2</v>
      </c>
      <c r="E61" s="263">
        <f>'16.11'!E61+COUNTIF(E$11:E$40,$C61)</f>
        <v>2</v>
      </c>
      <c r="F61" s="263">
        <f>'16.11'!F61+COUNTIF(F$11:F$40,$C61)</f>
        <v>2</v>
      </c>
      <c r="G61" s="263">
        <f>'16.11'!G61+COUNTIF(G$11:G$40,$C61)</f>
        <v>2</v>
      </c>
    </row>
    <row r="62" spans="1:7" ht="27.75">
      <c r="A62" s="1"/>
      <c r="B62" s="1"/>
      <c r="C62" s="262" t="str">
        <f>'01.09'!C62</f>
        <v>*Пр. Иностранный*</v>
      </c>
      <c r="D62" s="263">
        <f>'16.11'!D62+COUNTIF(D$11:D$40,$C62)</f>
        <v>8</v>
      </c>
      <c r="E62" s="263">
        <f>'16.11'!E62+COUNTIF(E$11:E$40,$C62)</f>
        <v>8</v>
      </c>
      <c r="F62" s="263">
        <f>'16.11'!F62+COUNTIF(F$11:F$40,$C62)</f>
        <v>8</v>
      </c>
      <c r="G62" s="263">
        <f>'16.11'!G62+COUNTIF(G$11:G$40,$C62)</f>
        <v>8</v>
      </c>
    </row>
    <row r="63" spans="1:7" ht="27.75">
      <c r="A63" s="1"/>
      <c r="B63" s="1"/>
      <c r="C63" s="262">
        <f>'01.09'!C63</f>
        <v>0</v>
      </c>
      <c r="D63" s="22">
        <f>'16.11'!D63+COUNTIF(D$11:D$40,$C63)</f>
        <v>0</v>
      </c>
      <c r="E63" s="22">
        <f>'16.11'!E63+COUNTIF(E$11:E$40,$C63)</f>
        <v>0</v>
      </c>
      <c r="F63" s="22">
        <f>'16.11'!F63+COUNTIF(F$11:F$40,$C63)</f>
        <v>0</v>
      </c>
      <c r="G63" s="22">
        <f>'16.11'!G63+COUNTIF(G$11:G$40,$C63)</f>
        <v>0</v>
      </c>
    </row>
    <row r="64" spans="1:7" ht="27.75">
      <c r="A64" s="1"/>
      <c r="B64" s="1"/>
      <c r="C64" s="262">
        <f>'01.09'!C64</f>
        <v>0</v>
      </c>
      <c r="D64" s="22">
        <f>'16.11'!D64+COUNTIF(D$11:D$40,$C64)</f>
        <v>0</v>
      </c>
      <c r="E64" s="22">
        <f>'16.11'!E64+COUNTIF(E$11:E$40,$C64)</f>
        <v>0</v>
      </c>
      <c r="F64" s="22">
        <f>'16.11'!F64+COUNTIF(F$11:F$40,$C64)</f>
        <v>0</v>
      </c>
      <c r="G64" s="22">
        <f>'16.11'!G64+COUNTIF(G$11:G$40,$C64)</f>
        <v>0</v>
      </c>
    </row>
    <row r="65" spans="1:7" ht="27.75">
      <c r="A65" s="1"/>
      <c r="B65" s="1"/>
      <c r="C65" s="262">
        <f>'01.09'!C65</f>
        <v>0</v>
      </c>
      <c r="D65" s="22">
        <f>'16.11'!D65+COUNTIF(D$11:D$40,$C65)</f>
        <v>0</v>
      </c>
      <c r="E65" s="22">
        <f>'16.11'!E65+COUNTIF(E$11:E$40,$C65)</f>
        <v>0</v>
      </c>
      <c r="F65" s="22">
        <f>'16.11'!F65+COUNTIF(F$11:F$40,$C65)</f>
        <v>0</v>
      </c>
      <c r="G65" s="22">
        <f>'16.11'!G65+COUNTIF(G$11:G$40,$C65)</f>
        <v>0</v>
      </c>
    </row>
    <row r="66" spans="1:7" ht="27.75">
      <c r="A66" s="1"/>
      <c r="B66" s="1"/>
      <c r="C66" s="262">
        <f>'01.09'!C66</f>
        <v>0</v>
      </c>
      <c r="D66" s="22">
        <f>'16.11'!D66+COUNTIF(D$11:D$40,$C66)</f>
        <v>0</v>
      </c>
      <c r="E66" s="22">
        <f>'16.11'!E66+COUNTIF(E$11:E$40,$C66)</f>
        <v>0</v>
      </c>
      <c r="F66" s="22">
        <f>'16.11'!F66+COUNTIF(F$11:F$40,$C66)</f>
        <v>0</v>
      </c>
      <c r="G66" s="22">
        <f>'16.11'!G66+COUNTIF(G$11:G$40,$C66)</f>
        <v>0</v>
      </c>
    </row>
    <row r="67" spans="1:7" ht="27.75">
      <c r="A67" s="1"/>
      <c r="B67" s="1"/>
      <c r="C67" s="262">
        <f>'01.09'!C67</f>
        <v>0</v>
      </c>
      <c r="D67" s="22">
        <f>'16.11'!D67+COUNTIF(D$11:D$40,$C67)</f>
        <v>0</v>
      </c>
      <c r="E67" s="22">
        <f>'16.11'!E67+COUNTIF(E$11:E$40,$C67)</f>
        <v>0</v>
      </c>
      <c r="F67" s="22">
        <f>'16.11'!F67+COUNTIF(F$11:F$40,$C67)</f>
        <v>0</v>
      </c>
      <c r="G67" s="22">
        <f>'16.11'!G67+COUNTIF(G$11:G$40,$C67)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G76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15"/>
  <cols>
    <col min="1" max="2" width="4.42578125" customWidth="1"/>
    <col min="3" max="3" width="22.85546875" customWidth="1"/>
    <col min="4" max="7" width="74.28515625" customWidth="1"/>
    <col min="8" max="8" width="37.7109375" customWidth="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 thickBot="1">
      <c r="A7" s="87"/>
      <c r="B7" s="728" t="s">
        <v>296</v>
      </c>
      <c r="C7" s="728"/>
      <c r="D7" s="728"/>
      <c r="E7" s="728"/>
      <c r="F7" s="728"/>
      <c r="G7" s="728"/>
    </row>
    <row r="8" spans="1:7" ht="9" hidden="1" customHeight="1" thickBot="1">
      <c r="A8" s="92"/>
      <c r="B8" s="92"/>
      <c r="C8" s="92"/>
      <c r="D8" s="92"/>
      <c r="E8" s="92"/>
      <c r="F8" s="92"/>
      <c r="G8" s="92"/>
    </row>
    <row r="9" spans="1:7" ht="26.25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0.25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2.5" customHeight="1">
      <c r="A11" s="778" t="s">
        <v>0</v>
      </c>
      <c r="B11" s="737">
        <v>46356</v>
      </c>
      <c r="C11" s="97" t="s">
        <v>5</v>
      </c>
      <c r="D11" s="519"/>
      <c r="E11" s="360"/>
      <c r="F11" s="360"/>
      <c r="G11" s="520"/>
    </row>
    <row r="12" spans="1:7" ht="82.5" customHeight="1">
      <c r="A12" s="781"/>
      <c r="B12" s="731"/>
      <c r="C12" s="98" t="s">
        <v>6</v>
      </c>
      <c r="D12" s="395"/>
      <c r="E12" s="396"/>
      <c r="F12" s="442"/>
      <c r="G12" s="397"/>
    </row>
    <row r="13" spans="1:7" ht="82.5" customHeight="1">
      <c r="A13" s="781"/>
      <c r="B13" s="731"/>
      <c r="C13" s="98" t="s">
        <v>7</v>
      </c>
      <c r="D13" s="395"/>
      <c r="E13" s="442"/>
      <c r="F13" s="396"/>
      <c r="G13" s="397"/>
    </row>
    <row r="14" spans="1:7" ht="82.5" customHeight="1">
      <c r="A14" s="781"/>
      <c r="B14" s="731"/>
      <c r="C14" s="98" t="s">
        <v>8</v>
      </c>
      <c r="D14" s="395"/>
      <c r="E14" s="442"/>
      <c r="F14" s="442"/>
      <c r="G14" s="397"/>
    </row>
    <row r="15" spans="1:7" ht="82.5" customHeight="1" thickBot="1">
      <c r="A15" s="781"/>
      <c r="B15" s="731"/>
      <c r="C15" s="99" t="s">
        <v>10</v>
      </c>
      <c r="D15" s="428"/>
      <c r="E15" s="557"/>
      <c r="F15" s="557"/>
      <c r="G15" s="429"/>
    </row>
    <row r="16" spans="1:7" ht="82.5" customHeight="1">
      <c r="A16" s="778" t="s">
        <v>1</v>
      </c>
      <c r="B16" s="734">
        <f>B11+1</f>
        <v>46357</v>
      </c>
      <c r="C16" s="97" t="s">
        <v>5</v>
      </c>
      <c r="D16" s="479"/>
      <c r="E16" s="404"/>
      <c r="F16" s="404"/>
      <c r="G16" s="559"/>
    </row>
    <row r="17" spans="1:7" ht="82.5" customHeight="1">
      <c r="A17" s="781"/>
      <c r="B17" s="731"/>
      <c r="C17" s="98" t="s">
        <v>6</v>
      </c>
      <c r="D17" s="395"/>
      <c r="E17" s="442"/>
      <c r="F17" s="442"/>
      <c r="G17" s="397"/>
    </row>
    <row r="18" spans="1:7" ht="82.5" customHeight="1">
      <c r="A18" s="781"/>
      <c r="B18" s="731"/>
      <c r="C18" s="98" t="s">
        <v>7</v>
      </c>
      <c r="D18" s="395"/>
      <c r="E18" s="442"/>
      <c r="F18" s="396"/>
      <c r="G18" s="521"/>
    </row>
    <row r="19" spans="1:7" ht="82.5" customHeight="1">
      <c r="A19" s="781"/>
      <c r="B19" s="731"/>
      <c r="C19" s="98" t="s">
        <v>8</v>
      </c>
      <c r="D19" s="522"/>
      <c r="E19" s="396"/>
      <c r="F19" s="444"/>
      <c r="G19" s="443"/>
    </row>
    <row r="20" spans="1:7" ht="82.5" customHeight="1" thickBot="1">
      <c r="A20" s="782"/>
      <c r="B20" s="731"/>
      <c r="C20" s="99" t="s">
        <v>10</v>
      </c>
      <c r="D20" s="399"/>
      <c r="E20" s="400"/>
      <c r="F20" s="400"/>
      <c r="G20" s="401"/>
    </row>
    <row r="21" spans="1:7" ht="82.5" customHeight="1">
      <c r="A21" s="778" t="s">
        <v>2</v>
      </c>
      <c r="B21" s="734">
        <f>B16+1</f>
        <v>46358</v>
      </c>
      <c r="C21" s="97" t="s">
        <v>5</v>
      </c>
      <c r="D21" s="254"/>
      <c r="E21" s="255"/>
      <c r="F21" s="255"/>
      <c r="G21" s="256"/>
    </row>
    <row r="22" spans="1:7" ht="82.5" customHeight="1">
      <c r="A22" s="781"/>
      <c r="B22" s="731"/>
      <c r="C22" s="98" t="s">
        <v>6</v>
      </c>
      <c r="D22" s="257"/>
      <c r="E22" s="258"/>
      <c r="F22" s="442"/>
      <c r="G22" s="248"/>
    </row>
    <row r="23" spans="1:7" ht="82.5" customHeight="1">
      <c r="A23" s="781"/>
      <c r="B23" s="731"/>
      <c r="C23" s="98" t="s">
        <v>7</v>
      </c>
      <c r="D23" s="395"/>
      <c r="E23" s="259"/>
      <c r="F23" s="258"/>
      <c r="G23" s="248"/>
    </row>
    <row r="24" spans="1:7" ht="82.5" customHeight="1">
      <c r="A24" s="781"/>
      <c r="B24" s="731"/>
      <c r="C24" s="98" t="s">
        <v>8</v>
      </c>
      <c r="D24" s="257"/>
      <c r="E24" s="258"/>
      <c r="F24" s="258"/>
      <c r="G24" s="248"/>
    </row>
    <row r="25" spans="1:7" ht="82.5" customHeight="1" thickBot="1">
      <c r="A25" s="782"/>
      <c r="B25" s="731"/>
      <c r="C25" s="99" t="s">
        <v>10</v>
      </c>
      <c r="D25" s="265"/>
      <c r="E25" s="315"/>
      <c r="F25" s="315"/>
      <c r="G25" s="316"/>
    </row>
    <row r="26" spans="1:7" ht="82.5" customHeight="1">
      <c r="A26" s="778" t="s">
        <v>3</v>
      </c>
      <c r="B26" s="734">
        <f>B21+1</f>
        <v>46359</v>
      </c>
      <c r="C26" s="97" t="s">
        <v>5</v>
      </c>
      <c r="D26" s="289"/>
      <c r="E26" s="329"/>
      <c r="F26" s="329"/>
      <c r="G26" s="334"/>
    </row>
    <row r="27" spans="1:7" ht="82.5" customHeight="1">
      <c r="A27" s="779"/>
      <c r="B27" s="731"/>
      <c r="C27" s="98" t="s">
        <v>6</v>
      </c>
      <c r="D27" s="335"/>
      <c r="E27" s="358"/>
      <c r="F27" s="358"/>
      <c r="G27" s="359"/>
    </row>
    <row r="28" spans="1:7" ht="82.5" customHeight="1">
      <c r="A28" s="779"/>
      <c r="B28" s="731"/>
      <c r="C28" s="98" t="s">
        <v>7</v>
      </c>
      <c r="D28" s="395"/>
      <c r="E28" s="442"/>
      <c r="F28" s="442"/>
      <c r="G28" s="397"/>
    </row>
    <row r="29" spans="1:7" ht="82.5" customHeight="1">
      <c r="A29" s="779"/>
      <c r="B29" s="731"/>
      <c r="C29" s="98" t="s">
        <v>8</v>
      </c>
      <c r="D29" s="395"/>
      <c r="E29" s="442"/>
      <c r="F29" s="442"/>
      <c r="G29" s="248"/>
    </row>
    <row r="30" spans="1:7" ht="82.5" customHeight="1" thickBot="1">
      <c r="A30" s="780"/>
      <c r="B30" s="731"/>
      <c r="C30" s="99" t="s">
        <v>10</v>
      </c>
      <c r="D30" s="265"/>
      <c r="E30" s="474"/>
      <c r="F30" s="474"/>
      <c r="G30" s="475"/>
    </row>
    <row r="31" spans="1:7" ht="82.5" customHeight="1">
      <c r="A31" s="778" t="s">
        <v>4</v>
      </c>
      <c r="B31" s="734">
        <f>B26+1</f>
        <v>46360</v>
      </c>
      <c r="C31" s="105" t="s">
        <v>5</v>
      </c>
      <c r="D31" s="254"/>
      <c r="E31" s="255"/>
      <c r="F31" s="255"/>
      <c r="G31" s="334"/>
    </row>
    <row r="32" spans="1:7" ht="82.5" customHeight="1">
      <c r="A32" s="781"/>
      <c r="B32" s="731"/>
      <c r="C32" s="106" t="s">
        <v>6</v>
      </c>
      <c r="D32" s="257"/>
      <c r="E32" s="358"/>
      <c r="F32" s="259"/>
      <c r="G32" s="397"/>
    </row>
    <row r="33" spans="1:7" ht="82.5" customHeight="1">
      <c r="A33" s="781"/>
      <c r="B33" s="731"/>
      <c r="C33" s="106" t="s">
        <v>7</v>
      </c>
      <c r="D33" s="257"/>
      <c r="E33" s="285"/>
      <c r="F33" s="258"/>
      <c r="G33" s="286"/>
    </row>
    <row r="34" spans="1:7" ht="82.5" customHeight="1">
      <c r="A34" s="781"/>
      <c r="B34" s="731"/>
      <c r="C34" s="106" t="s">
        <v>8</v>
      </c>
      <c r="D34" s="257"/>
      <c r="E34" s="285"/>
      <c r="F34" s="258"/>
      <c r="G34" s="248"/>
    </row>
    <row r="35" spans="1:7" ht="82.5" customHeight="1" thickBot="1">
      <c r="A35" s="782"/>
      <c r="B35" s="731"/>
      <c r="C35" s="107" t="s">
        <v>10</v>
      </c>
      <c r="D35" s="362"/>
      <c r="E35" s="363"/>
      <c r="F35" s="315"/>
      <c r="G35" s="445"/>
    </row>
    <row r="36" spans="1:7" ht="44.25" customHeight="1">
      <c r="A36" s="707" t="s">
        <v>18</v>
      </c>
      <c r="B36" s="709">
        <f>B31+1</f>
        <v>46361</v>
      </c>
      <c r="C36" s="46" t="s">
        <v>5</v>
      </c>
      <c r="D36" s="108"/>
      <c r="E36" s="109"/>
      <c r="F36" s="109"/>
      <c r="G36" s="241"/>
    </row>
    <row r="37" spans="1:7" ht="44.25" customHeight="1">
      <c r="A37" s="707"/>
      <c r="B37" s="707"/>
      <c r="C37" s="47" t="s">
        <v>6</v>
      </c>
      <c r="D37" s="209"/>
      <c r="E37" s="210"/>
      <c r="F37" s="210"/>
      <c r="G37" s="233"/>
    </row>
    <row r="38" spans="1:7" ht="44.25" customHeight="1">
      <c r="A38" s="707"/>
      <c r="B38" s="707"/>
      <c r="C38" s="47" t="s">
        <v>7</v>
      </c>
      <c r="D38" s="209"/>
      <c r="E38" s="285"/>
      <c r="F38" s="210"/>
      <c r="G38" s="233"/>
    </row>
    <row r="39" spans="1:7" ht="44.25" customHeight="1">
      <c r="A39" s="707"/>
      <c r="B39" s="707"/>
      <c r="C39" s="47" t="s">
        <v>8</v>
      </c>
      <c r="D39" s="209"/>
      <c r="E39" s="210"/>
      <c r="F39" s="210"/>
      <c r="G39" s="233"/>
    </row>
    <row r="40" spans="1:7" ht="44.25" customHeight="1" thickBot="1">
      <c r="A40" s="708"/>
      <c r="B40" s="708"/>
      <c r="C40" s="48" t="s">
        <v>10</v>
      </c>
      <c r="D40" s="242"/>
      <c r="E40" s="243"/>
      <c r="F40" s="243"/>
      <c r="G40" s="247"/>
    </row>
    <row r="41" spans="1:7" ht="30.75">
      <c r="A41" s="1"/>
      <c r="B41" s="1"/>
      <c r="C41" s="20"/>
      <c r="D41" s="213" t="s">
        <v>120</v>
      </c>
      <c r="E41" s="20"/>
      <c r="F41" s="20"/>
      <c r="G41" s="20"/>
    </row>
    <row r="42" spans="1:7" ht="18.75">
      <c r="A42" s="1"/>
      <c r="B42" s="1"/>
      <c r="C42" s="21" t="str">
        <f>'01.09'!C42</f>
        <v>*Л. Речевое общение в профессиональной деятельности*</v>
      </c>
      <c r="D42" s="22">
        <f>'23.11'!D42+COUNTIF(D$11:D$40,$C42)</f>
        <v>5</v>
      </c>
      <c r="E42" s="22">
        <f>'23.11'!E42+COUNTIF(E$11:E$40,$C42)</f>
        <v>5</v>
      </c>
      <c r="F42" s="22">
        <f>'23.11'!F42+COUNTIF(F$11:F$40,$C42)</f>
        <v>5</v>
      </c>
      <c r="G42" s="22">
        <f>'23.11'!G42+COUNTIF(G$11:G$40,$C42)</f>
        <v>5</v>
      </c>
    </row>
    <row r="43" spans="1:7" ht="18.75">
      <c r="A43" s="1"/>
      <c r="B43" s="1"/>
      <c r="C43" s="21" t="str">
        <f>'01.09'!C43</f>
        <v>*Пр. Речевое общение в профессиональной деятельности*</v>
      </c>
      <c r="D43" s="22">
        <f>'23.11'!D43+COUNTIF(D$11:D$40,$C43)</f>
        <v>4</v>
      </c>
      <c r="E43" s="22">
        <f>'23.11'!E43+COUNTIF(E$11:E$40,$C43)</f>
        <v>4</v>
      </c>
      <c r="F43" s="22">
        <f>'23.11'!F43+COUNTIF(F$11:F$40,$C43)</f>
        <v>4</v>
      </c>
      <c r="G43" s="22">
        <f>'23.11'!G43+COUNTIF(G$11:G$40,$C43)</f>
        <v>4</v>
      </c>
    </row>
    <row r="44" spans="1:7" ht="18.75">
      <c r="A44" s="1"/>
      <c r="B44" s="1"/>
      <c r="C44" s="21" t="str">
        <f>'01.09'!C44</f>
        <v>*Л. Физическая культура и спорт*</v>
      </c>
      <c r="D44" s="22">
        <f>'23.11'!D44+COUNTIF(D$11:D$40,$C44)</f>
        <v>5</v>
      </c>
      <c r="E44" s="22">
        <f>'23.11'!E44+COUNTIF(E$11:E$40,$C44)</f>
        <v>5</v>
      </c>
      <c r="F44" s="22">
        <f>'23.11'!F44+COUNTIF(F$11:F$40,$C44)</f>
        <v>5</v>
      </c>
      <c r="G44" s="22">
        <f>'23.11'!G44+COUNTIF(G$11:G$40,$C44)</f>
        <v>5</v>
      </c>
    </row>
    <row r="45" spans="1:7" ht="18.75">
      <c r="A45" s="1"/>
      <c r="B45" s="1"/>
      <c r="C45" s="21" t="str">
        <f>'01.09'!C45</f>
        <v>*Пр. Физическая культура и спорт*</v>
      </c>
      <c r="D45" s="22">
        <f>'23.11'!D45+COUNTIF(D$11:D$40,$C45)</f>
        <v>5</v>
      </c>
      <c r="E45" s="22">
        <f>'23.11'!E45+COUNTIF(E$11:E$40,$C45)</f>
        <v>5</v>
      </c>
      <c r="F45" s="22">
        <f>'23.11'!F45+COUNTIF(F$11:F$40,$C45)</f>
        <v>5</v>
      </c>
      <c r="G45" s="22">
        <f>'23.11'!G45+COUNTIF(G$11:G$40,$C45)</f>
        <v>5</v>
      </c>
    </row>
    <row r="46" spans="1:7" ht="18.75">
      <c r="A46" s="1"/>
      <c r="B46" s="1"/>
      <c r="C46" s="21" t="str">
        <f>'01.09'!C46</f>
        <v>*Л. Анатомия*</v>
      </c>
      <c r="D46" s="22">
        <f>'23.11'!D46+COUNTIF(D$11:D$40,$C46)</f>
        <v>4</v>
      </c>
      <c r="E46" s="22">
        <f>'23.11'!E46+COUNTIF(E$11:E$40,$C46)</f>
        <v>4</v>
      </c>
      <c r="F46" s="22">
        <f>'23.11'!F46+COUNTIF(F$11:F$40,$C46)</f>
        <v>4</v>
      </c>
      <c r="G46" s="22">
        <f>'23.11'!G46+COUNTIF(G$11:G$40,$C46)</f>
        <v>4</v>
      </c>
    </row>
    <row r="47" spans="1:7" ht="18.75">
      <c r="A47" s="1"/>
      <c r="B47" s="1"/>
      <c r="C47" s="21" t="str">
        <f>'01.09'!C47</f>
        <v>*Пр. Анатомия*</v>
      </c>
      <c r="D47" s="22">
        <f>'23.11'!D47+COUNTIF(D$11:D$40,$C47)</f>
        <v>4</v>
      </c>
      <c r="E47" s="22">
        <f>'23.11'!E47+COUNTIF(E$11:E$40,$C47)</f>
        <v>4</v>
      </c>
      <c r="F47" s="22">
        <f>'23.11'!F47+COUNTIF(F$11:F$40,$C47)</f>
        <v>4</v>
      </c>
      <c r="G47" s="22">
        <f>'23.11'!G47+COUNTIF(G$11:G$40,$C47)</f>
        <v>4</v>
      </c>
    </row>
    <row r="48" spans="1:7" ht="18.75">
      <c r="A48" s="1"/>
      <c r="B48" s="1"/>
      <c r="C48" s="21" t="str">
        <f>'01.09'!C48</f>
        <v>*Л. Теория и методика*</v>
      </c>
      <c r="D48" s="22">
        <f>'23.11'!D48+COUNTIF(D$11:D$40,$C48)</f>
        <v>5</v>
      </c>
      <c r="E48" s="22">
        <f>'23.11'!E48+COUNTIF(E$11:E$40,$C48)</f>
        <v>5</v>
      </c>
      <c r="F48" s="22">
        <f>'23.11'!F48+COUNTIF(F$11:F$40,$C48)</f>
        <v>5</v>
      </c>
      <c r="G48" s="22">
        <f>'23.11'!G48+COUNTIF(G$11:G$40,$C48)</f>
        <v>5</v>
      </c>
    </row>
    <row r="49" spans="1:7" ht="18.75">
      <c r="A49" s="1"/>
      <c r="B49" s="1"/>
      <c r="C49" s="21" t="str">
        <f>'01.09'!C49</f>
        <v>*Пр. Теория и методика*</v>
      </c>
      <c r="D49" s="22">
        <f>'23.11'!D49+COUNTIF(D$11:D$40,$C49)</f>
        <v>24</v>
      </c>
      <c r="E49" s="22">
        <f>'23.11'!E49+COUNTIF(E$11:E$40,$C49)</f>
        <v>25</v>
      </c>
      <c r="F49" s="22">
        <f>'23.11'!F49+COUNTIF(F$11:F$40,$C49)</f>
        <v>25</v>
      </c>
      <c r="G49" s="22">
        <f>'23.11'!G49+COUNTIF(G$11:G$40,$C49)</f>
        <v>25</v>
      </c>
    </row>
    <row r="50" spans="1:7" ht="18.75">
      <c r="A50" s="1"/>
      <c r="B50" s="1"/>
      <c r="C50" s="21" t="str">
        <f>'01.09'!C50</f>
        <v>*Л. Информационные технологии*</v>
      </c>
      <c r="D50" s="22">
        <f>'23.11'!D50+COUNTIF(D$11:D$40,$C50)</f>
        <v>2</v>
      </c>
      <c r="E50" s="22">
        <f>'23.11'!E50+COUNTIF(E$11:E$40,$C50)</f>
        <v>2</v>
      </c>
      <c r="F50" s="22">
        <f>'23.11'!F50+COUNTIF(F$11:F$40,$C50)</f>
        <v>2</v>
      </c>
      <c r="G50" s="22">
        <f>'23.11'!G50+COUNTIF(G$11:G$40,$C50)</f>
        <v>2</v>
      </c>
    </row>
    <row r="51" spans="1:7" ht="18.75">
      <c r="A51" s="1"/>
      <c r="B51" s="1"/>
      <c r="C51" s="21" t="str">
        <f>'01.09'!C51</f>
        <v>*Пр. Информационные технологии*</v>
      </c>
      <c r="D51" s="22">
        <f>'23.11'!D51+COUNTIF(D$11:D$40,$C51)</f>
        <v>8</v>
      </c>
      <c r="E51" s="22">
        <f>'23.11'!E51+COUNTIF(E$11:E$40,$C51)</f>
        <v>8</v>
      </c>
      <c r="F51" s="22">
        <f>'23.11'!F51+COUNTIF(F$11:F$40,$C51)</f>
        <v>8</v>
      </c>
      <c r="G51" s="22">
        <f>'23.11'!G51+COUNTIF(G$11:G$40,$C51)</f>
        <v>8</v>
      </c>
    </row>
    <row r="52" spans="1:7" ht="18.75">
      <c r="A52" s="1"/>
      <c r="B52" s="1"/>
      <c r="C52" s="21" t="str">
        <f>'01.09'!C52</f>
        <v>*Л. Гимнастика*</v>
      </c>
      <c r="D52" s="22">
        <f>'23.11'!D52+COUNTIF(D$11:D$40,$C52)</f>
        <v>3</v>
      </c>
      <c r="E52" s="22">
        <f>'23.11'!E52+COUNTIF(E$11:E$40,$C52)</f>
        <v>3</v>
      </c>
      <c r="F52" s="22">
        <f>'23.11'!F52+COUNTIF(F$11:F$40,$C52)</f>
        <v>3</v>
      </c>
      <c r="G52" s="22">
        <f>'23.11'!G52+COUNTIF(G$11:G$40,$C52)</f>
        <v>3</v>
      </c>
    </row>
    <row r="53" spans="1:7" ht="18.75">
      <c r="A53" s="1"/>
      <c r="B53" s="1"/>
      <c r="C53" s="21" t="str">
        <f>'01.09'!C53</f>
        <v>*Пр. Гимнастика*</v>
      </c>
      <c r="D53" s="22">
        <f>'23.11'!D53+COUNTIF(D$11:D$40,$C53)</f>
        <v>13</v>
      </c>
      <c r="E53" s="22">
        <f>'23.11'!E53+COUNTIF(E$11:E$40,$C53)</f>
        <v>12</v>
      </c>
      <c r="F53" s="22">
        <f>'23.11'!F53+COUNTIF(F$11:F$40,$C53)</f>
        <v>12</v>
      </c>
      <c r="G53" s="22">
        <f>'23.11'!G53+COUNTIF(G$11:G$40,$C53)</f>
        <v>12</v>
      </c>
    </row>
    <row r="54" spans="1:7" ht="18.75">
      <c r="A54" s="1"/>
      <c r="B54" s="1"/>
      <c r="C54" s="21" t="str">
        <f>'01.09'!C54</f>
        <v>*Л. Элективные дисциплины по ФКиС: Подвижные игры*</v>
      </c>
      <c r="D54" s="22">
        <f>'23.11'!D54+COUNTIF(D$11:D$40,$C54)</f>
        <v>1</v>
      </c>
      <c r="E54" s="22">
        <f>'23.11'!E54+COUNTIF(E$11:E$40,$C54)</f>
        <v>1</v>
      </c>
      <c r="F54" s="22">
        <f>'23.11'!F54+COUNTIF(F$11:F$40,$C54)</f>
        <v>1</v>
      </c>
      <c r="G54" s="22">
        <f>'23.11'!G54+COUNTIF(G$11:G$40,$C54)</f>
        <v>1</v>
      </c>
    </row>
    <row r="55" spans="1:7" ht="18.75">
      <c r="A55" s="1"/>
      <c r="B55" s="1"/>
      <c r="C55" s="21" t="str">
        <f>'01.09'!C55</f>
        <v>*Пр. Элективные дисциплины по ФКиС: Подвижные игры*</v>
      </c>
      <c r="D55" s="22">
        <f>'23.11'!D55+COUNTIF(D$11:D$40,$C55)</f>
        <v>8</v>
      </c>
      <c r="E55" s="22">
        <f>'23.11'!E55+COUNTIF(E$11:E$40,$C55)</f>
        <v>8</v>
      </c>
      <c r="F55" s="22">
        <f>'23.11'!F55+COUNTIF(F$11:F$40,$C55)</f>
        <v>9</v>
      </c>
      <c r="G55" s="22">
        <f>'23.11'!G55+COUNTIF(G$11:G$40,$C55)</f>
        <v>9</v>
      </c>
    </row>
    <row r="56" spans="1:7" ht="18.75">
      <c r="A56" s="1"/>
      <c r="B56" s="1"/>
      <c r="C56" s="21" t="str">
        <f>'01.09'!C56</f>
        <v>*Л. Волейбол*</v>
      </c>
      <c r="D56" s="22">
        <f>'23.11'!D56+COUNTIF(D$11:D$40,$C56)</f>
        <v>1</v>
      </c>
      <c r="E56" s="22">
        <f>'23.11'!E56+COUNTIF(E$11:E$40,$C56)</f>
        <v>1</v>
      </c>
      <c r="F56" s="22">
        <f>'23.11'!F56+COUNTIF(F$11:F$40,$C56)</f>
        <v>1</v>
      </c>
      <c r="G56" s="22">
        <f>'23.11'!G56+COUNTIF(G$11:G$40,$C56)</f>
        <v>1</v>
      </c>
    </row>
    <row r="57" spans="1:7" ht="18.75">
      <c r="A57" s="1"/>
      <c r="B57" s="1"/>
      <c r="C57" s="21" t="str">
        <f>'01.09'!C57</f>
        <v>*Пр. Волейбол*</v>
      </c>
      <c r="D57" s="22">
        <f>'23.11'!D57+COUNTIF(D$11:D$40,$C57)</f>
        <v>16</v>
      </c>
      <c r="E57" s="22">
        <f>'23.11'!E57+COUNTIF(E$11:E$40,$C57)</f>
        <v>16</v>
      </c>
      <c r="F57" s="22">
        <f>'23.11'!F57+COUNTIF(F$11:F$40,$C57)</f>
        <v>16</v>
      </c>
      <c r="G57" s="22">
        <f>'23.11'!G57+COUNTIF(G$11:G$40,$C57)</f>
        <v>16</v>
      </c>
    </row>
    <row r="58" spans="1:7" ht="18.75">
      <c r="A58" s="1"/>
      <c r="B58" s="1"/>
      <c r="C58" s="21" t="str">
        <f>'01.09'!C58</f>
        <v>*Л. Лыжные гонки*</v>
      </c>
      <c r="D58" s="22">
        <f>'23.11'!D58+COUNTIF(D$11:D$40,$C58)</f>
        <v>0</v>
      </c>
      <c r="E58" s="22">
        <f>'23.11'!E58+COUNTIF(E$11:E$40,$C58)</f>
        <v>0</v>
      </c>
      <c r="F58" s="22">
        <f>'23.11'!F58+COUNTIF(F$11:F$40,$C58)</f>
        <v>0</v>
      </c>
      <c r="G58" s="22">
        <f>'23.11'!G58+COUNTIF(G$11:G$40,$C58)</f>
        <v>0</v>
      </c>
    </row>
    <row r="59" spans="1:7" ht="18.75">
      <c r="A59" s="1"/>
      <c r="B59" s="1"/>
      <c r="C59" s="21" t="str">
        <f>'01.09'!C59</f>
        <v>*Пр. Лыжные гонки*</v>
      </c>
      <c r="D59" s="22">
        <f>'23.11'!D59+COUNTIF(D$11:D$40,$C59)</f>
        <v>0</v>
      </c>
      <c r="E59" s="22">
        <f>'23.11'!E59+COUNTIF(E$11:E$40,$C59)</f>
        <v>0</v>
      </c>
      <c r="F59" s="22">
        <f>'23.11'!F59+COUNTIF(F$11:F$40,$C59)</f>
        <v>0</v>
      </c>
      <c r="G59" s="22">
        <f>'23.11'!G59+COUNTIF(G$11:G$40,$C59)</f>
        <v>0</v>
      </c>
    </row>
    <row r="60" spans="1:7" ht="18.75">
      <c r="A60" s="1"/>
      <c r="B60" s="1"/>
      <c r="C60" s="21" t="str">
        <f>'01.09'!C60</f>
        <v>*Л. Использование электронной*</v>
      </c>
      <c r="D60" s="22">
        <f>'23.11'!D60+COUNTIF(D$11:D$40,$C60)</f>
        <v>1</v>
      </c>
      <c r="E60" s="22">
        <f>'23.11'!E60+COUNTIF(E$11:E$40,$C60)</f>
        <v>0</v>
      </c>
      <c r="F60" s="22">
        <f>'23.11'!F60+COUNTIF(F$11:F$40,$C60)</f>
        <v>0</v>
      </c>
      <c r="G60" s="22">
        <f>'23.11'!G60+COUNTIF(G$11:G$40,$C60)</f>
        <v>0</v>
      </c>
    </row>
    <row r="61" spans="1:7" ht="18.75">
      <c r="A61" s="1"/>
      <c r="B61" s="1"/>
      <c r="C61" s="21" t="str">
        <f>'01.09'!C61</f>
        <v>*Пр. Использование электронной*</v>
      </c>
      <c r="D61" s="22">
        <f>'23.11'!D61+COUNTIF(D$11:D$40,$C61)</f>
        <v>2</v>
      </c>
      <c r="E61" s="22">
        <f>'23.11'!E61+COUNTIF(E$11:E$40,$C61)</f>
        <v>2</v>
      </c>
      <c r="F61" s="22">
        <f>'23.11'!F61+COUNTIF(F$11:F$40,$C61)</f>
        <v>2</v>
      </c>
      <c r="G61" s="22">
        <f>'23.11'!G61+COUNTIF(G$11:G$40,$C61)</f>
        <v>2</v>
      </c>
    </row>
    <row r="62" spans="1:7" ht="18.75">
      <c r="A62" s="1"/>
      <c r="B62" s="1"/>
      <c r="C62" s="21" t="str">
        <f>'01.09'!C62</f>
        <v>*Пр. Иностранный*</v>
      </c>
      <c r="D62" s="22">
        <f>'23.11'!D62+COUNTIF(D$11:D$40,$C62)</f>
        <v>8</v>
      </c>
      <c r="E62" s="22">
        <f>'23.11'!E62+COUNTIF(E$11:E$40,$C62)</f>
        <v>8</v>
      </c>
      <c r="F62" s="22">
        <f>'23.11'!F62+COUNTIF(F$11:F$40,$C62)</f>
        <v>8</v>
      </c>
      <c r="G62" s="22">
        <f>'23.11'!G62+COUNTIF(G$11:G$40,$C62)</f>
        <v>8</v>
      </c>
    </row>
    <row r="63" spans="1:7" ht="18.75">
      <c r="A63" s="1"/>
      <c r="B63" s="1"/>
      <c r="C63" s="21">
        <f>'01.09'!C63</f>
        <v>0</v>
      </c>
      <c r="D63" s="22">
        <f>'23.11'!D63+COUNTIF(D$11:D$40,$C63)</f>
        <v>0</v>
      </c>
      <c r="E63" s="22">
        <f>'23.11'!E63+COUNTIF(E$11:E$40,$C63)</f>
        <v>0</v>
      </c>
      <c r="F63" s="22">
        <f>'23.11'!F63+COUNTIF(F$11:F$40,$C63)</f>
        <v>0</v>
      </c>
      <c r="G63" s="22">
        <f>'23.11'!G63+COUNTIF(G$11:G$40,$C63)</f>
        <v>0</v>
      </c>
    </row>
    <row r="64" spans="1:7" ht="18.75">
      <c r="A64" s="1"/>
      <c r="B64" s="1"/>
      <c r="C64" s="21">
        <f>'01.09'!C64</f>
        <v>0</v>
      </c>
      <c r="D64" s="22">
        <f>'23.11'!D64+COUNTIF(D$11:D$40,$C64)</f>
        <v>0</v>
      </c>
      <c r="E64" s="22">
        <f>'23.11'!E64+COUNTIF(E$11:E$40,$C64)</f>
        <v>0</v>
      </c>
      <c r="F64" s="22">
        <f>'23.11'!F64+COUNTIF(F$11:F$40,$C64)</f>
        <v>0</v>
      </c>
      <c r="G64" s="22">
        <f>'23.11'!G64+COUNTIF(G$11:G$40,$C64)</f>
        <v>0</v>
      </c>
    </row>
    <row r="65" spans="1:7" ht="18.75">
      <c r="A65" s="1"/>
      <c r="B65" s="1"/>
      <c r="C65" s="21">
        <f>'01.09'!C65</f>
        <v>0</v>
      </c>
      <c r="D65" s="22">
        <f>'23.11'!D65+COUNTIF(D$11:D$40,$C65)</f>
        <v>0</v>
      </c>
      <c r="E65" s="22">
        <f>'23.11'!E65+COUNTIF(E$11:E$40,$C65)</f>
        <v>0</v>
      </c>
      <c r="F65" s="22">
        <f>'23.11'!F65+COUNTIF(F$11:F$40,$C65)</f>
        <v>0</v>
      </c>
      <c r="G65" s="22">
        <f>'23.11'!G65+COUNTIF(G$11:G$40,$C65)</f>
        <v>0</v>
      </c>
    </row>
    <row r="66" spans="1:7" ht="18.75">
      <c r="A66" s="1"/>
      <c r="B66" s="1"/>
      <c r="C66" s="21">
        <f>'01.09'!C66</f>
        <v>0</v>
      </c>
      <c r="D66" s="22">
        <f>'23.11'!D66+COUNTIF(D$11:D$40,$C66)</f>
        <v>0</v>
      </c>
      <c r="E66" s="22">
        <f>'23.11'!E66+COUNTIF(E$11:E$40,$C66)</f>
        <v>0</v>
      </c>
      <c r="F66" s="22">
        <f>'23.11'!F66+COUNTIF(F$11:F$40,$C66)</f>
        <v>0</v>
      </c>
      <c r="G66" s="22">
        <f>'23.11'!G66+COUNTIF(G$11:G$40,$C66)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'23.11'!D67+COUNTIF(D$11:D$40,$C67)</f>
        <v>0</v>
      </c>
      <c r="E67" s="22">
        <f>'23.11'!E67+COUNTIF(E$11:E$40,$C67)</f>
        <v>0</v>
      </c>
      <c r="F67" s="22">
        <f>'23.11'!F67+COUNTIF(F$11:F$40,$C67)</f>
        <v>0</v>
      </c>
      <c r="G67" s="22">
        <f>'23.11'!G67+COUNTIF(G$11:G$40,$C67)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G67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15"/>
  <cols>
    <col min="1" max="2" width="4.42578125" style="90" customWidth="1"/>
    <col min="3" max="3" width="23.85546875" style="90" customWidth="1"/>
    <col min="4" max="4" width="71.7109375" style="90" customWidth="1"/>
    <col min="5" max="6" width="73.42578125" style="90" customWidth="1"/>
    <col min="7" max="7" width="74.28515625" style="90" customWidth="1"/>
    <col min="8" max="16384" width="9.140625" style="90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5.25" customHeight="1" thickBot="1">
      <c r="A8" s="104"/>
      <c r="B8" s="92"/>
      <c r="C8" s="92"/>
      <c r="D8" s="92"/>
      <c r="E8" s="92"/>
      <c r="F8" s="92"/>
      <c r="G8" s="92"/>
    </row>
    <row r="9" spans="1:7" ht="26.25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108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78" customHeight="1">
      <c r="A11" s="778" t="s">
        <v>0</v>
      </c>
      <c r="B11" s="737">
        <v>46363</v>
      </c>
      <c r="C11" s="97" t="s">
        <v>5</v>
      </c>
      <c r="D11" s="519"/>
      <c r="E11" s="360"/>
      <c r="F11" s="360"/>
      <c r="G11" s="520"/>
    </row>
    <row r="12" spans="1:7" ht="78" customHeight="1">
      <c r="A12" s="781"/>
      <c r="B12" s="731"/>
      <c r="C12" s="98" t="s">
        <v>6</v>
      </c>
      <c r="D12" s="395"/>
      <c r="E12" s="396"/>
      <c r="F12" s="442"/>
      <c r="G12" s="397"/>
    </row>
    <row r="13" spans="1:7" ht="78" customHeight="1">
      <c r="A13" s="781"/>
      <c r="B13" s="731"/>
      <c r="C13" s="98" t="s">
        <v>7</v>
      </c>
      <c r="D13" s="395"/>
      <c r="E13" s="442"/>
      <c r="F13" s="442"/>
      <c r="G13" s="397"/>
    </row>
    <row r="14" spans="1:7" ht="78" customHeight="1">
      <c r="A14" s="781"/>
      <c r="B14" s="731"/>
      <c r="C14" s="98" t="s">
        <v>8</v>
      </c>
      <c r="D14" s="395"/>
      <c r="E14" s="442"/>
      <c r="F14" s="442"/>
      <c r="G14" s="397"/>
    </row>
    <row r="15" spans="1:7" ht="78" customHeight="1" thickBot="1">
      <c r="A15" s="781"/>
      <c r="B15" s="731"/>
      <c r="C15" s="99" t="s">
        <v>10</v>
      </c>
      <c r="D15" s="428"/>
      <c r="E15" s="557"/>
      <c r="F15" s="557"/>
      <c r="G15" s="429"/>
    </row>
    <row r="16" spans="1:7" ht="78" customHeight="1">
      <c r="A16" s="778" t="s">
        <v>1</v>
      </c>
      <c r="B16" s="734">
        <f>B11+1</f>
        <v>46364</v>
      </c>
      <c r="C16" s="105" t="s">
        <v>5</v>
      </c>
      <c r="D16" s="479"/>
      <c r="E16" s="404"/>
      <c r="F16" s="478"/>
      <c r="G16" s="476"/>
    </row>
    <row r="17" spans="1:7" ht="78" customHeight="1">
      <c r="A17" s="781"/>
      <c r="B17" s="731"/>
      <c r="C17" s="106" t="s">
        <v>6</v>
      </c>
      <c r="D17" s="364"/>
      <c r="E17" s="434"/>
      <c r="F17" s="434"/>
      <c r="G17" s="415"/>
    </row>
    <row r="18" spans="1:7" ht="78" customHeight="1">
      <c r="A18" s="781"/>
      <c r="B18" s="731"/>
      <c r="C18" s="106" t="s">
        <v>7</v>
      </c>
      <c r="D18" s="395"/>
      <c r="E18" s="442"/>
      <c r="F18" s="396"/>
      <c r="G18" s="521"/>
    </row>
    <row r="19" spans="1:7" ht="78" customHeight="1">
      <c r="A19" s="781"/>
      <c r="B19" s="731"/>
      <c r="C19" s="106" t="s">
        <v>8</v>
      </c>
      <c r="D19" s="522"/>
      <c r="E19" s="396"/>
      <c r="F19" s="444"/>
      <c r="G19" s="436"/>
    </row>
    <row r="20" spans="1:7" ht="78" customHeight="1" thickBot="1">
      <c r="A20" s="782"/>
      <c r="B20" s="731"/>
      <c r="C20" s="107" t="s">
        <v>10</v>
      </c>
      <c r="D20" s="399"/>
      <c r="E20" s="400"/>
      <c r="F20" s="400"/>
      <c r="G20" s="401"/>
    </row>
    <row r="21" spans="1:7" ht="78" customHeight="1">
      <c r="A21" s="778" t="s">
        <v>2</v>
      </c>
      <c r="B21" s="734">
        <f>B16+1</f>
        <v>46365</v>
      </c>
      <c r="C21" s="105" t="s">
        <v>5</v>
      </c>
      <c r="D21" s="254"/>
      <c r="E21" s="255"/>
      <c r="F21" s="255"/>
      <c r="G21" s="256"/>
    </row>
    <row r="22" spans="1:7" ht="78" customHeight="1">
      <c r="A22" s="781"/>
      <c r="B22" s="731"/>
      <c r="C22" s="106" t="s">
        <v>6</v>
      </c>
      <c r="D22" s="257"/>
      <c r="E22" s="258"/>
      <c r="F22" s="442"/>
      <c r="G22" s="248"/>
    </row>
    <row r="23" spans="1:7" ht="78" customHeight="1">
      <c r="A23" s="781"/>
      <c r="B23" s="731"/>
      <c r="C23" s="106" t="s">
        <v>7</v>
      </c>
      <c r="D23" s="395"/>
      <c r="E23" s="259"/>
      <c r="F23" s="258"/>
      <c r="G23" s="248"/>
    </row>
    <row r="24" spans="1:7" ht="78" customHeight="1">
      <c r="A24" s="781"/>
      <c r="B24" s="731"/>
      <c r="C24" s="106" t="s">
        <v>8</v>
      </c>
      <c r="D24" s="257"/>
      <c r="E24" s="258"/>
      <c r="F24" s="258"/>
      <c r="G24" s="248"/>
    </row>
    <row r="25" spans="1:7" ht="78" customHeight="1" thickBot="1">
      <c r="A25" s="782"/>
      <c r="B25" s="731"/>
      <c r="C25" s="107" t="s">
        <v>10</v>
      </c>
      <c r="D25" s="265"/>
      <c r="E25" s="315"/>
      <c r="F25" s="315"/>
      <c r="G25" s="316"/>
    </row>
    <row r="26" spans="1:7" ht="78" customHeight="1">
      <c r="A26" s="778" t="s">
        <v>3</v>
      </c>
      <c r="B26" s="734">
        <f>B21+1</f>
        <v>46366</v>
      </c>
      <c r="C26" s="97" t="s">
        <v>5</v>
      </c>
      <c r="D26" s="289"/>
      <c r="E26" s="329"/>
      <c r="F26" s="329"/>
      <c r="G26" s="334"/>
    </row>
    <row r="27" spans="1:7" ht="78" customHeight="1">
      <c r="A27" s="779"/>
      <c r="B27" s="731"/>
      <c r="C27" s="98" t="s">
        <v>6</v>
      </c>
      <c r="D27" s="335"/>
      <c r="E27" s="358"/>
      <c r="F27" s="358"/>
      <c r="G27" s="359"/>
    </row>
    <row r="28" spans="1:7" ht="78" customHeight="1">
      <c r="A28" s="779"/>
      <c r="B28" s="731"/>
      <c r="C28" s="98" t="s">
        <v>7</v>
      </c>
      <c r="D28" s="395"/>
      <c r="E28" s="434"/>
      <c r="F28" s="434"/>
      <c r="G28" s="415"/>
    </row>
    <row r="29" spans="1:7" ht="78" customHeight="1">
      <c r="A29" s="779"/>
      <c r="B29" s="731"/>
      <c r="C29" s="98" t="s">
        <v>8</v>
      </c>
      <c r="D29" s="395"/>
      <c r="E29" s="434"/>
      <c r="F29" s="442"/>
      <c r="G29" s="248"/>
    </row>
    <row r="30" spans="1:7" ht="78" customHeight="1" thickBot="1">
      <c r="A30" s="780"/>
      <c r="B30" s="731"/>
      <c r="C30" s="99" t="s">
        <v>10</v>
      </c>
      <c r="D30" s="265"/>
      <c r="E30" s="474"/>
      <c r="F30" s="474"/>
      <c r="G30" s="475"/>
    </row>
    <row r="31" spans="1:7" ht="78" customHeight="1">
      <c r="A31" s="778" t="s">
        <v>4</v>
      </c>
      <c r="B31" s="734">
        <f>B26+1</f>
        <v>46367</v>
      </c>
      <c r="C31" s="97" t="s">
        <v>5</v>
      </c>
      <c r="D31" s="254"/>
      <c r="E31" s="255"/>
      <c r="F31" s="255"/>
      <c r="G31" s="334"/>
    </row>
    <row r="32" spans="1:7" ht="78" customHeight="1">
      <c r="A32" s="781"/>
      <c r="B32" s="731"/>
      <c r="C32" s="98" t="s">
        <v>6</v>
      </c>
      <c r="D32" s="257"/>
      <c r="E32" s="358"/>
      <c r="F32" s="259"/>
      <c r="G32" s="397"/>
    </row>
    <row r="33" spans="1:7" ht="78" customHeight="1">
      <c r="A33" s="781"/>
      <c r="B33" s="731"/>
      <c r="C33" s="98" t="s">
        <v>7</v>
      </c>
      <c r="D33" s="257"/>
      <c r="E33" s="285"/>
      <c r="F33" s="258"/>
      <c r="G33" s="397"/>
    </row>
    <row r="34" spans="1:7" ht="78" customHeight="1">
      <c r="A34" s="781"/>
      <c r="B34" s="731"/>
      <c r="C34" s="98" t="s">
        <v>8</v>
      </c>
      <c r="D34" s="257"/>
      <c r="E34" s="285"/>
      <c r="F34" s="258"/>
      <c r="G34" s="248"/>
    </row>
    <row r="35" spans="1:7" ht="78" customHeight="1" thickBot="1">
      <c r="A35" s="782"/>
      <c r="B35" s="731"/>
      <c r="C35" s="99" t="s">
        <v>10</v>
      </c>
      <c r="D35" s="362"/>
      <c r="E35" s="363"/>
      <c r="F35" s="315"/>
      <c r="G35" s="445"/>
    </row>
    <row r="36" spans="1:7" ht="38.25" customHeight="1">
      <c r="A36" s="731" t="s">
        <v>18</v>
      </c>
      <c r="B36" s="734">
        <f>B31+1</f>
        <v>46368</v>
      </c>
      <c r="C36" s="105" t="s">
        <v>5</v>
      </c>
      <c r="D36" s="208"/>
      <c r="E36" s="230"/>
      <c r="F36" s="230"/>
      <c r="G36" s="231"/>
    </row>
    <row r="37" spans="1:7" ht="38.25" customHeight="1">
      <c r="A37" s="731"/>
      <c r="B37" s="731"/>
      <c r="C37" s="106" t="s">
        <v>6</v>
      </c>
      <c r="D37" s="209"/>
      <c r="E37" s="210"/>
      <c r="F37" s="210"/>
      <c r="G37" s="233"/>
    </row>
    <row r="38" spans="1:7" ht="38.25" customHeight="1">
      <c r="A38" s="731"/>
      <c r="B38" s="731"/>
      <c r="C38" s="106" t="s">
        <v>7</v>
      </c>
      <c r="D38" s="209"/>
      <c r="E38" s="210"/>
      <c r="F38" s="210"/>
      <c r="G38" s="233"/>
    </row>
    <row r="39" spans="1:7" ht="38.25" customHeight="1">
      <c r="A39" s="731"/>
      <c r="B39" s="731"/>
      <c r="C39" s="106" t="s">
        <v>8</v>
      </c>
      <c r="D39" s="355"/>
      <c r="E39" s="354"/>
      <c r="F39" s="354"/>
      <c r="G39" s="356"/>
    </row>
    <row r="40" spans="1:7" ht="38.25" customHeight="1" thickBot="1">
      <c r="A40" s="777"/>
      <c r="B40" s="777"/>
      <c r="C40" s="107" t="s">
        <v>10</v>
      </c>
      <c r="D40" s="242"/>
      <c r="E40" s="243"/>
      <c r="F40" s="243"/>
      <c r="G40" s="247"/>
    </row>
    <row r="41" spans="1:7" ht="30.75">
      <c r="C41" s="112"/>
      <c r="D41" s="214" t="s">
        <v>120</v>
      </c>
      <c r="E41" s="112"/>
      <c r="F41" s="112"/>
      <c r="G41" s="112"/>
    </row>
    <row r="42" spans="1:7" ht="18.75">
      <c r="C42" s="113" t="str">
        <f>'01.09'!C42</f>
        <v>*Л. Речевое общение в профессиональной деятельности*</v>
      </c>
      <c r="D42" s="114">
        <f>'30.11'!D42+COUNTIF(D$11:D$40,$C42)</f>
        <v>5</v>
      </c>
      <c r="E42" s="114">
        <f>'30.11'!E42+COUNTIF(E$11:E$40,$C42)</f>
        <v>5</v>
      </c>
      <c r="F42" s="114">
        <f>'30.11'!F42+COUNTIF(F$11:F$40,$C42)</f>
        <v>5</v>
      </c>
      <c r="G42" s="114">
        <f>'30.11'!G42+COUNTIF(G$11:G$40,$C42)</f>
        <v>5</v>
      </c>
    </row>
    <row r="43" spans="1:7" ht="18.75">
      <c r="C43" s="113" t="str">
        <f>'01.09'!C43</f>
        <v>*Пр. Речевое общение в профессиональной деятельности*</v>
      </c>
      <c r="D43" s="114">
        <f>'30.11'!D43+COUNTIF(D$11:D$40,$C43)</f>
        <v>4</v>
      </c>
      <c r="E43" s="114">
        <f>'30.11'!E43+COUNTIF(E$11:E$40,$C43)</f>
        <v>4</v>
      </c>
      <c r="F43" s="114">
        <f>'30.11'!F43+COUNTIF(F$11:F$40,$C43)</f>
        <v>4</v>
      </c>
      <c r="G43" s="114">
        <f>'30.11'!G43+COUNTIF(G$11:G$40,$C43)</f>
        <v>4</v>
      </c>
    </row>
    <row r="44" spans="1:7" ht="18.75">
      <c r="C44" s="113" t="str">
        <f>'01.09'!C44</f>
        <v>*Л. Физическая культура и спорт*</v>
      </c>
      <c r="D44" s="114">
        <f>'30.11'!D44+COUNTIF(D$11:D$40,$C44)</f>
        <v>5</v>
      </c>
      <c r="E44" s="114">
        <f>'30.11'!E44+COUNTIF(E$11:E$40,$C44)</f>
        <v>5</v>
      </c>
      <c r="F44" s="114">
        <f>'30.11'!F44+COUNTIF(F$11:F$40,$C44)</f>
        <v>5</v>
      </c>
      <c r="G44" s="114">
        <f>'30.11'!G44+COUNTIF(G$11:G$40,$C44)</f>
        <v>5</v>
      </c>
    </row>
    <row r="45" spans="1:7" ht="18.75">
      <c r="C45" s="113" t="str">
        <f>'01.09'!C45</f>
        <v>*Пр. Физическая культура и спорт*</v>
      </c>
      <c r="D45" s="114">
        <f>'30.11'!D45+COUNTIF(D$11:D$40,$C45)</f>
        <v>5</v>
      </c>
      <c r="E45" s="114">
        <f>'30.11'!E45+COUNTIF(E$11:E$40,$C45)</f>
        <v>5</v>
      </c>
      <c r="F45" s="114">
        <f>'30.11'!F45+COUNTIF(F$11:F$40,$C45)</f>
        <v>5</v>
      </c>
      <c r="G45" s="114">
        <f>'30.11'!G45+COUNTIF(G$11:G$40,$C45)</f>
        <v>5</v>
      </c>
    </row>
    <row r="46" spans="1:7" ht="18.75">
      <c r="C46" s="113" t="str">
        <f>'01.09'!C46</f>
        <v>*Л. Анатомия*</v>
      </c>
      <c r="D46" s="114">
        <f>'30.11'!D46+COUNTIF(D$11:D$40,$C46)</f>
        <v>4</v>
      </c>
      <c r="E46" s="114">
        <f>'30.11'!E46+COUNTIF(E$11:E$40,$C46)</f>
        <v>4</v>
      </c>
      <c r="F46" s="114">
        <f>'30.11'!F46+COUNTIF(F$11:F$40,$C46)</f>
        <v>4</v>
      </c>
      <c r="G46" s="114">
        <f>'30.11'!G46+COUNTIF(G$11:G$40,$C46)</f>
        <v>4</v>
      </c>
    </row>
    <row r="47" spans="1:7" ht="18.75">
      <c r="C47" s="113" t="str">
        <f>'01.09'!C47</f>
        <v>*Пр. Анатомия*</v>
      </c>
      <c r="D47" s="114">
        <f>'30.11'!D47+COUNTIF(D$11:D$40,$C47)</f>
        <v>4</v>
      </c>
      <c r="E47" s="114">
        <f>'30.11'!E47+COUNTIF(E$11:E$40,$C47)</f>
        <v>4</v>
      </c>
      <c r="F47" s="114">
        <f>'30.11'!F47+COUNTIF(F$11:F$40,$C47)</f>
        <v>4</v>
      </c>
      <c r="G47" s="114">
        <f>'30.11'!G47+COUNTIF(G$11:G$40,$C47)</f>
        <v>4</v>
      </c>
    </row>
    <row r="48" spans="1:7" ht="18.75">
      <c r="C48" s="113" t="str">
        <f>'01.09'!C48</f>
        <v>*Л. Теория и методика*</v>
      </c>
      <c r="D48" s="114">
        <f>'30.11'!D48+COUNTIF(D$11:D$40,$C48)</f>
        <v>5</v>
      </c>
      <c r="E48" s="114">
        <f>'30.11'!E48+COUNTIF(E$11:E$40,$C48)</f>
        <v>5</v>
      </c>
      <c r="F48" s="114">
        <f>'30.11'!F48+COUNTIF(F$11:F$40,$C48)</f>
        <v>5</v>
      </c>
      <c r="G48" s="114">
        <f>'30.11'!G48+COUNTIF(G$11:G$40,$C48)</f>
        <v>5</v>
      </c>
    </row>
    <row r="49" spans="3:7" ht="18.75">
      <c r="C49" s="113" t="str">
        <f>'01.09'!C49</f>
        <v>*Пр. Теория и методика*</v>
      </c>
      <c r="D49" s="114">
        <f>'30.11'!D49+COUNTIF(D$11:D$40,$C49)</f>
        <v>24</v>
      </c>
      <c r="E49" s="114">
        <f>'30.11'!E49+COUNTIF(E$11:E$40,$C49)</f>
        <v>25</v>
      </c>
      <c r="F49" s="114">
        <f>'30.11'!F49+COUNTIF(F$11:F$40,$C49)</f>
        <v>25</v>
      </c>
      <c r="G49" s="114">
        <f>'30.11'!G49+COUNTIF(G$11:G$40,$C49)</f>
        <v>25</v>
      </c>
    </row>
    <row r="50" spans="3:7" ht="18.75">
      <c r="C50" s="113" t="str">
        <f>'01.09'!C50</f>
        <v>*Л. Информационные технологии*</v>
      </c>
      <c r="D50" s="114">
        <f>'30.11'!D50+COUNTIF(D$11:D$40,$C50)</f>
        <v>2</v>
      </c>
      <c r="E50" s="114">
        <f>'30.11'!E50+COUNTIF(E$11:E$40,$C50)</f>
        <v>2</v>
      </c>
      <c r="F50" s="114">
        <f>'30.11'!F50+COUNTIF(F$11:F$40,$C50)</f>
        <v>2</v>
      </c>
      <c r="G50" s="114">
        <f>'30.11'!G50+COUNTIF(G$11:G$40,$C50)</f>
        <v>2</v>
      </c>
    </row>
    <row r="51" spans="3:7" ht="18.75">
      <c r="C51" s="113" t="str">
        <f>'01.09'!C51</f>
        <v>*Пр. Информационные технологии*</v>
      </c>
      <c r="D51" s="114">
        <f>'30.11'!D51+COUNTIF(D$11:D$40,$C51)</f>
        <v>8</v>
      </c>
      <c r="E51" s="114">
        <f>'30.11'!E51+COUNTIF(E$11:E$40,$C51)</f>
        <v>8</v>
      </c>
      <c r="F51" s="114">
        <f>'30.11'!F51+COUNTIF(F$11:F$40,$C51)</f>
        <v>8</v>
      </c>
      <c r="G51" s="114">
        <f>'30.11'!G51+COUNTIF(G$11:G$40,$C51)</f>
        <v>8</v>
      </c>
    </row>
    <row r="52" spans="3:7" ht="18.75">
      <c r="C52" s="113" t="str">
        <f>'01.09'!C52</f>
        <v>*Л. Гимнастика*</v>
      </c>
      <c r="D52" s="114">
        <f>'30.11'!D52+COUNTIF(D$11:D$40,$C52)</f>
        <v>3</v>
      </c>
      <c r="E52" s="114">
        <f>'30.11'!E52+COUNTIF(E$11:E$40,$C52)</f>
        <v>3</v>
      </c>
      <c r="F52" s="114">
        <f>'30.11'!F52+COUNTIF(F$11:F$40,$C52)</f>
        <v>3</v>
      </c>
      <c r="G52" s="114">
        <f>'30.11'!G52+COUNTIF(G$11:G$40,$C52)</f>
        <v>3</v>
      </c>
    </row>
    <row r="53" spans="3:7" ht="18.75">
      <c r="C53" s="113" t="str">
        <f>'01.09'!C53</f>
        <v>*Пр. Гимнастика*</v>
      </c>
      <c r="D53" s="114">
        <f>'30.11'!D53+COUNTIF(D$11:D$40,$C53)</f>
        <v>13</v>
      </c>
      <c r="E53" s="114">
        <f>'30.11'!E53+COUNTIF(E$11:E$40,$C53)</f>
        <v>12</v>
      </c>
      <c r="F53" s="114">
        <f>'30.11'!F53+COUNTIF(F$11:F$40,$C53)</f>
        <v>12</v>
      </c>
      <c r="G53" s="114">
        <f>'30.11'!G53+COUNTIF(G$11:G$40,$C53)</f>
        <v>12</v>
      </c>
    </row>
    <row r="54" spans="3:7" ht="18.75">
      <c r="C54" s="113" t="str">
        <f>'01.09'!C54</f>
        <v>*Л. Элективные дисциплины по ФКиС: Подвижные игры*</v>
      </c>
      <c r="D54" s="114">
        <f>'30.11'!D54+COUNTIF(D$11:D$40,$C54)</f>
        <v>1</v>
      </c>
      <c r="E54" s="114">
        <f>'30.11'!E54+COUNTIF(E$11:E$40,$C54)</f>
        <v>1</v>
      </c>
      <c r="F54" s="114">
        <f>'30.11'!F54+COUNTIF(F$11:F$40,$C54)</f>
        <v>1</v>
      </c>
      <c r="G54" s="114">
        <f>'30.11'!G54+COUNTIF(G$11:G$40,$C54)</f>
        <v>1</v>
      </c>
    </row>
    <row r="55" spans="3:7" ht="18.75">
      <c r="C55" s="113" t="str">
        <f>'01.09'!C55</f>
        <v>*Пр. Элективные дисциплины по ФКиС: Подвижные игры*</v>
      </c>
      <c r="D55" s="114">
        <f>'30.11'!D55+COUNTIF(D$11:D$40,$C55)</f>
        <v>8</v>
      </c>
      <c r="E55" s="114">
        <f>'30.11'!E55+COUNTIF(E$11:E$40,$C55)</f>
        <v>8</v>
      </c>
      <c r="F55" s="114">
        <f>'30.11'!F55+COUNTIF(F$11:F$40,$C55)</f>
        <v>9</v>
      </c>
      <c r="G55" s="114">
        <f>'30.11'!G55+COUNTIF(G$11:G$40,$C55)</f>
        <v>9</v>
      </c>
    </row>
    <row r="56" spans="3:7" ht="18.75">
      <c r="C56" s="113" t="str">
        <f>'01.09'!C56</f>
        <v>*Л. Волейбол*</v>
      </c>
      <c r="D56" s="114">
        <f>'30.11'!D56+COUNTIF(D$11:D$40,$C56)</f>
        <v>1</v>
      </c>
      <c r="E56" s="114">
        <f>'30.11'!E56+COUNTIF(E$11:E$40,$C56)</f>
        <v>1</v>
      </c>
      <c r="F56" s="114">
        <f>'30.11'!F56+COUNTIF(F$11:F$40,$C56)</f>
        <v>1</v>
      </c>
      <c r="G56" s="114">
        <f>'30.11'!G56+COUNTIF(G$11:G$40,$C56)</f>
        <v>1</v>
      </c>
    </row>
    <row r="57" spans="3:7" ht="18.75">
      <c r="C57" s="113" t="str">
        <f>'01.09'!C57</f>
        <v>*Пр. Волейбол*</v>
      </c>
      <c r="D57" s="114">
        <f>'30.11'!D57+COUNTIF(D$11:D$40,$C57)</f>
        <v>16</v>
      </c>
      <c r="E57" s="114">
        <f>'30.11'!E57+COUNTIF(E$11:E$40,$C57)</f>
        <v>16</v>
      </c>
      <c r="F57" s="114">
        <f>'30.11'!F57+COUNTIF(F$11:F$40,$C57)</f>
        <v>16</v>
      </c>
      <c r="G57" s="114">
        <f>'30.11'!G57+COUNTIF(G$11:G$40,$C57)</f>
        <v>16</v>
      </c>
    </row>
    <row r="58" spans="3:7" ht="18.75">
      <c r="C58" s="113" t="str">
        <f>'01.09'!C58</f>
        <v>*Л. Лыжные гонки*</v>
      </c>
      <c r="D58" s="114">
        <f>'30.11'!D58+COUNTIF(D$11:D$40,$C58)</f>
        <v>0</v>
      </c>
      <c r="E58" s="114">
        <f>'30.11'!E58+COUNTIF(E$11:E$40,$C58)</f>
        <v>0</v>
      </c>
      <c r="F58" s="114">
        <f>'30.11'!F58+COUNTIF(F$11:F$40,$C58)</f>
        <v>0</v>
      </c>
      <c r="G58" s="114">
        <f>'30.11'!G58+COUNTIF(G$11:G$40,$C58)</f>
        <v>0</v>
      </c>
    </row>
    <row r="59" spans="3:7" ht="18.75">
      <c r="C59" s="113" t="str">
        <f>'01.09'!C59</f>
        <v>*Пр. Лыжные гонки*</v>
      </c>
      <c r="D59" s="114">
        <f>'30.11'!D59+COUNTIF(D$11:D$40,$C59)</f>
        <v>0</v>
      </c>
      <c r="E59" s="114">
        <f>'30.11'!E59+COUNTIF(E$11:E$40,$C59)</f>
        <v>0</v>
      </c>
      <c r="F59" s="114">
        <f>'30.11'!F59+COUNTIF(F$11:F$40,$C59)</f>
        <v>0</v>
      </c>
      <c r="G59" s="114">
        <f>'30.11'!G59+COUNTIF(G$11:G$40,$C59)</f>
        <v>0</v>
      </c>
    </row>
    <row r="60" spans="3:7" ht="18.75">
      <c r="C60" s="113" t="str">
        <f>'01.09'!C60</f>
        <v>*Л. Использование электронной*</v>
      </c>
      <c r="D60" s="114">
        <f>'30.11'!D60+COUNTIF(D$11:D$40,$C60)</f>
        <v>1</v>
      </c>
      <c r="E60" s="114">
        <f>'30.11'!E60+COUNTIF(E$11:E$40,$C60)</f>
        <v>0</v>
      </c>
      <c r="F60" s="114">
        <f>'30.11'!F60+COUNTIF(F$11:F$40,$C60)</f>
        <v>0</v>
      </c>
      <c r="G60" s="114">
        <f>'30.11'!G60+COUNTIF(G$11:G$40,$C60)</f>
        <v>0</v>
      </c>
    </row>
    <row r="61" spans="3:7" ht="18.75">
      <c r="C61" s="113" t="str">
        <f>'01.09'!C61</f>
        <v>*Пр. Использование электронной*</v>
      </c>
      <c r="D61" s="114">
        <f>'30.11'!D61+COUNTIF(D$11:D$40,$C61)</f>
        <v>2</v>
      </c>
      <c r="E61" s="114">
        <f>'30.11'!E61+COUNTIF(E$11:E$40,$C61)</f>
        <v>2</v>
      </c>
      <c r="F61" s="114">
        <f>'30.11'!F61+COUNTIF(F$11:F$40,$C61)</f>
        <v>2</v>
      </c>
      <c r="G61" s="114">
        <f>'30.11'!G61+COUNTIF(G$11:G$40,$C61)</f>
        <v>2</v>
      </c>
    </row>
    <row r="62" spans="3:7" ht="18.75">
      <c r="C62" s="113" t="str">
        <f>'01.09'!C62</f>
        <v>*Пр. Иностранный*</v>
      </c>
      <c r="D62" s="114">
        <f>'30.11'!D62+COUNTIF(D$11:D$40,$C62)</f>
        <v>8</v>
      </c>
      <c r="E62" s="114">
        <f>'30.11'!E62+COUNTIF(E$11:E$40,$C62)</f>
        <v>8</v>
      </c>
      <c r="F62" s="114">
        <f>'30.11'!F62+COUNTIF(F$11:F$40,$C62)</f>
        <v>8</v>
      </c>
      <c r="G62" s="114">
        <f>'30.11'!G62+COUNTIF(G$11:G$40,$C62)</f>
        <v>8</v>
      </c>
    </row>
    <row r="63" spans="3:7" ht="18.75">
      <c r="C63" s="113">
        <f>'01.09'!C63</f>
        <v>0</v>
      </c>
      <c r="D63" s="114">
        <f>'30.11'!D63+COUNTIF(D$11:D$40,$C63)</f>
        <v>0</v>
      </c>
      <c r="E63" s="114">
        <f>'30.11'!E63+COUNTIF(E$11:E$40,$C63)</f>
        <v>0</v>
      </c>
      <c r="F63" s="114">
        <f>'30.11'!F63+COUNTIF(F$11:F$40,$C63)</f>
        <v>0</v>
      </c>
      <c r="G63" s="114">
        <f>'30.11'!G63+COUNTIF(G$11:G$40,$C63)</f>
        <v>0</v>
      </c>
    </row>
    <row r="64" spans="3:7" ht="18.75">
      <c r="C64" s="113">
        <f>'01.09'!C64</f>
        <v>0</v>
      </c>
      <c r="D64" s="114">
        <f>'30.11'!D64+COUNTIF(D$11:D$40,$C64)</f>
        <v>0</v>
      </c>
      <c r="E64" s="114">
        <f>'30.11'!E64+COUNTIF(E$11:E$40,$C64)</f>
        <v>0</v>
      </c>
      <c r="F64" s="114">
        <f>'30.11'!F64+COUNTIF(F$11:F$40,$C64)</f>
        <v>0</v>
      </c>
      <c r="G64" s="114">
        <f>'30.11'!G64+COUNTIF(G$11:G$40,$C64)</f>
        <v>0</v>
      </c>
    </row>
    <row r="65" spans="3:7" ht="18.75">
      <c r="C65" s="113">
        <f>'01.09'!C65</f>
        <v>0</v>
      </c>
      <c r="D65" s="114">
        <f>'30.11'!D65+COUNTIF(D$11:D$40,$C65)</f>
        <v>0</v>
      </c>
      <c r="E65" s="114">
        <f>'30.11'!E65+COUNTIF(E$11:E$40,$C65)</f>
        <v>0</v>
      </c>
      <c r="F65" s="114">
        <f>'30.11'!F65+COUNTIF(F$11:F$40,$C65)</f>
        <v>0</v>
      </c>
      <c r="G65" s="114">
        <f>'30.11'!G65+COUNTIF(G$11:G$40,$C65)</f>
        <v>0</v>
      </c>
    </row>
    <row r="66" spans="3:7" ht="18.75">
      <c r="C66" s="113">
        <f>'01.09'!C66</f>
        <v>0</v>
      </c>
      <c r="D66" s="114">
        <f>'30.11'!D66+COUNTIF(D$11:D$40,$C66)</f>
        <v>0</v>
      </c>
      <c r="E66" s="114">
        <f>'30.11'!E66+COUNTIF(E$11:E$40,$C66)</f>
        <v>0</v>
      </c>
      <c r="F66" s="114">
        <f>'30.11'!F66+COUNTIF(F$11:F$40,$C66)</f>
        <v>0</v>
      </c>
      <c r="G66" s="114">
        <f>'30.11'!G66+COUNTIF(G$11:G$40,$C66)</f>
        <v>0</v>
      </c>
    </row>
    <row r="67" spans="3:7" ht="18.75">
      <c r="C67" s="113">
        <f>'01.09'!C67</f>
        <v>0</v>
      </c>
      <c r="D67" s="114">
        <f>'30.11'!D67+COUNTIF(D$11:D$40,$C67)</f>
        <v>0</v>
      </c>
      <c r="E67" s="114">
        <f>'30.11'!E67+COUNTIF(E$11:E$40,$C67)</f>
        <v>0</v>
      </c>
      <c r="F67" s="114">
        <f>'30.11'!F67+COUNTIF(F$11:F$40,$C67)</f>
        <v>0</v>
      </c>
      <c r="G67" s="114">
        <f>'30.11'!G67+COUNTIF(G$11:G$40,$C67)</f>
        <v>0</v>
      </c>
    </row>
  </sheetData>
  <mergeCells count="22"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39370078740157483" right="0.19685039370078741" top="0.43307086614173229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G67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26.25"/>
  <cols>
    <col min="1" max="1" width="4.42578125" style="91" customWidth="1"/>
    <col min="2" max="2" width="6.7109375" style="91" customWidth="1"/>
    <col min="3" max="3" width="22.5703125" style="91" customWidth="1"/>
    <col min="4" max="7" width="74.7109375" style="91" customWidth="1"/>
    <col min="8" max="16384" width="9.140625" style="91"/>
  </cols>
  <sheetData>
    <row r="1" spans="1:7" ht="30">
      <c r="A1" s="84"/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3.75" customHeight="1" thickBot="1">
      <c r="A8" s="92"/>
      <c r="B8" s="92"/>
      <c r="C8" s="92"/>
      <c r="D8" s="92"/>
      <c r="E8" s="92"/>
      <c r="F8" s="92"/>
      <c r="G8" s="92"/>
    </row>
    <row r="9" spans="1:7" ht="30.75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90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0.25" customHeight="1">
      <c r="A11" s="778" t="s">
        <v>0</v>
      </c>
      <c r="B11" s="737">
        <v>46370</v>
      </c>
      <c r="C11" s="97" t="s">
        <v>5</v>
      </c>
      <c r="D11" s="519"/>
      <c r="E11" s="360"/>
      <c r="F11" s="360"/>
      <c r="G11" s="520"/>
    </row>
    <row r="12" spans="1:7" ht="80.25" customHeight="1">
      <c r="A12" s="781"/>
      <c r="B12" s="731"/>
      <c r="C12" s="98" t="s">
        <v>6</v>
      </c>
      <c r="D12" s="395"/>
      <c r="E12" s="396"/>
      <c r="F12" s="442"/>
      <c r="G12" s="397"/>
    </row>
    <row r="13" spans="1:7" ht="80.25" customHeight="1">
      <c r="A13" s="781"/>
      <c r="B13" s="731"/>
      <c r="C13" s="98" t="s">
        <v>7</v>
      </c>
      <c r="D13" s="395"/>
      <c r="E13" s="442"/>
      <c r="F13" s="442"/>
      <c r="G13" s="397"/>
    </row>
    <row r="14" spans="1:7" ht="80.25" customHeight="1">
      <c r="A14" s="781"/>
      <c r="B14" s="731"/>
      <c r="C14" s="98" t="s">
        <v>8</v>
      </c>
      <c r="D14" s="395"/>
      <c r="E14" s="442"/>
      <c r="F14" s="442"/>
      <c r="G14" s="397"/>
    </row>
    <row r="15" spans="1:7" ht="80.25" customHeight="1" thickBot="1">
      <c r="A15" s="781"/>
      <c r="B15" s="731"/>
      <c r="C15" s="99" t="s">
        <v>10</v>
      </c>
      <c r="D15" s="428"/>
      <c r="E15" s="557"/>
      <c r="F15" s="557"/>
      <c r="G15" s="429"/>
    </row>
    <row r="16" spans="1:7" ht="80.25" customHeight="1">
      <c r="A16" s="778" t="s">
        <v>1</v>
      </c>
      <c r="B16" s="734">
        <f>B11+1</f>
        <v>46371</v>
      </c>
      <c r="C16" s="97" t="s">
        <v>5</v>
      </c>
      <c r="D16" s="479"/>
      <c r="E16" s="404"/>
      <c r="F16" s="478"/>
      <c r="G16" s="476"/>
    </row>
    <row r="17" spans="1:7" ht="80.25" customHeight="1">
      <c r="A17" s="781"/>
      <c r="B17" s="731"/>
      <c r="C17" s="98" t="s">
        <v>6</v>
      </c>
      <c r="D17" s="364"/>
      <c r="E17" s="434"/>
      <c r="F17" s="434"/>
      <c r="G17" s="415"/>
    </row>
    <row r="18" spans="1:7" ht="80.25" customHeight="1">
      <c r="A18" s="781"/>
      <c r="B18" s="731"/>
      <c r="C18" s="98" t="s">
        <v>7</v>
      </c>
      <c r="D18" s="395"/>
      <c r="E18" s="442"/>
      <c r="F18" s="396"/>
      <c r="G18" s="435"/>
    </row>
    <row r="19" spans="1:7" ht="80.25" customHeight="1">
      <c r="A19" s="781"/>
      <c r="B19" s="731"/>
      <c r="C19" s="98" t="s">
        <v>8</v>
      </c>
      <c r="D19" s="522"/>
      <c r="E19" s="396"/>
      <c r="F19" s="444"/>
      <c r="G19" s="436"/>
    </row>
    <row r="20" spans="1:7" ht="80.25" customHeight="1" thickBot="1">
      <c r="A20" s="782"/>
      <c r="B20" s="731"/>
      <c r="C20" s="99" t="s">
        <v>10</v>
      </c>
      <c r="D20" s="399"/>
      <c r="E20" s="400"/>
      <c r="F20" s="400"/>
      <c r="G20" s="401"/>
    </row>
    <row r="21" spans="1:7" ht="80.25" customHeight="1">
      <c r="A21" s="778" t="s">
        <v>2</v>
      </c>
      <c r="B21" s="734">
        <f>B16+1</f>
        <v>46372</v>
      </c>
      <c r="C21" s="97" t="s">
        <v>5</v>
      </c>
      <c r="D21" s="254"/>
      <c r="E21" s="255"/>
      <c r="F21" s="255"/>
      <c r="G21" s="256"/>
    </row>
    <row r="22" spans="1:7" ht="80.25" customHeight="1">
      <c r="A22" s="781"/>
      <c r="B22" s="731"/>
      <c r="C22" s="98" t="s">
        <v>6</v>
      </c>
      <c r="D22" s="257"/>
      <c r="E22" s="258"/>
      <c r="F22" s="442"/>
      <c r="G22" s="248"/>
    </row>
    <row r="23" spans="1:7" ht="80.25" customHeight="1">
      <c r="A23" s="781"/>
      <c r="B23" s="731"/>
      <c r="C23" s="98" t="s">
        <v>7</v>
      </c>
      <c r="D23" s="395"/>
      <c r="E23" s="259"/>
      <c r="F23" s="258"/>
      <c r="G23" s="248"/>
    </row>
    <row r="24" spans="1:7" ht="80.25" customHeight="1">
      <c r="A24" s="781"/>
      <c r="B24" s="731"/>
      <c r="C24" s="98" t="s">
        <v>8</v>
      </c>
      <c r="D24" s="257"/>
      <c r="E24" s="258"/>
      <c r="F24" s="258"/>
      <c r="G24" s="248"/>
    </row>
    <row r="25" spans="1:7" ht="80.25" customHeight="1" thickBot="1">
      <c r="A25" s="782"/>
      <c r="B25" s="731"/>
      <c r="C25" s="99" t="s">
        <v>10</v>
      </c>
      <c r="D25" s="265"/>
      <c r="E25" s="315"/>
      <c r="F25" s="315"/>
      <c r="G25" s="316"/>
    </row>
    <row r="26" spans="1:7" ht="80.25" customHeight="1">
      <c r="A26" s="778" t="s">
        <v>3</v>
      </c>
      <c r="B26" s="734">
        <f>B21+1</f>
        <v>46373</v>
      </c>
      <c r="C26" s="97" t="s">
        <v>5</v>
      </c>
      <c r="D26" s="289"/>
      <c r="E26" s="329"/>
      <c r="F26" s="329"/>
      <c r="G26" s="334"/>
    </row>
    <row r="27" spans="1:7" ht="80.25" customHeight="1">
      <c r="A27" s="779"/>
      <c r="B27" s="731"/>
      <c r="C27" s="98" t="s">
        <v>6</v>
      </c>
      <c r="D27" s="335"/>
      <c r="E27" s="358"/>
      <c r="F27" s="358"/>
      <c r="G27" s="359"/>
    </row>
    <row r="28" spans="1:7" ht="80.25" customHeight="1">
      <c r="A28" s="779"/>
      <c r="B28" s="731"/>
      <c r="C28" s="98" t="s">
        <v>7</v>
      </c>
      <c r="D28" s="395"/>
      <c r="E28" s="434"/>
      <c r="F28" s="434"/>
      <c r="G28" s="415"/>
    </row>
    <row r="29" spans="1:7" ht="80.25" customHeight="1">
      <c r="A29" s="779"/>
      <c r="B29" s="731"/>
      <c r="C29" s="98" t="s">
        <v>8</v>
      </c>
      <c r="D29" s="395"/>
      <c r="E29" s="434"/>
      <c r="F29" s="442"/>
      <c r="G29" s="248"/>
    </row>
    <row r="30" spans="1:7" ht="80.25" customHeight="1" thickBot="1">
      <c r="A30" s="779"/>
      <c r="B30" s="735"/>
      <c r="C30" s="119" t="s">
        <v>10</v>
      </c>
      <c r="D30" s="265"/>
      <c r="E30" s="474"/>
      <c r="F30" s="474"/>
      <c r="G30" s="475"/>
    </row>
    <row r="31" spans="1:7" ht="80.25" customHeight="1">
      <c r="A31" s="778" t="s">
        <v>4</v>
      </c>
      <c r="B31" s="732">
        <f>B26+1</f>
        <v>46374</v>
      </c>
      <c r="C31" s="97" t="s">
        <v>5</v>
      </c>
      <c r="D31" s="254"/>
      <c r="E31" s="255"/>
      <c r="F31" s="255"/>
      <c r="G31" s="334"/>
    </row>
    <row r="32" spans="1:7" ht="80.25" customHeight="1">
      <c r="A32" s="781"/>
      <c r="B32" s="731"/>
      <c r="C32" s="98" t="s">
        <v>6</v>
      </c>
      <c r="D32" s="257"/>
      <c r="E32" s="358"/>
      <c r="F32" s="259"/>
      <c r="G32" s="397"/>
    </row>
    <row r="33" spans="1:7" ht="80.25" customHeight="1">
      <c r="A33" s="781"/>
      <c r="B33" s="731"/>
      <c r="C33" s="98" t="s">
        <v>7</v>
      </c>
      <c r="D33" s="257"/>
      <c r="E33" s="285"/>
      <c r="F33" s="258"/>
      <c r="G33" s="397"/>
    </row>
    <row r="34" spans="1:7" ht="80.25" customHeight="1">
      <c r="A34" s="781"/>
      <c r="B34" s="731"/>
      <c r="C34" s="98" t="s">
        <v>8</v>
      </c>
      <c r="D34" s="257"/>
      <c r="E34" s="285"/>
      <c r="F34" s="258"/>
      <c r="G34" s="248"/>
    </row>
    <row r="35" spans="1:7" ht="80.25" customHeight="1" thickBot="1">
      <c r="A35" s="782"/>
      <c r="B35" s="777"/>
      <c r="C35" s="99" t="s">
        <v>10</v>
      </c>
      <c r="D35" s="362"/>
      <c r="E35" s="363"/>
      <c r="F35" s="315"/>
      <c r="G35" s="445"/>
    </row>
    <row r="36" spans="1:7" ht="40.5" customHeight="1">
      <c r="A36" s="736" t="s">
        <v>18</v>
      </c>
      <c r="B36" s="737">
        <f>B31+1</f>
        <v>46375</v>
      </c>
      <c r="C36" s="357" t="s">
        <v>5</v>
      </c>
      <c r="D36" s="254"/>
      <c r="E36" s="255"/>
      <c r="F36" s="336"/>
      <c r="G36" s="256"/>
    </row>
    <row r="37" spans="1:7" ht="40.5" customHeight="1">
      <c r="A37" s="731"/>
      <c r="B37" s="731"/>
      <c r="C37" s="106" t="s">
        <v>6</v>
      </c>
      <c r="D37" s="257"/>
      <c r="E37" s="333"/>
      <c r="F37" s="258"/>
      <c r="G37" s="248"/>
    </row>
    <row r="38" spans="1:7" ht="40.5" customHeight="1">
      <c r="A38" s="731"/>
      <c r="B38" s="731"/>
      <c r="C38" s="106" t="s">
        <v>7</v>
      </c>
      <c r="D38" s="332"/>
      <c r="E38" s="333"/>
      <c r="F38" s="333"/>
      <c r="G38" s="248"/>
    </row>
    <row r="39" spans="1:7" ht="40.5" customHeight="1">
      <c r="A39" s="731"/>
      <c r="B39" s="731"/>
      <c r="C39" s="106" t="s">
        <v>8</v>
      </c>
      <c r="D39" s="257"/>
      <c r="E39" s="258"/>
      <c r="F39" s="333"/>
      <c r="G39" s="248"/>
    </row>
    <row r="40" spans="1:7" ht="40.5" customHeight="1" thickBot="1">
      <c r="A40" s="777"/>
      <c r="B40" s="777"/>
      <c r="C40" s="107" t="s">
        <v>10</v>
      </c>
      <c r="D40" s="265"/>
      <c r="E40" s="315"/>
      <c r="F40" s="315"/>
      <c r="G40" s="316"/>
    </row>
    <row r="41" spans="1:7" ht="30.75">
      <c r="D41" s="215" t="s">
        <v>120</v>
      </c>
    </row>
    <row r="42" spans="1:7">
      <c r="B42" s="69">
        <v>5</v>
      </c>
      <c r="C42" s="115" t="str">
        <f>'01.09'!C42</f>
        <v>*Л. Речевое общение в профессиональной деятельности*</v>
      </c>
      <c r="D42" s="116">
        <f>'07.12'!D42+COUNTIF(D$11:D$40,$C42)</f>
        <v>5</v>
      </c>
      <c r="E42" s="116">
        <f>'07.12'!E42+COUNTIF(E$11:E$40,$C42)</f>
        <v>5</v>
      </c>
      <c r="F42" s="116">
        <f>'07.12'!F42+COUNTIF(F$11:F$40,$C42)</f>
        <v>5</v>
      </c>
      <c r="G42" s="116">
        <f>'07.12'!G42+COUNTIF(G$11:G$40,$C42)</f>
        <v>5</v>
      </c>
    </row>
    <row r="43" spans="1:7">
      <c r="B43" s="69">
        <v>11</v>
      </c>
      <c r="C43" s="115" t="str">
        <f>'01.09'!C43</f>
        <v>*Пр. Речевое общение в профессиональной деятельности*</v>
      </c>
      <c r="D43" s="116">
        <f>'07.12'!D43+COUNTIF(D$11:D$40,$C43)</f>
        <v>4</v>
      </c>
      <c r="E43" s="116">
        <f>'07.12'!E43+COUNTIF(E$11:E$40,$C43)</f>
        <v>4</v>
      </c>
      <c r="F43" s="116">
        <f>'07.12'!F43+COUNTIF(F$11:F$40,$C43)</f>
        <v>4</v>
      </c>
      <c r="G43" s="116">
        <f>'07.12'!G43+COUNTIF(G$11:G$40,$C43)</f>
        <v>4</v>
      </c>
    </row>
    <row r="44" spans="1:7">
      <c r="B44" s="69">
        <v>5</v>
      </c>
      <c r="C44" s="115" t="str">
        <f>'01.09'!C44</f>
        <v>*Л. Физическая культура и спорт*</v>
      </c>
      <c r="D44" s="116">
        <f>'07.12'!D44+COUNTIF(D$11:D$40,$C44)</f>
        <v>5</v>
      </c>
      <c r="E44" s="116">
        <f>'07.12'!E44+COUNTIF(E$11:E$40,$C44)</f>
        <v>5</v>
      </c>
      <c r="F44" s="116">
        <f>'07.12'!F44+COUNTIF(F$11:F$40,$C44)</f>
        <v>5</v>
      </c>
      <c r="G44" s="116">
        <f>'07.12'!G44+COUNTIF(G$11:G$40,$C44)</f>
        <v>5</v>
      </c>
    </row>
    <row r="45" spans="1:7">
      <c r="B45" s="69">
        <v>5</v>
      </c>
      <c r="C45" s="115" t="str">
        <f>'01.09'!C45</f>
        <v>*Пр. Физическая культура и спорт*</v>
      </c>
      <c r="D45" s="116">
        <f>'07.12'!D45+COUNTIF(D$11:D$40,$C45)</f>
        <v>5</v>
      </c>
      <c r="E45" s="116">
        <f>'07.12'!E45+COUNTIF(E$11:E$40,$C45)</f>
        <v>5</v>
      </c>
      <c r="F45" s="116">
        <f>'07.12'!F45+COUNTIF(F$11:F$40,$C45)</f>
        <v>5</v>
      </c>
      <c r="G45" s="116">
        <f>'07.12'!G45+COUNTIF(G$11:G$40,$C45)</f>
        <v>5</v>
      </c>
    </row>
    <row r="46" spans="1:7">
      <c r="B46" s="69">
        <v>4</v>
      </c>
      <c r="C46" s="115" t="str">
        <f>'01.09'!C46</f>
        <v>*Л. Анатомия*</v>
      </c>
      <c r="D46" s="116">
        <f>'07.12'!D46+COUNTIF(D$11:D$40,$C46)</f>
        <v>4</v>
      </c>
      <c r="E46" s="116">
        <f>'07.12'!E46+COUNTIF(E$11:E$40,$C46)</f>
        <v>4</v>
      </c>
      <c r="F46" s="116">
        <f>'07.12'!F46+COUNTIF(F$11:F$40,$C46)</f>
        <v>4</v>
      </c>
      <c r="G46" s="116">
        <f>'07.12'!G46+COUNTIF(G$11:G$40,$C46)</f>
        <v>4</v>
      </c>
    </row>
    <row r="47" spans="1:7">
      <c r="B47" s="69">
        <v>12</v>
      </c>
      <c r="C47" s="115" t="str">
        <f>'01.09'!C47</f>
        <v>*Пр. Анатомия*</v>
      </c>
      <c r="D47" s="116">
        <f>'07.12'!D47+COUNTIF(D$11:D$40,$C47)</f>
        <v>4</v>
      </c>
      <c r="E47" s="116">
        <f>'07.12'!E47+COUNTIF(E$11:E$40,$C47)</f>
        <v>4</v>
      </c>
      <c r="F47" s="116">
        <f>'07.12'!F47+COUNTIF(F$11:F$40,$C47)</f>
        <v>4</v>
      </c>
      <c r="G47" s="116">
        <f>'07.12'!G47+COUNTIF(G$11:G$40,$C47)</f>
        <v>4</v>
      </c>
    </row>
    <row r="48" spans="1:7">
      <c r="B48" s="69">
        <v>5</v>
      </c>
      <c r="C48" s="115" t="str">
        <f>'01.09'!C48</f>
        <v>*Л. Теория и методика*</v>
      </c>
      <c r="D48" s="116">
        <f>'07.12'!D48+COUNTIF(D$11:D$40,$C48)</f>
        <v>5</v>
      </c>
      <c r="E48" s="116">
        <f>'07.12'!E48+COUNTIF(E$11:E$40,$C48)</f>
        <v>5</v>
      </c>
      <c r="F48" s="116">
        <f>'07.12'!F48+COUNTIF(F$11:F$40,$C48)</f>
        <v>5</v>
      </c>
      <c r="G48" s="116">
        <f>'07.12'!G48+COUNTIF(G$11:G$40,$C48)</f>
        <v>5</v>
      </c>
    </row>
    <row r="49" spans="2:7">
      <c r="B49" s="69">
        <v>45</v>
      </c>
      <c r="C49" s="115" t="str">
        <f>'01.09'!C49</f>
        <v>*Пр. Теория и методика*</v>
      </c>
      <c r="D49" s="116">
        <f>'07.12'!D49+COUNTIF(D$11:D$40,$C49)</f>
        <v>24</v>
      </c>
      <c r="E49" s="116">
        <f>'07.12'!E49+COUNTIF(E$11:E$40,$C49)</f>
        <v>25</v>
      </c>
      <c r="F49" s="116">
        <f>'07.12'!F49+COUNTIF(F$11:F$40,$C49)</f>
        <v>25</v>
      </c>
      <c r="G49" s="116">
        <f>'07.12'!G49+COUNTIF(G$11:G$40,$C49)</f>
        <v>25</v>
      </c>
    </row>
    <row r="50" spans="2:7">
      <c r="B50" s="69">
        <v>2</v>
      </c>
      <c r="C50" s="115" t="str">
        <f>'01.09'!C50</f>
        <v>*Л. Информационные технологии*</v>
      </c>
      <c r="D50" s="116">
        <f>'07.12'!D50+COUNTIF(D$11:D$40,$C50)</f>
        <v>2</v>
      </c>
      <c r="E50" s="116">
        <f>'07.12'!E50+COUNTIF(E$11:E$40,$C50)</f>
        <v>2</v>
      </c>
      <c r="F50" s="116">
        <f>'07.12'!F50+COUNTIF(F$11:F$40,$C50)</f>
        <v>2</v>
      </c>
      <c r="G50" s="116">
        <f>'07.12'!G50+COUNTIF(G$11:G$40,$C50)</f>
        <v>2</v>
      </c>
    </row>
    <row r="51" spans="2:7">
      <c r="B51" s="69">
        <v>14</v>
      </c>
      <c r="C51" s="115" t="str">
        <f>'01.09'!C51</f>
        <v>*Пр. Информационные технологии*</v>
      </c>
      <c r="D51" s="116">
        <f>'07.12'!D51+COUNTIF(D$11:D$40,$C51)</f>
        <v>8</v>
      </c>
      <c r="E51" s="116">
        <f>'07.12'!E51+COUNTIF(E$11:E$40,$C51)</f>
        <v>8</v>
      </c>
      <c r="F51" s="116">
        <f>'07.12'!F51+COUNTIF(F$11:F$40,$C51)</f>
        <v>8</v>
      </c>
      <c r="G51" s="116">
        <f>'07.12'!G51+COUNTIF(G$11:G$40,$C51)</f>
        <v>8</v>
      </c>
    </row>
    <row r="52" spans="2:7">
      <c r="B52" s="69">
        <v>1</v>
      </c>
      <c r="C52" s="115" t="str">
        <f>'01.09'!C52</f>
        <v>*Л. Гимнастика*</v>
      </c>
      <c r="D52" s="116">
        <f>'07.12'!D52+COUNTIF(D$11:D$40,$C52)</f>
        <v>3</v>
      </c>
      <c r="E52" s="116">
        <f>'07.12'!E52+COUNTIF(E$11:E$40,$C52)</f>
        <v>3</v>
      </c>
      <c r="F52" s="116">
        <f>'07.12'!F52+COUNTIF(F$11:F$40,$C52)</f>
        <v>3</v>
      </c>
      <c r="G52" s="116">
        <f>'07.12'!G52+COUNTIF(G$11:G$40,$C52)</f>
        <v>3</v>
      </c>
    </row>
    <row r="53" spans="2:7">
      <c r="B53" s="69">
        <v>23</v>
      </c>
      <c r="C53" s="115" t="str">
        <f>'01.09'!C53</f>
        <v>*Пр. Гимнастика*</v>
      </c>
      <c r="D53" s="116">
        <f>'07.12'!D53+COUNTIF(D$11:D$40,$C53)</f>
        <v>13</v>
      </c>
      <c r="E53" s="116">
        <f>'07.12'!E53+COUNTIF(E$11:E$40,$C53)</f>
        <v>12</v>
      </c>
      <c r="F53" s="116">
        <f>'07.12'!F53+COUNTIF(F$11:F$40,$C53)</f>
        <v>12</v>
      </c>
      <c r="G53" s="116">
        <f>'07.12'!G53+COUNTIF(G$11:G$40,$C53)</f>
        <v>12</v>
      </c>
    </row>
    <row r="54" spans="2:7">
      <c r="B54" s="69">
        <v>3</v>
      </c>
      <c r="C54" s="115" t="str">
        <f>'01.09'!C54</f>
        <v>*Л. Элективные дисциплины по ФКиС: Подвижные игры*</v>
      </c>
      <c r="D54" s="116">
        <f>'07.12'!D54+COUNTIF(D$11:D$40,$C54)</f>
        <v>1</v>
      </c>
      <c r="E54" s="116">
        <f>'07.12'!E54+COUNTIF(E$11:E$40,$C54)</f>
        <v>1</v>
      </c>
      <c r="F54" s="116">
        <f>'07.12'!F54+COUNTIF(F$11:F$40,$C54)</f>
        <v>1</v>
      </c>
      <c r="G54" s="116">
        <f>'07.12'!G54+COUNTIF(G$11:G$40,$C54)</f>
        <v>1</v>
      </c>
    </row>
    <row r="55" spans="2:7">
      <c r="B55" s="69">
        <v>20</v>
      </c>
      <c r="C55" s="115" t="str">
        <f>'01.09'!C55</f>
        <v>*Пр. Элективные дисциплины по ФКиС: Подвижные игры*</v>
      </c>
      <c r="D55" s="116">
        <f>'07.12'!D55+COUNTIF(D$11:D$40,$C55)</f>
        <v>8</v>
      </c>
      <c r="E55" s="116">
        <f>'07.12'!E55+COUNTIF(E$11:E$40,$C55)</f>
        <v>8</v>
      </c>
      <c r="F55" s="116">
        <f>'07.12'!F55+COUNTIF(F$11:F$40,$C55)</f>
        <v>9</v>
      </c>
      <c r="G55" s="116">
        <f>'07.12'!G55+COUNTIF(G$11:G$40,$C55)</f>
        <v>9</v>
      </c>
    </row>
    <row r="56" spans="2:7">
      <c r="B56" s="84">
        <v>1</v>
      </c>
      <c r="C56" s="115" t="str">
        <f>'01.09'!C56</f>
        <v>*Л. Волейбол*</v>
      </c>
      <c r="D56" s="116">
        <f>'07.12'!D56+COUNTIF(D$11:D$40,$C56)</f>
        <v>1</v>
      </c>
      <c r="E56" s="116">
        <f>'07.12'!E56+COUNTIF(E$11:E$40,$C56)</f>
        <v>1</v>
      </c>
      <c r="F56" s="116">
        <f>'07.12'!F56+COUNTIF(F$11:F$40,$C56)</f>
        <v>1</v>
      </c>
      <c r="G56" s="116">
        <f>'07.12'!G56+COUNTIF(G$11:G$40,$C56)</f>
        <v>1</v>
      </c>
    </row>
    <row r="57" spans="2:7">
      <c r="B57" s="84">
        <v>9</v>
      </c>
      <c r="C57" s="115" t="str">
        <f>'01.09'!C57</f>
        <v>*Пр. Волейбол*</v>
      </c>
      <c r="D57" s="116">
        <f>'07.12'!D57+COUNTIF(D$11:D$40,$C57)</f>
        <v>16</v>
      </c>
      <c r="E57" s="116">
        <f>'07.12'!E57+COUNTIF(E$11:E$40,$C57)</f>
        <v>16</v>
      </c>
      <c r="F57" s="116">
        <f>'07.12'!F57+COUNTIF(F$11:F$40,$C57)</f>
        <v>16</v>
      </c>
      <c r="G57" s="116">
        <f>'07.12'!G57+COUNTIF(G$11:G$40,$C57)</f>
        <v>16</v>
      </c>
    </row>
    <row r="58" spans="2:7">
      <c r="B58" s="84">
        <v>16</v>
      </c>
      <c r="C58" s="115" t="str">
        <f>'01.09'!C58</f>
        <v>*Л. Лыжные гонки*</v>
      </c>
      <c r="D58" s="116">
        <f>'07.12'!D58+COUNTIF(D$11:D$40,$C58)</f>
        <v>0</v>
      </c>
      <c r="E58" s="116">
        <f>'07.12'!E58+COUNTIF(E$11:E$40,$C58)</f>
        <v>0</v>
      </c>
      <c r="F58" s="116">
        <f>'07.12'!F58+COUNTIF(F$11:F$40,$C58)</f>
        <v>0</v>
      </c>
      <c r="G58" s="116">
        <f>'07.12'!G58+COUNTIF(G$11:G$40,$C58)</f>
        <v>0</v>
      </c>
    </row>
    <row r="59" spans="2:7">
      <c r="B59" s="217">
        <v>1</v>
      </c>
      <c r="C59" s="115" t="str">
        <f>'01.09'!C59</f>
        <v>*Пр. Лыжные гонки*</v>
      </c>
      <c r="D59" s="116">
        <f>'07.12'!D59+COUNTIF(D$11:D$40,$C59)</f>
        <v>0</v>
      </c>
      <c r="E59" s="116">
        <f>'07.12'!E59+COUNTIF(E$11:E$40,$C59)</f>
        <v>0</v>
      </c>
      <c r="F59" s="116">
        <f>'07.12'!F59+COUNTIF(F$11:F$40,$C59)</f>
        <v>0</v>
      </c>
      <c r="G59" s="116">
        <f>'07.12'!G59+COUNTIF(G$11:G$40,$C59)</f>
        <v>0</v>
      </c>
    </row>
    <row r="60" spans="2:7">
      <c r="B60" s="217">
        <v>2</v>
      </c>
      <c r="C60" s="115" t="str">
        <f>'01.09'!C60</f>
        <v>*Л. Использование электронной*</v>
      </c>
      <c r="D60" s="116">
        <f>'07.12'!D60+COUNTIF(D$11:D$40,$C60)</f>
        <v>1</v>
      </c>
      <c r="E60" s="116">
        <f>'07.12'!E60+COUNTIF(E$11:E$40,$C60)</f>
        <v>0</v>
      </c>
      <c r="F60" s="116">
        <f>'07.12'!F60+COUNTIF(F$11:F$40,$C60)</f>
        <v>0</v>
      </c>
      <c r="G60" s="116">
        <f>'07.12'!G60+COUNTIF(G$11:G$40,$C60)</f>
        <v>0</v>
      </c>
    </row>
    <row r="61" spans="2:7">
      <c r="B61" s="84">
        <v>1</v>
      </c>
      <c r="C61" s="115" t="str">
        <f>'01.09'!C61</f>
        <v>*Пр. Использование электронной*</v>
      </c>
      <c r="D61" s="116">
        <f>'07.12'!D61+COUNTIF(D$11:D$40,$C61)</f>
        <v>2</v>
      </c>
      <c r="E61" s="116">
        <f>'07.12'!E61+COUNTIF(E$11:E$40,$C61)</f>
        <v>2</v>
      </c>
      <c r="F61" s="116">
        <f>'07.12'!F61+COUNTIF(F$11:F$40,$C61)</f>
        <v>2</v>
      </c>
      <c r="G61" s="116">
        <f>'07.12'!G61+COUNTIF(G$11:G$40,$C61)</f>
        <v>2</v>
      </c>
    </row>
    <row r="62" spans="2:7">
      <c r="B62" s="84">
        <v>31</v>
      </c>
      <c r="C62" s="115" t="str">
        <f>'01.09'!C62</f>
        <v>*Пр. Иностранный*</v>
      </c>
      <c r="D62" s="116">
        <f>'07.12'!D62+COUNTIF(D$11:D$40,$C62)</f>
        <v>8</v>
      </c>
      <c r="E62" s="116">
        <f>'07.12'!E62+COUNTIF(E$11:E$40,$C62)</f>
        <v>8</v>
      </c>
      <c r="F62" s="116">
        <f>'07.12'!F62+COUNTIF(F$11:F$40,$C62)</f>
        <v>8</v>
      </c>
      <c r="G62" s="116">
        <f>'07.12'!G62+COUNTIF(G$11:G$40,$C62)</f>
        <v>8</v>
      </c>
    </row>
    <row r="63" spans="2:7">
      <c r="C63" s="115">
        <f>'01.09'!C63</f>
        <v>0</v>
      </c>
      <c r="D63" s="116">
        <f>'07.12'!D63+COUNTIF(D$11:D$40,$C63)</f>
        <v>0</v>
      </c>
      <c r="E63" s="116">
        <f>'07.12'!E63+COUNTIF(E$11:E$40,$C63)</f>
        <v>0</v>
      </c>
      <c r="F63" s="116">
        <f>'07.12'!F63+COUNTIF(F$11:F$40,$C63)</f>
        <v>0</v>
      </c>
      <c r="G63" s="116">
        <f>'07.12'!G63+COUNTIF(G$11:G$40,$C63)</f>
        <v>0</v>
      </c>
    </row>
    <row r="64" spans="2:7">
      <c r="C64" s="115">
        <f>'01.09'!C64</f>
        <v>0</v>
      </c>
      <c r="D64" s="116">
        <f>'07.12'!D64+COUNTIF(D$11:D$40,$C64)</f>
        <v>0</v>
      </c>
      <c r="E64" s="116">
        <f>'07.12'!E64+COUNTIF(E$11:E$40,$C64)</f>
        <v>0</v>
      </c>
      <c r="F64" s="116">
        <f>'07.12'!F64+COUNTIF(F$11:F$40,$C64)</f>
        <v>0</v>
      </c>
      <c r="G64" s="116">
        <f>'07.12'!G64+COUNTIF(G$11:G$40,$C64)</f>
        <v>0</v>
      </c>
    </row>
    <row r="65" spans="3:7">
      <c r="C65" s="115">
        <f>'01.09'!C65</f>
        <v>0</v>
      </c>
      <c r="D65" s="116">
        <f>'07.12'!D65+COUNTIF(D$11:D$40,$C65)</f>
        <v>0</v>
      </c>
      <c r="E65" s="116">
        <f>'07.12'!E65+COUNTIF(E$11:E$40,$C65)</f>
        <v>0</v>
      </c>
      <c r="F65" s="116">
        <f>'07.12'!F65+COUNTIF(F$11:F$40,$C65)</f>
        <v>0</v>
      </c>
      <c r="G65" s="116">
        <f>'07.12'!G65+COUNTIF(G$11:G$40,$C65)</f>
        <v>0</v>
      </c>
    </row>
    <row r="66" spans="3:7">
      <c r="C66" s="115">
        <f>'01.09'!C66</f>
        <v>0</v>
      </c>
      <c r="D66" s="116">
        <f>'07.12'!D66+COUNTIF(D$11:D$40,$C66)</f>
        <v>0</v>
      </c>
      <c r="E66" s="116">
        <f>'07.12'!E66+COUNTIF(E$11:E$40,$C66)</f>
        <v>0</v>
      </c>
      <c r="F66" s="116">
        <f>'07.12'!F66+COUNTIF(F$11:F$40,$C66)</f>
        <v>0</v>
      </c>
      <c r="G66" s="116">
        <f>'07.12'!G66+COUNTIF(G$11:G$40,$C66)</f>
        <v>0</v>
      </c>
    </row>
    <row r="67" spans="3:7">
      <c r="C67" s="115">
        <f>'01.09'!C67</f>
        <v>0</v>
      </c>
      <c r="D67" s="116">
        <f>'07.12'!D67+COUNTIF(D$11:D$40,$C67)</f>
        <v>0</v>
      </c>
      <c r="E67" s="116">
        <f>'07.12'!E67+COUNTIF(E$11:E$40,$C67)</f>
        <v>0</v>
      </c>
      <c r="F67" s="116">
        <f>'07.12'!F67+COUNTIF(F$11:F$40,$C67)</f>
        <v>0</v>
      </c>
      <c r="G67" s="116">
        <f>'07.12'!G67+COUNTIF(G$11:G$40,$C67)</f>
        <v>0</v>
      </c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G67"/>
  <sheetViews>
    <sheetView view="pageBreakPreview" zoomScale="40" zoomScaleNormal="40" zoomScaleSheetLayoutView="40" zoomScalePageLayoutView="40" workbookViewId="0">
      <selection activeCell="F10" sqref="F10"/>
    </sheetView>
  </sheetViews>
  <sheetFormatPr defaultRowHeight="26.25"/>
  <cols>
    <col min="1" max="1" width="4.42578125" style="91" customWidth="1"/>
    <col min="2" max="2" width="7.85546875" style="91" customWidth="1"/>
    <col min="3" max="3" width="28.7109375" style="91" customWidth="1"/>
    <col min="4" max="7" width="73.140625" style="91" customWidth="1"/>
    <col min="8" max="16384" width="9.140625" style="91"/>
  </cols>
  <sheetData>
    <row r="1" spans="1:7" ht="25.5" customHeight="1">
      <c r="A1" s="84"/>
      <c r="B1" s="726" t="s">
        <v>182</v>
      </c>
      <c r="C1" s="726"/>
      <c r="D1" s="726"/>
      <c r="E1" s="726"/>
      <c r="F1" s="726"/>
      <c r="G1" s="726"/>
    </row>
    <row r="2" spans="1:7" ht="25.5" customHeight="1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26.25" customHeight="1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3.75" customHeight="1" thickBot="1">
      <c r="A8" s="104"/>
      <c r="B8" s="92"/>
      <c r="C8" s="92"/>
      <c r="D8" s="92"/>
      <c r="E8" s="92"/>
      <c r="F8" s="92"/>
      <c r="G8" s="92"/>
    </row>
    <row r="9" spans="1:7" ht="30" customHeight="1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90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83.25" customHeight="1">
      <c r="A11" s="778" t="s">
        <v>0</v>
      </c>
      <c r="B11" s="737">
        <v>46377</v>
      </c>
      <c r="C11" s="105" t="s">
        <v>5</v>
      </c>
      <c r="D11" s="519"/>
      <c r="E11" s="360"/>
      <c r="F11" s="360"/>
      <c r="G11" s="520"/>
    </row>
    <row r="12" spans="1:7" ht="83.25" customHeight="1">
      <c r="A12" s="781"/>
      <c r="B12" s="731"/>
      <c r="C12" s="106" t="s">
        <v>6</v>
      </c>
      <c r="D12" s="395"/>
      <c r="E12" s="396"/>
      <c r="F12" s="442"/>
      <c r="G12" s="397"/>
    </row>
    <row r="13" spans="1:7" ht="83.25" customHeight="1">
      <c r="A13" s="781"/>
      <c r="B13" s="731"/>
      <c r="C13" s="106" t="s">
        <v>7</v>
      </c>
      <c r="D13" s="395"/>
      <c r="E13" s="442"/>
      <c r="F13" s="442"/>
      <c r="G13" s="397"/>
    </row>
    <row r="14" spans="1:7" ht="83.25" customHeight="1">
      <c r="A14" s="781"/>
      <c r="B14" s="731"/>
      <c r="C14" s="106" t="s">
        <v>8</v>
      </c>
      <c r="D14" s="395"/>
      <c r="E14" s="442"/>
      <c r="F14" s="442"/>
      <c r="G14" s="397"/>
    </row>
    <row r="15" spans="1:7" ht="83.25" customHeight="1" thickBot="1">
      <c r="A15" s="782"/>
      <c r="B15" s="731"/>
      <c r="C15" s="107" t="s">
        <v>10</v>
      </c>
      <c r="D15" s="428"/>
      <c r="E15" s="557"/>
      <c r="F15" s="557"/>
      <c r="G15" s="429"/>
    </row>
    <row r="16" spans="1:7" ht="83.25" customHeight="1">
      <c r="A16" s="778" t="s">
        <v>1</v>
      </c>
      <c r="B16" s="734">
        <f>B11+1</f>
        <v>46378</v>
      </c>
      <c r="C16" s="105" t="s">
        <v>5</v>
      </c>
      <c r="D16" s="479"/>
      <c r="E16" s="404"/>
      <c r="F16" s="478"/>
      <c r="G16" s="476"/>
    </row>
    <row r="17" spans="1:7" ht="83.25" customHeight="1">
      <c r="A17" s="781"/>
      <c r="B17" s="731"/>
      <c r="C17" s="106" t="s">
        <v>6</v>
      </c>
      <c r="D17" s="364"/>
      <c r="E17" s="434"/>
      <c r="F17" s="434"/>
      <c r="G17" s="415"/>
    </row>
    <row r="18" spans="1:7" ht="83.25" customHeight="1">
      <c r="A18" s="781"/>
      <c r="B18" s="731"/>
      <c r="C18" s="106" t="s">
        <v>7</v>
      </c>
      <c r="D18" s="395"/>
      <c r="E18" s="442"/>
      <c r="F18" s="396"/>
      <c r="G18" s="435"/>
    </row>
    <row r="19" spans="1:7" ht="83.25" customHeight="1">
      <c r="A19" s="781"/>
      <c r="B19" s="731"/>
      <c r="C19" s="106" t="s">
        <v>8</v>
      </c>
      <c r="D19" s="522"/>
      <c r="E19" s="396"/>
      <c r="F19" s="444"/>
      <c r="G19" s="436"/>
    </row>
    <row r="20" spans="1:7" ht="83.25" customHeight="1" thickBot="1">
      <c r="A20" s="782"/>
      <c r="B20" s="731"/>
      <c r="C20" s="107" t="s">
        <v>10</v>
      </c>
      <c r="D20" s="399"/>
      <c r="E20" s="400"/>
      <c r="F20" s="400"/>
      <c r="G20" s="401"/>
    </row>
    <row r="21" spans="1:7" ht="83.25" customHeight="1">
      <c r="A21" s="778" t="s">
        <v>2</v>
      </c>
      <c r="B21" s="734">
        <f>B16+1</f>
        <v>46379</v>
      </c>
      <c r="C21" s="105" t="s">
        <v>5</v>
      </c>
      <c r="D21" s="254"/>
      <c r="E21" s="255"/>
      <c r="F21" s="255"/>
      <c r="G21" s="256"/>
    </row>
    <row r="22" spans="1:7" ht="83.25" customHeight="1">
      <c r="A22" s="781"/>
      <c r="B22" s="731"/>
      <c r="C22" s="106" t="s">
        <v>6</v>
      </c>
      <c r="D22" s="257"/>
      <c r="E22" s="258"/>
      <c r="F22" s="442"/>
      <c r="G22" s="248"/>
    </row>
    <row r="23" spans="1:7" ht="83.25" customHeight="1">
      <c r="A23" s="781"/>
      <c r="B23" s="731"/>
      <c r="C23" s="106" t="s">
        <v>7</v>
      </c>
      <c r="D23" s="395"/>
      <c r="E23" s="259"/>
      <c r="F23" s="258"/>
      <c r="G23" s="248"/>
    </row>
    <row r="24" spans="1:7" ht="83.25" customHeight="1">
      <c r="A24" s="781"/>
      <c r="B24" s="731"/>
      <c r="C24" s="106" t="s">
        <v>8</v>
      </c>
      <c r="D24" s="257"/>
      <c r="E24" s="258"/>
      <c r="F24" s="258"/>
      <c r="G24" s="248"/>
    </row>
    <row r="25" spans="1:7" ht="83.25" customHeight="1" thickBot="1">
      <c r="A25" s="782"/>
      <c r="B25" s="731"/>
      <c r="C25" s="107" t="s">
        <v>10</v>
      </c>
      <c r="D25" s="265"/>
      <c r="E25" s="315"/>
      <c r="F25" s="315"/>
      <c r="G25" s="316"/>
    </row>
    <row r="26" spans="1:7" ht="83.25" customHeight="1">
      <c r="A26" s="778" t="s">
        <v>3</v>
      </c>
      <c r="B26" s="734">
        <f>B21+1</f>
        <v>46380</v>
      </c>
      <c r="C26" s="105" t="s">
        <v>5</v>
      </c>
      <c r="D26" s="289"/>
      <c r="E26" s="329"/>
      <c r="F26" s="329"/>
      <c r="G26" s="334"/>
    </row>
    <row r="27" spans="1:7" ht="83.25" customHeight="1">
      <c r="A27" s="779"/>
      <c r="B27" s="731"/>
      <c r="C27" s="106" t="s">
        <v>6</v>
      </c>
      <c r="D27" s="335"/>
      <c r="E27" s="358"/>
      <c r="F27" s="358"/>
      <c r="G27" s="359"/>
    </row>
    <row r="28" spans="1:7" ht="83.25" customHeight="1">
      <c r="A28" s="779"/>
      <c r="B28" s="731"/>
      <c r="C28" s="106" t="s">
        <v>7</v>
      </c>
      <c r="D28" s="395"/>
      <c r="E28" s="434"/>
      <c r="F28" s="434"/>
      <c r="G28" s="415"/>
    </row>
    <row r="29" spans="1:7" ht="83.25" customHeight="1">
      <c r="A29" s="779"/>
      <c r="B29" s="731"/>
      <c r="C29" s="106" t="s">
        <v>8</v>
      </c>
      <c r="D29" s="395"/>
      <c r="E29" s="434"/>
      <c r="F29" s="442"/>
      <c r="G29" s="248"/>
    </row>
    <row r="30" spans="1:7" ht="83.25" customHeight="1" thickBot="1">
      <c r="A30" s="780"/>
      <c r="B30" s="731"/>
      <c r="C30" s="107" t="s">
        <v>10</v>
      </c>
      <c r="D30" s="265"/>
      <c r="E30" s="474"/>
      <c r="F30" s="474"/>
      <c r="G30" s="475"/>
    </row>
    <row r="31" spans="1:7" ht="83.25" customHeight="1">
      <c r="A31" s="778" t="s">
        <v>4</v>
      </c>
      <c r="B31" s="734">
        <f>B26+1</f>
        <v>46381</v>
      </c>
      <c r="C31" s="105" t="s">
        <v>5</v>
      </c>
      <c r="D31" s="254"/>
      <c r="E31" s="255"/>
      <c r="F31" s="255"/>
      <c r="G31" s="334"/>
    </row>
    <row r="32" spans="1:7" ht="83.25" customHeight="1">
      <c r="A32" s="781"/>
      <c r="B32" s="731"/>
      <c r="C32" s="106" t="s">
        <v>6</v>
      </c>
      <c r="D32" s="257"/>
      <c r="E32" s="358"/>
      <c r="F32" s="259"/>
      <c r="G32" s="397"/>
    </row>
    <row r="33" spans="1:7" ht="83.25" customHeight="1">
      <c r="A33" s="781"/>
      <c r="B33" s="731"/>
      <c r="C33" s="106" t="s">
        <v>7</v>
      </c>
      <c r="D33" s="257"/>
      <c r="E33" s="285"/>
      <c r="F33" s="258"/>
      <c r="G33" s="397"/>
    </row>
    <row r="34" spans="1:7" ht="83.25" customHeight="1">
      <c r="A34" s="781"/>
      <c r="B34" s="731"/>
      <c r="C34" s="106" t="s">
        <v>8</v>
      </c>
      <c r="D34" s="257"/>
      <c r="E34" s="285"/>
      <c r="F34" s="258"/>
      <c r="G34" s="248"/>
    </row>
    <row r="35" spans="1:7" ht="83.25" customHeight="1" thickBot="1">
      <c r="A35" s="782"/>
      <c r="B35" s="731"/>
      <c r="C35" s="107" t="s">
        <v>10</v>
      </c>
      <c r="D35" s="362"/>
      <c r="E35" s="363"/>
      <c r="F35" s="315"/>
      <c r="G35" s="445"/>
    </row>
    <row r="36" spans="1:7" ht="50.25" customHeight="1">
      <c r="A36" s="731" t="s">
        <v>18</v>
      </c>
      <c r="B36" s="734">
        <f>B31+1</f>
        <v>46382</v>
      </c>
      <c r="C36" s="105" t="s">
        <v>5</v>
      </c>
      <c r="D36" s="325"/>
      <c r="E36" s="326"/>
      <c r="F36" s="481"/>
      <c r="G36" s="398"/>
    </row>
    <row r="37" spans="1:7" ht="50.25" customHeight="1">
      <c r="A37" s="731"/>
      <c r="B37" s="731"/>
      <c r="C37" s="106" t="s">
        <v>6</v>
      </c>
      <c r="D37" s="257"/>
      <c r="E37" s="259"/>
      <c r="F37" s="258"/>
      <c r="G37" s="248"/>
    </row>
    <row r="38" spans="1:7" ht="50.25" customHeight="1">
      <c r="A38" s="731"/>
      <c r="B38" s="731"/>
      <c r="C38" s="106" t="s">
        <v>7</v>
      </c>
      <c r="D38" s="332"/>
      <c r="E38" s="259"/>
      <c r="F38" s="259"/>
      <c r="G38" s="248"/>
    </row>
    <row r="39" spans="1:7" ht="50.25" customHeight="1">
      <c r="A39" s="731"/>
      <c r="B39" s="731"/>
      <c r="C39" s="106" t="s">
        <v>8</v>
      </c>
      <c r="D39" s="257"/>
      <c r="E39" s="258"/>
      <c r="F39" s="259"/>
      <c r="G39" s="248"/>
    </row>
    <row r="40" spans="1:7" ht="50.25" customHeight="1" thickBot="1">
      <c r="A40" s="777"/>
      <c r="B40" s="777"/>
      <c r="C40" s="107" t="s">
        <v>10</v>
      </c>
      <c r="D40" s="265"/>
      <c r="E40" s="315"/>
      <c r="F40" s="315"/>
      <c r="G40" s="316"/>
    </row>
    <row r="41" spans="1:7" ht="30.75">
      <c r="D41" s="215" t="s">
        <v>120</v>
      </c>
    </row>
    <row r="42" spans="1:7">
      <c r="B42" s="69">
        <v>5</v>
      </c>
      <c r="C42" s="115" t="str">
        <f>'01.09'!C42</f>
        <v>*Л. Речевое общение в профессиональной деятельности*</v>
      </c>
      <c r="D42" s="116">
        <f>'14.12'!D42+COUNTIF(D$11:D$40,$C42)</f>
        <v>5</v>
      </c>
      <c r="E42" s="116">
        <f>'14.12'!E42+COUNTIF(E$11:E$40,$C42)</f>
        <v>5</v>
      </c>
      <c r="F42" s="116">
        <f>'14.12'!F42+COUNTIF(F$11:F$40,$C42)</f>
        <v>5</v>
      </c>
      <c r="G42" s="116">
        <f>'14.12'!G42+COUNTIF(G$11:G$40,$C42)</f>
        <v>5</v>
      </c>
    </row>
    <row r="43" spans="1:7">
      <c r="B43" s="69">
        <v>11</v>
      </c>
      <c r="C43" s="115" t="str">
        <f>'01.09'!C43</f>
        <v>*Пр. Речевое общение в профессиональной деятельности*</v>
      </c>
      <c r="D43" s="116">
        <f>'14.12'!D43+COUNTIF(D$11:D$40,$C43)</f>
        <v>4</v>
      </c>
      <c r="E43" s="116">
        <f>'14.12'!E43+COUNTIF(E$11:E$40,$C43)</f>
        <v>4</v>
      </c>
      <c r="F43" s="116">
        <f>'14.12'!F43+COUNTIF(F$11:F$40,$C43)</f>
        <v>4</v>
      </c>
      <c r="G43" s="116">
        <f>'14.12'!G43+COUNTIF(G$11:G$40,$C43)</f>
        <v>4</v>
      </c>
    </row>
    <row r="44" spans="1:7">
      <c r="B44" s="69">
        <v>5</v>
      </c>
      <c r="C44" s="115" t="str">
        <f>'01.09'!C44</f>
        <v>*Л. Физическая культура и спорт*</v>
      </c>
      <c r="D44" s="116">
        <f>'14.12'!D44+COUNTIF(D$11:D$40,$C44)</f>
        <v>5</v>
      </c>
      <c r="E44" s="116">
        <f>'14.12'!E44+COUNTIF(E$11:E$40,$C44)</f>
        <v>5</v>
      </c>
      <c r="F44" s="116">
        <f>'14.12'!F44+COUNTIF(F$11:F$40,$C44)</f>
        <v>5</v>
      </c>
      <c r="G44" s="116">
        <f>'14.12'!G44+COUNTIF(G$11:G$40,$C44)</f>
        <v>5</v>
      </c>
    </row>
    <row r="45" spans="1:7">
      <c r="B45" s="69">
        <v>5</v>
      </c>
      <c r="C45" s="115" t="str">
        <f>'01.09'!C45</f>
        <v>*Пр. Физическая культура и спорт*</v>
      </c>
      <c r="D45" s="116">
        <f>'14.12'!D45+COUNTIF(D$11:D$40,$C45)</f>
        <v>5</v>
      </c>
      <c r="E45" s="116">
        <f>'14.12'!E45+COUNTIF(E$11:E$40,$C45)</f>
        <v>5</v>
      </c>
      <c r="F45" s="116">
        <f>'14.12'!F45+COUNTIF(F$11:F$40,$C45)</f>
        <v>5</v>
      </c>
      <c r="G45" s="116">
        <f>'14.12'!G45+COUNTIF(G$11:G$40,$C45)</f>
        <v>5</v>
      </c>
    </row>
    <row r="46" spans="1:7">
      <c r="B46" s="69">
        <v>4</v>
      </c>
      <c r="C46" s="115" t="str">
        <f>'01.09'!C46</f>
        <v>*Л. Анатомия*</v>
      </c>
      <c r="D46" s="116">
        <f>'14.12'!D46+COUNTIF(D$11:D$40,$C46)</f>
        <v>4</v>
      </c>
      <c r="E46" s="116">
        <f>'14.12'!E46+COUNTIF(E$11:E$40,$C46)</f>
        <v>4</v>
      </c>
      <c r="F46" s="116">
        <f>'14.12'!F46+COUNTIF(F$11:F$40,$C46)</f>
        <v>4</v>
      </c>
      <c r="G46" s="116">
        <f>'14.12'!G46+COUNTIF(G$11:G$40,$C46)</f>
        <v>4</v>
      </c>
    </row>
    <row r="47" spans="1:7">
      <c r="B47" s="69">
        <v>12</v>
      </c>
      <c r="C47" s="115" t="str">
        <f>'01.09'!C47</f>
        <v>*Пр. Анатомия*</v>
      </c>
      <c r="D47" s="116">
        <f>'14.12'!D47+COUNTIF(D$11:D$40,$C47)</f>
        <v>4</v>
      </c>
      <c r="E47" s="116">
        <f>'14.12'!E47+COUNTIF(E$11:E$40,$C47)</f>
        <v>4</v>
      </c>
      <c r="F47" s="116">
        <f>'14.12'!F47+COUNTIF(F$11:F$40,$C47)</f>
        <v>4</v>
      </c>
      <c r="G47" s="116">
        <f>'14.12'!G47+COUNTIF(G$11:G$40,$C47)</f>
        <v>4</v>
      </c>
    </row>
    <row r="48" spans="1:7">
      <c r="B48" s="69">
        <v>5</v>
      </c>
      <c r="C48" s="115" t="str">
        <f>'01.09'!C48</f>
        <v>*Л. Теория и методика*</v>
      </c>
      <c r="D48" s="116">
        <f>'14.12'!D48+COUNTIF(D$11:D$40,$C48)</f>
        <v>5</v>
      </c>
      <c r="E48" s="116">
        <f>'14.12'!E48+COUNTIF(E$11:E$40,$C48)</f>
        <v>5</v>
      </c>
      <c r="F48" s="116">
        <f>'14.12'!F48+COUNTIF(F$11:F$40,$C48)</f>
        <v>5</v>
      </c>
      <c r="G48" s="116">
        <f>'14.12'!G48+COUNTIF(G$11:G$40,$C48)</f>
        <v>5</v>
      </c>
    </row>
    <row r="49" spans="2:7">
      <c r="B49" s="69">
        <v>45</v>
      </c>
      <c r="C49" s="115" t="str">
        <f>'01.09'!C49</f>
        <v>*Пр. Теория и методика*</v>
      </c>
      <c r="D49" s="116">
        <f>'14.12'!D49+COUNTIF(D$11:D$40,$C49)</f>
        <v>24</v>
      </c>
      <c r="E49" s="116">
        <f>'14.12'!E49+COUNTIF(E$11:E$40,$C49)</f>
        <v>25</v>
      </c>
      <c r="F49" s="116">
        <f>'14.12'!F49+COUNTIF(F$11:F$40,$C49)</f>
        <v>25</v>
      </c>
      <c r="G49" s="116">
        <f>'14.12'!G49+COUNTIF(G$11:G$40,$C49)</f>
        <v>25</v>
      </c>
    </row>
    <row r="50" spans="2:7">
      <c r="B50" s="69">
        <v>2</v>
      </c>
      <c r="C50" s="115" t="str">
        <f>'01.09'!C50</f>
        <v>*Л. Информационные технологии*</v>
      </c>
      <c r="D50" s="116">
        <f>'14.12'!D50+COUNTIF(D$11:D$40,$C50)</f>
        <v>2</v>
      </c>
      <c r="E50" s="116">
        <f>'14.12'!E50+COUNTIF(E$11:E$40,$C50)</f>
        <v>2</v>
      </c>
      <c r="F50" s="116">
        <f>'14.12'!F50+COUNTIF(F$11:F$40,$C50)</f>
        <v>2</v>
      </c>
      <c r="G50" s="116">
        <f>'14.12'!G50+COUNTIF(G$11:G$40,$C50)</f>
        <v>2</v>
      </c>
    </row>
    <row r="51" spans="2:7">
      <c r="B51" s="69">
        <v>14</v>
      </c>
      <c r="C51" s="115" t="str">
        <f>'01.09'!C51</f>
        <v>*Пр. Информационные технологии*</v>
      </c>
      <c r="D51" s="116">
        <f>'14.12'!D51+COUNTIF(D$11:D$40,$C51)</f>
        <v>8</v>
      </c>
      <c r="E51" s="116">
        <f>'14.12'!E51+COUNTIF(E$11:E$40,$C51)</f>
        <v>8</v>
      </c>
      <c r="F51" s="116">
        <f>'14.12'!F51+COUNTIF(F$11:F$40,$C51)</f>
        <v>8</v>
      </c>
      <c r="G51" s="116">
        <f>'14.12'!G51+COUNTIF(G$11:G$40,$C51)</f>
        <v>8</v>
      </c>
    </row>
    <row r="52" spans="2:7">
      <c r="B52" s="69">
        <v>3</v>
      </c>
      <c r="C52" s="115" t="str">
        <f>'01.09'!C52</f>
        <v>*Л. Гимнастика*</v>
      </c>
      <c r="D52" s="116">
        <f>'14.12'!D52+COUNTIF(D$11:D$40,$C52)</f>
        <v>3</v>
      </c>
      <c r="E52" s="116">
        <f>'14.12'!E52+COUNTIF(E$11:E$40,$C52)</f>
        <v>3</v>
      </c>
      <c r="F52" s="116">
        <f>'14.12'!F52+COUNTIF(F$11:F$40,$C52)</f>
        <v>3</v>
      </c>
      <c r="G52" s="116">
        <f>'14.12'!G52+COUNTIF(G$11:G$40,$C52)</f>
        <v>3</v>
      </c>
    </row>
    <row r="53" spans="2:7">
      <c r="B53" s="69">
        <v>20</v>
      </c>
      <c r="C53" s="115" t="str">
        <f>'01.09'!C53</f>
        <v>*Пр. Гимнастика*</v>
      </c>
      <c r="D53" s="116">
        <f>'14.12'!D53+COUNTIF(D$11:D$40,$C53)</f>
        <v>13</v>
      </c>
      <c r="E53" s="116">
        <f>'14.12'!E53+COUNTIF(E$11:E$40,$C53)</f>
        <v>12</v>
      </c>
      <c r="F53" s="116">
        <f>'14.12'!F53+COUNTIF(F$11:F$40,$C53)</f>
        <v>12</v>
      </c>
      <c r="G53" s="116">
        <f>'14.12'!G53+COUNTIF(G$11:G$40,$C53)</f>
        <v>12</v>
      </c>
    </row>
    <row r="54" spans="2:7">
      <c r="B54" s="69">
        <v>1</v>
      </c>
      <c r="C54" s="115" t="str">
        <f>'01.09'!C54</f>
        <v>*Л. Элективные дисциплины по ФКиС: Подвижные игры*</v>
      </c>
      <c r="D54" s="116">
        <f>'14.12'!D54+COUNTIF(D$11:D$40,$C54)</f>
        <v>1</v>
      </c>
      <c r="E54" s="116">
        <f>'14.12'!E54+COUNTIF(E$11:E$40,$C54)</f>
        <v>1</v>
      </c>
      <c r="F54" s="116">
        <f>'14.12'!F54+COUNTIF(F$11:F$40,$C54)</f>
        <v>1</v>
      </c>
      <c r="G54" s="116">
        <f>'14.12'!G54+COUNTIF(G$11:G$40,$C54)</f>
        <v>1</v>
      </c>
    </row>
    <row r="55" spans="2:7">
      <c r="B55" s="69">
        <v>23</v>
      </c>
      <c r="C55" s="115" t="str">
        <f>'01.09'!C55</f>
        <v>*Пр. Элективные дисциплины по ФКиС: Подвижные игры*</v>
      </c>
      <c r="D55" s="116">
        <f>'14.12'!D55+COUNTIF(D$11:D$40,$C55)</f>
        <v>8</v>
      </c>
      <c r="E55" s="116">
        <f>'14.12'!E55+COUNTIF(E$11:E$40,$C55)</f>
        <v>8</v>
      </c>
      <c r="F55" s="116">
        <f>'14.12'!F55+COUNTIF(F$11:F$40,$C55)</f>
        <v>9</v>
      </c>
      <c r="G55" s="116">
        <f>'14.12'!G55+COUNTIF(G$11:G$40,$C55)</f>
        <v>9</v>
      </c>
    </row>
    <row r="56" spans="2:7">
      <c r="B56" s="84">
        <v>1</v>
      </c>
      <c r="C56" s="115" t="str">
        <f>'01.09'!C56</f>
        <v>*Л. Волейбол*</v>
      </c>
      <c r="D56" s="116">
        <f>'14.12'!D56+COUNTIF(D$11:D$40,$C56)</f>
        <v>1</v>
      </c>
      <c r="E56" s="116">
        <f>'14.12'!E56+COUNTIF(E$11:E$40,$C56)</f>
        <v>1</v>
      </c>
      <c r="F56" s="116">
        <f>'14.12'!F56+COUNTIF(F$11:F$40,$C56)</f>
        <v>1</v>
      </c>
      <c r="G56" s="116">
        <f>'14.12'!G56+COUNTIF(G$11:G$40,$C56)</f>
        <v>1</v>
      </c>
    </row>
    <row r="57" spans="2:7">
      <c r="B57" s="84">
        <v>9</v>
      </c>
      <c r="C57" s="115" t="str">
        <f>'01.09'!C57</f>
        <v>*Пр. Волейбол*</v>
      </c>
      <c r="D57" s="116">
        <f>'14.12'!D57+COUNTIF(D$11:D$40,$C57)</f>
        <v>16</v>
      </c>
      <c r="E57" s="116">
        <f>'14.12'!E57+COUNTIF(E$11:E$40,$C57)</f>
        <v>16</v>
      </c>
      <c r="F57" s="116">
        <f>'14.12'!F57+COUNTIF(F$11:F$40,$C57)</f>
        <v>16</v>
      </c>
      <c r="G57" s="116">
        <f>'14.12'!G57+COUNTIF(G$11:G$40,$C57)</f>
        <v>16</v>
      </c>
    </row>
    <row r="58" spans="2:7">
      <c r="B58" s="84">
        <v>1</v>
      </c>
      <c r="C58" s="115" t="str">
        <f>'01.09'!C58</f>
        <v>*Л. Лыжные гонки*</v>
      </c>
      <c r="D58" s="116">
        <f>'14.12'!D58+COUNTIF(D$11:D$40,$C58)</f>
        <v>0</v>
      </c>
      <c r="E58" s="116">
        <f>'14.12'!E58+COUNTIF(E$11:E$40,$C58)</f>
        <v>0</v>
      </c>
      <c r="F58" s="116">
        <f>'14.12'!F58+COUNTIF(F$11:F$40,$C58)</f>
        <v>0</v>
      </c>
      <c r="G58" s="116">
        <f>'14.12'!G58+COUNTIF(G$11:G$40,$C58)</f>
        <v>0</v>
      </c>
    </row>
    <row r="59" spans="2:7">
      <c r="B59" s="217">
        <v>31</v>
      </c>
      <c r="C59" s="115" t="str">
        <f>'01.09'!C59</f>
        <v>*Пр. Лыжные гонки*</v>
      </c>
      <c r="D59" s="116">
        <f>'14.12'!D59+COUNTIF(D$11:D$40,$C59)</f>
        <v>0</v>
      </c>
      <c r="E59" s="116">
        <f>'14.12'!E59+COUNTIF(E$11:E$40,$C59)</f>
        <v>0</v>
      </c>
      <c r="F59" s="116">
        <f>'14.12'!F59+COUNTIF(F$11:F$40,$C59)</f>
        <v>0</v>
      </c>
      <c r="G59" s="116">
        <f>'14.12'!G59+COUNTIF(G$11:G$40,$C59)</f>
        <v>0</v>
      </c>
    </row>
    <row r="60" spans="2:7">
      <c r="B60" s="84">
        <v>16</v>
      </c>
      <c r="C60" s="115" t="str">
        <f>'01.09'!C60</f>
        <v>*Л. Использование электронной*</v>
      </c>
      <c r="D60" s="116">
        <f>'14.12'!D60+COUNTIF(D$11:D$40,$C60)</f>
        <v>1</v>
      </c>
      <c r="E60" s="116">
        <f>'14.12'!E60+COUNTIF(E$11:E$40,$C60)</f>
        <v>0</v>
      </c>
      <c r="F60" s="116">
        <f>'14.12'!F60+COUNTIF(F$11:F$40,$C60)</f>
        <v>0</v>
      </c>
      <c r="G60" s="116">
        <f>'14.12'!G60+COUNTIF(G$11:G$40,$C60)</f>
        <v>0</v>
      </c>
    </row>
    <row r="61" spans="2:7">
      <c r="B61" s="91">
        <v>1</v>
      </c>
      <c r="C61" s="115" t="str">
        <f>'01.09'!C61</f>
        <v>*Пр. Использование электронной*</v>
      </c>
      <c r="D61" s="116">
        <f>'14.12'!D61+COUNTIF(D$11:D$40,$C61)</f>
        <v>2</v>
      </c>
      <c r="E61" s="116">
        <f>'14.12'!E61+COUNTIF(E$11:E$40,$C61)</f>
        <v>2</v>
      </c>
      <c r="F61" s="116">
        <f>'14.12'!F61+COUNTIF(F$11:F$40,$C61)</f>
        <v>2</v>
      </c>
      <c r="G61" s="116">
        <f>'14.12'!G61+COUNTIF(G$11:G$40,$C61)</f>
        <v>2</v>
      </c>
    </row>
    <row r="62" spans="2:7">
      <c r="B62" s="91">
        <v>2</v>
      </c>
      <c r="C62" s="115" t="str">
        <f>'01.09'!C62</f>
        <v>*Пр. Иностранный*</v>
      </c>
      <c r="D62" s="116">
        <f>'14.12'!D62+COUNTIF(D$11:D$40,$C62)</f>
        <v>8</v>
      </c>
      <c r="E62" s="116">
        <f>'14.12'!E62+COUNTIF(E$11:E$40,$C62)</f>
        <v>8</v>
      </c>
      <c r="F62" s="116">
        <f>'14.12'!F62+COUNTIF(F$11:F$40,$C62)</f>
        <v>8</v>
      </c>
      <c r="G62" s="116">
        <f>'14.12'!G62+COUNTIF(G$11:G$40,$C62)</f>
        <v>8</v>
      </c>
    </row>
    <row r="63" spans="2:7">
      <c r="C63" s="115">
        <f>'01.09'!C63</f>
        <v>0</v>
      </c>
      <c r="D63" s="116">
        <f>'14.12'!D63+COUNTIF(D$11:D$40,$C63)</f>
        <v>0</v>
      </c>
      <c r="E63" s="116">
        <f>'14.12'!E63+COUNTIF(E$11:E$40,$C63)</f>
        <v>0</v>
      </c>
      <c r="F63" s="116">
        <f>'14.12'!F63+COUNTIF(F$11:F$40,$C63)</f>
        <v>0</v>
      </c>
      <c r="G63" s="116">
        <f>'14.12'!G63+COUNTIF(G$11:G$40,$C63)</f>
        <v>0</v>
      </c>
    </row>
    <row r="64" spans="2:7">
      <c r="C64" s="115">
        <f>'01.09'!C64</f>
        <v>0</v>
      </c>
      <c r="D64" s="116">
        <f>'14.12'!D64+COUNTIF(D$11:D$40,$C64)</f>
        <v>0</v>
      </c>
      <c r="E64" s="116">
        <f>'14.12'!E64+COUNTIF(E$11:E$40,$C64)</f>
        <v>0</v>
      </c>
      <c r="F64" s="116">
        <f>'14.12'!F64+COUNTIF(F$11:F$40,$C64)</f>
        <v>0</v>
      </c>
      <c r="G64" s="116">
        <f>'14.12'!G64+COUNTIF(G$11:G$40,$C64)</f>
        <v>0</v>
      </c>
    </row>
    <row r="65" spans="3:7">
      <c r="C65" s="115">
        <f>'01.09'!C65</f>
        <v>0</v>
      </c>
      <c r="D65" s="116">
        <f>'14.12'!D65+COUNTIF(D$11:D$40,$C65)</f>
        <v>0</v>
      </c>
      <c r="E65" s="116">
        <f>'14.12'!E65+COUNTIF(E$11:E$40,$C65)</f>
        <v>0</v>
      </c>
      <c r="F65" s="116">
        <f>'14.12'!F65+COUNTIF(F$11:F$40,$C65)</f>
        <v>0</v>
      </c>
      <c r="G65" s="116">
        <f>'14.12'!G65+COUNTIF(G$11:G$40,$C65)</f>
        <v>0</v>
      </c>
    </row>
    <row r="66" spans="3:7">
      <c r="C66" s="115">
        <f>'01.09'!C66</f>
        <v>0</v>
      </c>
      <c r="D66" s="116">
        <f>'14.12'!D66+COUNTIF(D$11:D$40,$C66)</f>
        <v>0</v>
      </c>
      <c r="E66" s="116">
        <f>'14.12'!E66+COUNTIF(E$11:E$40,$C66)</f>
        <v>0</v>
      </c>
      <c r="F66" s="116">
        <f>'14.12'!F66+COUNTIF(F$11:F$40,$C66)</f>
        <v>0</v>
      </c>
      <c r="G66" s="116">
        <f>'14.12'!G66+COUNTIF(G$11:G$40,$C66)</f>
        <v>0</v>
      </c>
    </row>
    <row r="67" spans="3:7">
      <c r="C67" s="115">
        <f>'01.09'!C67</f>
        <v>0</v>
      </c>
      <c r="D67" s="116">
        <f>'14.12'!D67+COUNTIF(D$11:D$40,$C67)</f>
        <v>0</v>
      </c>
      <c r="E67" s="116">
        <f>'14.12'!E67+COUNTIF(E$11:E$40,$C67)</f>
        <v>0</v>
      </c>
      <c r="F67" s="116">
        <f>'14.12'!F67+COUNTIF(F$11:F$40,$C67)</f>
        <v>0</v>
      </c>
      <c r="G67" s="116">
        <f>'14.12'!G67+COUNTIF(G$11:G$40,$C67)</f>
        <v>0</v>
      </c>
    </row>
  </sheetData>
  <mergeCells count="22"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G76"/>
  <sheetViews>
    <sheetView view="pageBreakPreview" topLeftCell="A40" zoomScale="40" zoomScaleNormal="40" zoomScaleSheetLayoutView="40" zoomScalePageLayoutView="40" workbookViewId="0">
      <selection activeCell="G66" sqref="G66"/>
    </sheetView>
  </sheetViews>
  <sheetFormatPr defaultRowHeight="26.25"/>
  <cols>
    <col min="1" max="1" width="4.42578125" style="84" customWidth="1"/>
    <col min="2" max="2" width="7.7109375" style="84" customWidth="1"/>
    <col min="3" max="3" width="28" style="84" customWidth="1"/>
    <col min="4" max="7" width="73.140625" style="84" customWidth="1"/>
    <col min="8" max="16384" width="9.140625" style="84"/>
  </cols>
  <sheetData>
    <row r="1" spans="1:7" ht="30"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296</v>
      </c>
      <c r="C7" s="728"/>
      <c r="D7" s="728"/>
      <c r="E7" s="728"/>
      <c r="F7" s="728"/>
      <c r="G7" s="728"/>
    </row>
    <row r="8" spans="1:7" ht="6.75" customHeight="1" thickBot="1">
      <c r="A8" s="89"/>
      <c r="B8" s="89"/>
      <c r="C8" s="89"/>
      <c r="D8" s="89"/>
      <c r="E8" s="89"/>
      <c r="F8" s="89"/>
      <c r="G8" s="89"/>
    </row>
    <row r="9" spans="1:7" ht="27" thickBot="1">
      <c r="A9" s="789" t="s">
        <v>76</v>
      </c>
      <c r="B9" s="789" t="s">
        <v>9</v>
      </c>
      <c r="C9" s="791" t="s">
        <v>77</v>
      </c>
      <c r="D9" s="606" t="s">
        <v>301</v>
      </c>
      <c r="E9" s="607" t="s">
        <v>11</v>
      </c>
      <c r="F9" s="607" t="s">
        <v>12</v>
      </c>
      <c r="G9" s="608" t="s">
        <v>153</v>
      </c>
    </row>
    <row r="10" spans="1:7" ht="84" customHeight="1" thickBot="1">
      <c r="A10" s="790"/>
      <c r="B10" s="790"/>
      <c r="C10" s="792"/>
      <c r="D10" s="609" t="s">
        <v>294</v>
      </c>
      <c r="E10" s="610" t="s">
        <v>125</v>
      </c>
      <c r="F10" s="611" t="s">
        <v>321</v>
      </c>
      <c r="G10" s="612" t="s">
        <v>293</v>
      </c>
    </row>
    <row r="11" spans="1:7" ht="76.5" customHeight="1">
      <c r="A11" s="774" t="s">
        <v>0</v>
      </c>
      <c r="B11" s="716">
        <v>46384</v>
      </c>
      <c r="C11" s="46" t="s">
        <v>5</v>
      </c>
      <c r="D11" s="519"/>
      <c r="E11" s="360"/>
      <c r="F11" s="360"/>
      <c r="G11" s="520"/>
    </row>
    <row r="12" spans="1:7" ht="76.5" customHeight="1">
      <c r="A12" s="775"/>
      <c r="B12" s="707"/>
      <c r="C12" s="47" t="s">
        <v>6</v>
      </c>
      <c r="D12" s="395"/>
      <c r="E12" s="477"/>
      <c r="F12" s="442"/>
      <c r="G12" s="397"/>
    </row>
    <row r="13" spans="1:7" ht="76.5" customHeight="1">
      <c r="A13" s="775"/>
      <c r="B13" s="707"/>
      <c r="C13" s="47" t="s">
        <v>7</v>
      </c>
      <c r="D13" s="395"/>
      <c r="E13" s="477"/>
      <c r="F13" s="442"/>
      <c r="G13" s="397"/>
    </row>
    <row r="14" spans="1:7" ht="76.5" customHeight="1">
      <c r="A14" s="775"/>
      <c r="B14" s="707"/>
      <c r="C14" s="47" t="s">
        <v>8</v>
      </c>
      <c r="D14" s="395"/>
      <c r="E14" s="442"/>
      <c r="F14" s="442"/>
      <c r="G14" s="397"/>
    </row>
    <row r="15" spans="1:7" ht="76.5" customHeight="1" thickBot="1">
      <c r="A15" s="775"/>
      <c r="B15" s="707"/>
      <c r="C15" s="48" t="s">
        <v>10</v>
      </c>
      <c r="D15" s="546"/>
      <c r="E15" s="547"/>
      <c r="F15" s="547"/>
      <c r="G15" s="548"/>
    </row>
    <row r="16" spans="1:7" ht="76.5" customHeight="1">
      <c r="A16" s="774" t="s">
        <v>1</v>
      </c>
      <c r="B16" s="709">
        <f>B11+1</f>
        <v>46385</v>
      </c>
      <c r="C16" s="46" t="s">
        <v>5</v>
      </c>
      <c r="D16" s="479"/>
      <c r="E16" s="404"/>
      <c r="F16" s="478"/>
      <c r="G16" s="476"/>
    </row>
    <row r="17" spans="1:7" ht="76.5" customHeight="1">
      <c r="A17" s="775"/>
      <c r="B17" s="707"/>
      <c r="C17" s="47" t="s">
        <v>6</v>
      </c>
      <c r="D17" s="364"/>
      <c r="E17" s="477"/>
      <c r="F17" s="477"/>
      <c r="G17" s="415"/>
    </row>
    <row r="18" spans="1:7" ht="76.5" customHeight="1">
      <c r="A18" s="775"/>
      <c r="B18" s="707"/>
      <c r="C18" s="47" t="s">
        <v>7</v>
      </c>
      <c r="D18" s="395"/>
      <c r="E18" s="442"/>
      <c r="F18" s="396"/>
      <c r="G18" s="415"/>
    </row>
    <row r="19" spans="1:7" ht="76.5" customHeight="1">
      <c r="A19" s="775"/>
      <c r="B19" s="707"/>
      <c r="C19" s="47" t="s">
        <v>8</v>
      </c>
      <c r="D19" s="395"/>
      <c r="E19" s="477"/>
      <c r="F19" s="442"/>
      <c r="G19" s="415"/>
    </row>
    <row r="20" spans="1:7" ht="76.5" customHeight="1" thickBot="1">
      <c r="A20" s="776"/>
      <c r="B20" s="707"/>
      <c r="C20" s="48" t="s">
        <v>10</v>
      </c>
      <c r="D20" s="549"/>
      <c r="E20" s="550"/>
      <c r="F20" s="550"/>
      <c r="G20" s="551"/>
    </row>
    <row r="21" spans="1:7" ht="76.5" customHeight="1">
      <c r="A21" s="774" t="s">
        <v>2</v>
      </c>
      <c r="B21" s="709">
        <f>B16+1</f>
        <v>46386</v>
      </c>
      <c r="C21" s="46" t="s">
        <v>5</v>
      </c>
      <c r="D21" s="254"/>
      <c r="E21" s="255"/>
      <c r="F21" s="255"/>
      <c r="G21" s="256"/>
    </row>
    <row r="22" spans="1:7" ht="76.5" customHeight="1">
      <c r="A22" s="775"/>
      <c r="B22" s="707"/>
      <c r="C22" s="47" t="s">
        <v>6</v>
      </c>
      <c r="D22" s="257"/>
      <c r="E22" s="258"/>
      <c r="F22" s="396"/>
      <c r="G22" s="248"/>
    </row>
    <row r="23" spans="1:7" ht="76.5" customHeight="1">
      <c r="A23" s="775"/>
      <c r="B23" s="707"/>
      <c r="C23" s="47" t="s">
        <v>7</v>
      </c>
      <c r="D23" s="395"/>
      <c r="E23" s="259"/>
      <c r="F23" s="258"/>
      <c r="G23" s="296"/>
    </row>
    <row r="24" spans="1:7" ht="76.5" customHeight="1">
      <c r="A24" s="775"/>
      <c r="B24" s="707"/>
      <c r="C24" s="47" t="s">
        <v>8</v>
      </c>
      <c r="D24" s="257"/>
      <c r="E24" s="258"/>
      <c r="F24" s="258"/>
      <c r="G24" s="248"/>
    </row>
    <row r="25" spans="1:7" ht="76.5" customHeight="1" thickBot="1">
      <c r="A25" s="776"/>
      <c r="B25" s="707"/>
      <c r="C25" s="48" t="s">
        <v>10</v>
      </c>
      <c r="D25" s="265"/>
      <c r="E25" s="315"/>
      <c r="F25" s="315"/>
      <c r="G25" s="316"/>
    </row>
    <row r="26" spans="1:7" ht="67.5" customHeight="1">
      <c r="A26" s="774" t="s">
        <v>3</v>
      </c>
      <c r="B26" s="709">
        <f>B21+1</f>
        <v>46387</v>
      </c>
      <c r="C26" s="46" t="s">
        <v>5</v>
      </c>
      <c r="D26" s="563"/>
      <c r="E26" s="564"/>
      <c r="F26" s="564"/>
      <c r="G26" s="565"/>
    </row>
    <row r="27" spans="1:7" ht="67.5" customHeight="1">
      <c r="A27" s="794"/>
      <c r="B27" s="707"/>
      <c r="C27" s="47" t="s">
        <v>6</v>
      </c>
      <c r="D27" s="566"/>
      <c r="E27" s="536"/>
      <c r="F27" s="536"/>
      <c r="G27" s="567"/>
    </row>
    <row r="28" spans="1:7" ht="67.5" customHeight="1">
      <c r="A28" s="794"/>
      <c r="B28" s="707"/>
      <c r="C28" s="47" t="s">
        <v>7</v>
      </c>
      <c r="D28" s="526"/>
      <c r="E28" s="527"/>
      <c r="F28" s="529"/>
      <c r="G28" s="528"/>
    </row>
    <row r="29" spans="1:7" ht="67.5" customHeight="1">
      <c r="A29" s="794"/>
      <c r="B29" s="707"/>
      <c r="C29" s="47" t="s">
        <v>8</v>
      </c>
      <c r="D29" s="526"/>
      <c r="E29" s="527"/>
      <c r="F29" s="527"/>
      <c r="G29" s="504"/>
    </row>
    <row r="30" spans="1:7" ht="67.5" customHeight="1" thickBot="1">
      <c r="A30" s="795"/>
      <c r="B30" s="707"/>
      <c r="C30" s="48" t="s">
        <v>10</v>
      </c>
      <c r="D30" s="561"/>
      <c r="E30" s="568"/>
      <c r="F30" s="568"/>
      <c r="G30" s="569"/>
    </row>
    <row r="31" spans="1:7" ht="67.5" customHeight="1">
      <c r="A31" s="778" t="s">
        <v>4</v>
      </c>
      <c r="B31" s="734">
        <f>B26+1</f>
        <v>46388</v>
      </c>
      <c r="C31" s="105" t="s">
        <v>5</v>
      </c>
      <c r="D31" s="500"/>
      <c r="E31" s="501"/>
      <c r="F31" s="501"/>
      <c r="G31" s="535"/>
    </row>
    <row r="32" spans="1:7" ht="67.5" customHeight="1">
      <c r="A32" s="781"/>
      <c r="B32" s="731"/>
      <c r="C32" s="106" t="s">
        <v>6</v>
      </c>
      <c r="D32" s="502"/>
      <c r="E32" s="536"/>
      <c r="F32" s="506"/>
      <c r="G32" s="528"/>
    </row>
    <row r="33" spans="1:7" ht="67.5" customHeight="1">
      <c r="A33" s="781"/>
      <c r="B33" s="731"/>
      <c r="C33" s="106" t="s">
        <v>7</v>
      </c>
      <c r="D33" s="502"/>
      <c r="E33" s="507"/>
      <c r="F33" s="503"/>
      <c r="G33" s="528"/>
    </row>
    <row r="34" spans="1:7" ht="67.5" customHeight="1">
      <c r="A34" s="781"/>
      <c r="B34" s="731"/>
      <c r="C34" s="106" t="s">
        <v>8</v>
      </c>
      <c r="D34" s="502"/>
      <c r="E34" s="507"/>
      <c r="F34" s="503"/>
      <c r="G34" s="504"/>
    </row>
    <row r="35" spans="1:7" ht="67.5" customHeight="1" thickBot="1">
      <c r="A35" s="782"/>
      <c r="B35" s="731"/>
      <c r="C35" s="107" t="s">
        <v>10</v>
      </c>
      <c r="D35" s="508"/>
      <c r="E35" s="510"/>
      <c r="F35" s="505"/>
      <c r="G35" s="509"/>
    </row>
    <row r="36" spans="1:7" ht="67.5" customHeight="1">
      <c r="A36" s="731" t="s">
        <v>18</v>
      </c>
      <c r="B36" s="734">
        <f>B31+1</f>
        <v>46389</v>
      </c>
      <c r="C36" s="105" t="s">
        <v>5</v>
      </c>
      <c r="D36" s="570"/>
      <c r="E36" s="571"/>
      <c r="F36" s="571"/>
      <c r="G36" s="572"/>
    </row>
    <row r="37" spans="1:7" ht="67.5" customHeight="1">
      <c r="A37" s="731"/>
      <c r="B37" s="731"/>
      <c r="C37" s="106" t="s">
        <v>6</v>
      </c>
      <c r="D37" s="573"/>
      <c r="E37" s="574"/>
      <c r="F37" s="574"/>
      <c r="G37" s="575"/>
    </row>
    <row r="38" spans="1:7" ht="67.5" customHeight="1">
      <c r="A38" s="731"/>
      <c r="B38" s="731"/>
      <c r="C38" s="106" t="s">
        <v>7</v>
      </c>
      <c r="D38" s="573"/>
      <c r="E38" s="574"/>
      <c r="F38" s="574"/>
      <c r="G38" s="575"/>
    </row>
    <row r="39" spans="1:7" ht="67.5" customHeight="1">
      <c r="A39" s="731"/>
      <c r="B39" s="731"/>
      <c r="C39" s="106" t="s">
        <v>8</v>
      </c>
      <c r="D39" s="576"/>
      <c r="E39" s="577"/>
      <c r="F39" s="577"/>
      <c r="G39" s="578"/>
    </row>
    <row r="40" spans="1:7" ht="67.5" customHeight="1" thickBot="1">
      <c r="A40" s="777"/>
      <c r="B40" s="777"/>
      <c r="C40" s="107" t="s">
        <v>10</v>
      </c>
      <c r="D40" s="579"/>
      <c r="E40" s="580"/>
      <c r="F40" s="580"/>
      <c r="G40" s="581"/>
    </row>
    <row r="41" spans="1:7" ht="30.75">
      <c r="A41" s="91"/>
      <c r="B41" s="91"/>
      <c r="C41" s="91"/>
      <c r="D41" s="213" t="s">
        <v>120</v>
      </c>
      <c r="E41" s="91"/>
      <c r="F41" s="91"/>
      <c r="G41" s="91"/>
    </row>
    <row r="42" spans="1:7">
      <c r="A42" s="91"/>
      <c r="B42" s="69">
        <v>5</v>
      </c>
      <c r="C42" s="115" t="str">
        <f>'01.09'!C42</f>
        <v>*Л. Речевое общение в профессиональной деятельности*</v>
      </c>
      <c r="D42" s="116">
        <f>'21.12'!D42+COUNTIF(D$11:D$40,$C42)</f>
        <v>5</v>
      </c>
      <c r="E42" s="116">
        <f>'21.12'!E42+COUNTIF(E$11:E$40,$C42)</f>
        <v>5</v>
      </c>
      <c r="F42" s="116">
        <f>'21.12'!F42+COUNTIF(F$11:F$40,$C42)</f>
        <v>5</v>
      </c>
      <c r="G42" s="116">
        <f>'21.12'!G42+COUNTIF(G$11:G$40,$C42)</f>
        <v>5</v>
      </c>
    </row>
    <row r="43" spans="1:7">
      <c r="A43" s="91"/>
      <c r="B43" s="69">
        <v>11</v>
      </c>
      <c r="C43" s="115" t="str">
        <f>'01.09'!C43</f>
        <v>*Пр. Речевое общение в профессиональной деятельности*</v>
      </c>
      <c r="D43" s="116">
        <f>'21.12'!D43+COUNTIF(D$11:D$40,$C43)</f>
        <v>4</v>
      </c>
      <c r="E43" s="116">
        <f>'21.12'!E43+COUNTIF(E$11:E$40,$C43)</f>
        <v>4</v>
      </c>
      <c r="F43" s="116">
        <f>'21.12'!F43+COUNTIF(F$11:F$40,$C43)</f>
        <v>4</v>
      </c>
      <c r="G43" s="116">
        <f>'21.12'!G43+COUNTIF(G$11:G$40,$C43)</f>
        <v>4</v>
      </c>
    </row>
    <row r="44" spans="1:7">
      <c r="A44" s="91"/>
      <c r="B44" s="69">
        <v>5</v>
      </c>
      <c r="C44" s="115" t="str">
        <f>'01.09'!C44</f>
        <v>*Л. Физическая культура и спорт*</v>
      </c>
      <c r="D44" s="116">
        <f>'21.12'!D44+COUNTIF(D$11:D$40,$C44)</f>
        <v>5</v>
      </c>
      <c r="E44" s="116">
        <f>'21.12'!E44+COUNTIF(E$11:E$40,$C44)</f>
        <v>5</v>
      </c>
      <c r="F44" s="116">
        <f>'21.12'!F44+COUNTIF(F$11:F$40,$C44)</f>
        <v>5</v>
      </c>
      <c r="G44" s="116">
        <f>'21.12'!G44+COUNTIF(G$11:G$40,$C44)</f>
        <v>5</v>
      </c>
    </row>
    <row r="45" spans="1:7">
      <c r="A45" s="91"/>
      <c r="B45" s="69">
        <v>5</v>
      </c>
      <c r="C45" s="115" t="str">
        <f>'01.09'!C45</f>
        <v>*Пр. Физическая культура и спорт*</v>
      </c>
      <c r="D45" s="116">
        <f>'21.12'!D45+COUNTIF(D$11:D$40,$C45)</f>
        <v>5</v>
      </c>
      <c r="E45" s="116">
        <f>'21.12'!E45+COUNTIF(E$11:E$40,$C45)</f>
        <v>5</v>
      </c>
      <c r="F45" s="116">
        <f>'21.12'!F45+COUNTIF(F$11:F$40,$C45)</f>
        <v>5</v>
      </c>
      <c r="G45" s="116">
        <f>'21.12'!G45+COUNTIF(G$11:G$40,$C45)</f>
        <v>5</v>
      </c>
    </row>
    <row r="46" spans="1:7">
      <c r="A46" s="91"/>
      <c r="B46" s="69">
        <v>4</v>
      </c>
      <c r="C46" s="115" t="str">
        <f>'01.09'!C46</f>
        <v>*Л. Анатомия*</v>
      </c>
      <c r="D46" s="116">
        <f>'21.12'!D46+COUNTIF(D$11:D$40,$C46)</f>
        <v>4</v>
      </c>
      <c r="E46" s="116">
        <f>'21.12'!E46+COUNTIF(E$11:E$40,$C46)</f>
        <v>4</v>
      </c>
      <c r="F46" s="116">
        <f>'21.12'!F46+COUNTIF(F$11:F$40,$C46)</f>
        <v>4</v>
      </c>
      <c r="G46" s="116">
        <f>'21.12'!G46+COUNTIF(G$11:G$40,$C46)</f>
        <v>4</v>
      </c>
    </row>
    <row r="47" spans="1:7">
      <c r="A47" s="91"/>
      <c r="B47" s="69">
        <v>12</v>
      </c>
      <c r="C47" s="115" t="str">
        <f>'01.09'!C47</f>
        <v>*Пр. Анатомия*</v>
      </c>
      <c r="D47" s="116">
        <f>'21.12'!D47+COUNTIF(D$11:D$40,$C47)</f>
        <v>4</v>
      </c>
      <c r="E47" s="116">
        <f>'21.12'!E47+COUNTIF(E$11:E$40,$C47)</f>
        <v>4</v>
      </c>
      <c r="F47" s="116">
        <f>'21.12'!F47+COUNTIF(F$11:F$40,$C47)</f>
        <v>4</v>
      </c>
      <c r="G47" s="116">
        <f>'21.12'!G47+COUNTIF(G$11:G$40,$C47)</f>
        <v>4</v>
      </c>
    </row>
    <row r="48" spans="1:7">
      <c r="A48" s="91"/>
      <c r="B48" s="69">
        <v>5</v>
      </c>
      <c r="C48" s="115" t="str">
        <f>'01.09'!C48</f>
        <v>*Л. Теория и методика*</v>
      </c>
      <c r="D48" s="116">
        <f>'21.12'!D48+COUNTIF(D$11:D$40,$C48)</f>
        <v>5</v>
      </c>
      <c r="E48" s="116">
        <f>'21.12'!E48+COUNTIF(E$11:E$40,$C48)</f>
        <v>5</v>
      </c>
      <c r="F48" s="116">
        <f>'21.12'!F48+COUNTIF(F$11:F$40,$C48)</f>
        <v>5</v>
      </c>
      <c r="G48" s="116">
        <f>'21.12'!G48+COUNTIF(G$11:G$40,$C48)</f>
        <v>5</v>
      </c>
    </row>
    <row r="49" spans="1:7">
      <c r="A49" s="91"/>
      <c r="B49" s="26">
        <v>45</v>
      </c>
      <c r="C49" s="115" t="str">
        <f>'01.09'!C49</f>
        <v>*Пр. Теория и методика*</v>
      </c>
      <c r="D49" s="116">
        <f>'21.12'!D49+COUNTIF(D$11:D$40,$C49)</f>
        <v>24</v>
      </c>
      <c r="E49" s="116">
        <f>'21.12'!E49+COUNTIF(E$11:E$40,$C49)</f>
        <v>25</v>
      </c>
      <c r="F49" s="116">
        <f>'21.12'!F49+COUNTIF(F$11:F$40,$C49)</f>
        <v>25</v>
      </c>
      <c r="G49" s="116">
        <f>'21.12'!G49+COUNTIF(G$11:G$40,$C49)</f>
        <v>25</v>
      </c>
    </row>
    <row r="50" spans="1:7">
      <c r="A50" s="91"/>
      <c r="B50" s="69">
        <v>2</v>
      </c>
      <c r="C50" s="115" t="str">
        <f>'01.09'!C50</f>
        <v>*Л. Информационные технологии*</v>
      </c>
      <c r="D50" s="116">
        <f>'21.12'!D50+COUNTIF(D$11:D$40,$C50)</f>
        <v>2</v>
      </c>
      <c r="E50" s="116">
        <f>'21.12'!E50+COUNTIF(E$11:E$40,$C50)</f>
        <v>2</v>
      </c>
      <c r="F50" s="116">
        <f>'21.12'!F50+COUNTIF(F$11:F$40,$C50)</f>
        <v>2</v>
      </c>
      <c r="G50" s="116">
        <f>'21.12'!G50+COUNTIF(G$11:G$40,$C50)</f>
        <v>2</v>
      </c>
    </row>
    <row r="51" spans="1:7">
      <c r="A51" s="91"/>
      <c r="B51" s="69">
        <v>14</v>
      </c>
      <c r="C51" s="115" t="str">
        <f>'01.09'!C51</f>
        <v>*Пр. Информационные технологии*</v>
      </c>
      <c r="D51" s="116">
        <f>'21.12'!D51+COUNTIF(D$11:D$40,$C51)</f>
        <v>8</v>
      </c>
      <c r="E51" s="116">
        <f>'21.12'!E51+COUNTIF(E$11:E$40,$C51)</f>
        <v>8</v>
      </c>
      <c r="F51" s="116">
        <f>'21.12'!F51+COUNTIF(F$11:F$40,$C51)</f>
        <v>8</v>
      </c>
      <c r="G51" s="116">
        <f>'21.12'!G51+COUNTIF(G$11:G$40,$C51)</f>
        <v>8</v>
      </c>
    </row>
    <row r="52" spans="1:7">
      <c r="A52" s="91"/>
      <c r="B52" s="84">
        <v>3</v>
      </c>
      <c r="C52" s="115" t="str">
        <f>'01.09'!C52</f>
        <v>*Л. Гимнастика*</v>
      </c>
      <c r="D52" s="116">
        <f>'21.12'!D52+COUNTIF(D$11:D$40,$C52)</f>
        <v>3</v>
      </c>
      <c r="E52" s="116">
        <f>'21.12'!E52+COUNTIF(E$11:E$40,$C52)</f>
        <v>3</v>
      </c>
      <c r="F52" s="116">
        <f>'21.12'!F52+COUNTIF(F$11:F$40,$C52)</f>
        <v>3</v>
      </c>
      <c r="G52" s="116">
        <f>'21.12'!G52+COUNTIF(G$11:G$40,$C52)</f>
        <v>3</v>
      </c>
    </row>
    <row r="53" spans="1:7">
      <c r="A53" s="91"/>
      <c r="B53" s="69">
        <v>20</v>
      </c>
      <c r="C53" s="115" t="str">
        <f>'01.09'!C53</f>
        <v>*Пр. Гимнастика*</v>
      </c>
      <c r="D53" s="116">
        <f>'21.12'!D53+COUNTIF(D$11:D$40,$C53)</f>
        <v>13</v>
      </c>
      <c r="E53" s="116">
        <f>'21.12'!E53+COUNTIF(E$11:E$40,$C53)</f>
        <v>12</v>
      </c>
      <c r="F53" s="116">
        <f>'21.12'!F53+COUNTIF(F$11:F$40,$C53)</f>
        <v>12</v>
      </c>
      <c r="G53" s="116">
        <f>'21.12'!G53+COUNTIF(G$11:G$40,$C53)</f>
        <v>12</v>
      </c>
    </row>
    <row r="54" spans="1:7">
      <c r="A54" s="91"/>
      <c r="B54" s="69">
        <v>1</v>
      </c>
      <c r="C54" s="115" t="str">
        <f>'01.09'!C54</f>
        <v>*Л. Элективные дисциплины по ФКиС: Подвижные игры*</v>
      </c>
      <c r="D54" s="116">
        <f>'21.12'!D54+COUNTIF(D$11:D$40,$C54)</f>
        <v>1</v>
      </c>
      <c r="E54" s="116">
        <f>'21.12'!E54+COUNTIF(E$11:E$40,$C54)</f>
        <v>1</v>
      </c>
      <c r="F54" s="116">
        <f>'21.12'!F54+COUNTIF(F$11:F$40,$C54)</f>
        <v>1</v>
      </c>
      <c r="G54" s="116">
        <f>'21.12'!G54+COUNTIF(G$11:G$40,$C54)</f>
        <v>1</v>
      </c>
    </row>
    <row r="55" spans="1:7">
      <c r="A55" s="91"/>
      <c r="B55" s="69">
        <v>9</v>
      </c>
      <c r="C55" s="115" t="str">
        <f>'01.09'!C55</f>
        <v>*Пр. Элективные дисциплины по ФКиС: Подвижные игры*</v>
      </c>
      <c r="D55" s="116">
        <f>'21.12'!D55+COUNTIF(D$11:D$40,$C55)</f>
        <v>8</v>
      </c>
      <c r="E55" s="116">
        <f>'21.12'!E55+COUNTIF(E$11:E$40,$C55)</f>
        <v>8</v>
      </c>
      <c r="F55" s="116">
        <f>'21.12'!F55+COUNTIF(F$11:F$40,$C55)</f>
        <v>9</v>
      </c>
      <c r="G55" s="116">
        <f>'21.12'!G55+COUNTIF(G$11:G$40,$C55)</f>
        <v>9</v>
      </c>
    </row>
    <row r="56" spans="1:7">
      <c r="A56" s="91"/>
      <c r="B56" s="84">
        <v>1</v>
      </c>
      <c r="C56" s="115" t="str">
        <f>'01.09'!C56</f>
        <v>*Л. Волейбол*</v>
      </c>
      <c r="D56" s="116">
        <f>'21.12'!D56+COUNTIF(D$11:D$40,$C56)</f>
        <v>1</v>
      </c>
      <c r="E56" s="116">
        <f>'21.12'!E56+COUNTIF(E$11:E$40,$C56)</f>
        <v>1</v>
      </c>
      <c r="F56" s="116">
        <f>'21.12'!F56+COUNTIF(F$11:F$40,$C56)</f>
        <v>1</v>
      </c>
      <c r="G56" s="116">
        <f>'21.12'!G56+COUNTIF(G$11:G$40,$C56)</f>
        <v>1</v>
      </c>
    </row>
    <row r="57" spans="1:7">
      <c r="A57" s="91"/>
      <c r="B57" s="84">
        <v>23</v>
      </c>
      <c r="C57" s="115" t="str">
        <f>'01.09'!C57</f>
        <v>*Пр. Волейбол*</v>
      </c>
      <c r="D57" s="116">
        <f>'21.12'!D57+COUNTIF(D$11:D$40,$C57)</f>
        <v>16</v>
      </c>
      <c r="E57" s="116">
        <f>'21.12'!E57+COUNTIF(E$11:E$40,$C57)</f>
        <v>16</v>
      </c>
      <c r="F57" s="116">
        <f>'21.12'!F57+COUNTIF(F$11:F$40,$C57)</f>
        <v>16</v>
      </c>
      <c r="G57" s="116">
        <f>'21.12'!G57+COUNTIF(G$11:G$40,$C57)</f>
        <v>16</v>
      </c>
    </row>
    <row r="58" spans="1:7">
      <c r="A58" s="91"/>
      <c r="B58" s="84">
        <v>1</v>
      </c>
      <c r="C58" s="115" t="str">
        <f>'01.09'!C58</f>
        <v>*Л. Лыжные гонки*</v>
      </c>
      <c r="D58" s="116">
        <f>'21.12'!D58+COUNTIF(D$11:D$40,$C58)</f>
        <v>0</v>
      </c>
      <c r="E58" s="116">
        <f>'21.12'!E58+COUNTIF(E$11:E$40,$C58)</f>
        <v>0</v>
      </c>
      <c r="F58" s="116">
        <f>'21.12'!F58+COUNTIF(F$11:F$40,$C58)</f>
        <v>0</v>
      </c>
      <c r="G58" s="116">
        <f>'21.12'!G58+COUNTIF(G$11:G$40,$C58)</f>
        <v>0</v>
      </c>
    </row>
    <row r="59" spans="1:7">
      <c r="A59" s="91"/>
      <c r="B59" s="217">
        <v>31</v>
      </c>
      <c r="C59" s="115" t="str">
        <f>'01.09'!C59</f>
        <v>*Пр. Лыжные гонки*</v>
      </c>
      <c r="D59" s="116">
        <f>'21.12'!D59+COUNTIF(D$11:D$40,$C59)</f>
        <v>0</v>
      </c>
      <c r="E59" s="116">
        <f>'21.12'!E59+COUNTIF(E$11:E$40,$C59)</f>
        <v>0</v>
      </c>
      <c r="F59" s="116">
        <f>'21.12'!F59+COUNTIF(F$11:F$40,$C59)</f>
        <v>0</v>
      </c>
      <c r="G59" s="116">
        <f>'21.12'!G59+COUNTIF(G$11:G$40,$C59)</f>
        <v>0</v>
      </c>
    </row>
    <row r="60" spans="1:7">
      <c r="A60" s="91"/>
      <c r="B60" s="84">
        <v>1</v>
      </c>
      <c r="C60" s="115" t="str">
        <f>'01.09'!C60</f>
        <v>*Л. Использование электронной*</v>
      </c>
      <c r="D60" s="116">
        <f>'21.12'!D60+COUNTIF(D$11:D$40,$C60)</f>
        <v>1</v>
      </c>
      <c r="E60" s="116">
        <f>'21.12'!E60+COUNTIF(E$11:E$40,$C60)</f>
        <v>0</v>
      </c>
      <c r="F60" s="116">
        <f>'21.12'!F60+COUNTIF(F$11:F$40,$C60)</f>
        <v>0</v>
      </c>
      <c r="G60" s="116">
        <f>'21.12'!G60+COUNTIF(G$11:G$40,$C60)</f>
        <v>0</v>
      </c>
    </row>
    <row r="61" spans="1:7">
      <c r="A61" s="91"/>
      <c r="B61" s="118">
        <v>2</v>
      </c>
      <c r="C61" s="115" t="str">
        <f>'01.09'!C61</f>
        <v>*Пр. Использование электронной*</v>
      </c>
      <c r="D61" s="116">
        <f>'21.12'!D61+COUNTIF(D$11:D$40,$C61)</f>
        <v>2</v>
      </c>
      <c r="E61" s="116">
        <f>'21.12'!E61+COUNTIF(E$11:E$40,$C61)</f>
        <v>2</v>
      </c>
      <c r="F61" s="116">
        <f>'21.12'!F61+COUNTIF(F$11:F$40,$C61)</f>
        <v>2</v>
      </c>
      <c r="G61" s="116">
        <f>'21.12'!G61+COUNTIF(G$11:G$40,$C61)</f>
        <v>2</v>
      </c>
    </row>
    <row r="62" spans="1:7">
      <c r="A62" s="91"/>
      <c r="B62" s="118">
        <v>16</v>
      </c>
      <c r="C62" s="115" t="str">
        <f>'01.09'!C62</f>
        <v>*Пр. Иностранный*</v>
      </c>
      <c r="D62" s="116">
        <f>'21.12'!D62+COUNTIF(D$11:D$40,$C62)</f>
        <v>8</v>
      </c>
      <c r="E62" s="116">
        <f>'21.12'!E62+COUNTIF(E$11:E$40,$C62)</f>
        <v>8</v>
      </c>
      <c r="F62" s="116">
        <f>'21.12'!F62+COUNTIF(F$11:F$40,$C62)</f>
        <v>8</v>
      </c>
      <c r="G62" s="116">
        <f>'21.12'!G62+COUNTIF(G$11:G$40,$C62)</f>
        <v>8</v>
      </c>
    </row>
    <row r="63" spans="1:7">
      <c r="A63" s="91"/>
      <c r="B63" s="91"/>
      <c r="C63" s="115">
        <f>'01.09'!C63</f>
        <v>0</v>
      </c>
      <c r="D63" s="116">
        <f>'21.12'!D63+COUNTIF(D$11:D$40,$C63)</f>
        <v>0</v>
      </c>
      <c r="E63" s="116">
        <f>'21.12'!E63+COUNTIF(E$11:E$40,$C63)</f>
        <v>0</v>
      </c>
      <c r="F63" s="116">
        <f>'21.12'!F63+COUNTIF(F$11:F$40,$C63)</f>
        <v>0</v>
      </c>
      <c r="G63" s="116">
        <f>'21.12'!G63+COUNTIF(G$11:G$40,$C63)</f>
        <v>0</v>
      </c>
    </row>
    <row r="64" spans="1:7">
      <c r="A64" s="91"/>
      <c r="B64" s="91"/>
      <c r="C64" s="115">
        <f>'01.09'!C64</f>
        <v>0</v>
      </c>
      <c r="D64" s="116">
        <f>'21.12'!D64+COUNTIF(D$11:D$40,$C64)</f>
        <v>0</v>
      </c>
      <c r="E64" s="116">
        <f>'21.12'!E64+COUNTIF(E$11:E$40,$C64)</f>
        <v>0</v>
      </c>
      <c r="F64" s="116">
        <f>'21.12'!F64+COUNTIF(F$11:F$40,$C64)</f>
        <v>0</v>
      </c>
      <c r="G64" s="116">
        <f>'21.12'!G64+COUNTIF(G$11:G$40,$C64)</f>
        <v>0</v>
      </c>
    </row>
    <row r="65" spans="1:7">
      <c r="A65" s="91"/>
      <c r="B65" s="91"/>
      <c r="C65" s="115">
        <f>'01.09'!C65</f>
        <v>0</v>
      </c>
      <c r="D65" s="116">
        <f>'21.12'!D65+COUNTIF(D$11:D$40,$C65)</f>
        <v>0</v>
      </c>
      <c r="E65" s="116">
        <f>'21.12'!E65+COUNTIF(E$11:E$40,$C65)</f>
        <v>0</v>
      </c>
      <c r="F65" s="116">
        <f>'21.12'!F65+COUNTIF(F$11:F$40,$C65)</f>
        <v>0</v>
      </c>
      <c r="G65" s="116">
        <f>'21.12'!G65+COUNTIF(G$11:G$40,$C65)</f>
        <v>0</v>
      </c>
    </row>
    <row r="66" spans="1:7">
      <c r="A66" s="91"/>
      <c r="B66" s="91"/>
      <c r="C66" s="115">
        <f>'01.09'!C66</f>
        <v>0</v>
      </c>
      <c r="D66" s="116">
        <f>'21.12'!D66+COUNTIF(D$11:D$40,$C66)</f>
        <v>0</v>
      </c>
      <c r="E66" s="116">
        <f>'21.12'!E66+COUNTIF(E$11:E$40,$C66)</f>
        <v>0</v>
      </c>
      <c r="F66" s="116">
        <f>'21.12'!F66+COUNTIF(F$11:F$40,$C66)</f>
        <v>0</v>
      </c>
      <c r="G66" s="116">
        <f>'21.12'!G66+COUNTIF(G$11:G$40,$C66)</f>
        <v>0</v>
      </c>
    </row>
    <row r="67" spans="1:7">
      <c r="A67" s="91"/>
      <c r="B67" s="91"/>
      <c r="C67" s="115">
        <f>'01.09'!C67</f>
        <v>0</v>
      </c>
      <c r="D67" s="116">
        <f>'21.12'!D67+COUNTIF(D$11:D$40,$C67)</f>
        <v>0</v>
      </c>
      <c r="E67" s="116">
        <f>'21.12'!E67+COUNTIF(E$11:E$40,$C67)</f>
        <v>0</v>
      </c>
      <c r="F67" s="116">
        <f>'21.12'!F67+COUNTIF(F$11:F$40,$C67)</f>
        <v>0</v>
      </c>
      <c r="G67" s="116">
        <f>'21.12'!G67+COUNTIF(G$11:G$40,$C67)</f>
        <v>0</v>
      </c>
    </row>
    <row r="68" spans="1:7">
      <c r="A68" s="69"/>
      <c r="B68" s="69"/>
      <c r="C68" s="69"/>
      <c r="D68" s="69"/>
      <c r="E68" s="69"/>
      <c r="F68" s="69"/>
      <c r="G68" s="69"/>
    </row>
    <row r="69" spans="1:7">
      <c r="A69" s="69"/>
      <c r="B69" s="69"/>
      <c r="C69" s="69"/>
      <c r="D69" s="69"/>
      <c r="E69" s="69"/>
      <c r="F69" s="69"/>
      <c r="G69" s="69"/>
    </row>
    <row r="70" spans="1:7">
      <c r="A70" s="69"/>
      <c r="B70" s="69"/>
      <c r="C70" s="69"/>
      <c r="D70" s="69"/>
      <c r="E70" s="69"/>
      <c r="F70" s="69"/>
      <c r="G70" s="69"/>
    </row>
    <row r="71" spans="1:7">
      <c r="A71" s="69"/>
      <c r="B71" s="69"/>
      <c r="C71" s="69"/>
      <c r="D71" s="69"/>
      <c r="E71" s="69"/>
      <c r="F71" s="69"/>
      <c r="G71" s="69"/>
    </row>
    <row r="72" spans="1:7">
      <c r="A72" s="69"/>
      <c r="B72" s="69"/>
      <c r="C72" s="69"/>
      <c r="D72" s="69"/>
      <c r="E72" s="69"/>
      <c r="F72" s="69"/>
      <c r="G72" s="69"/>
    </row>
    <row r="73" spans="1:7">
      <c r="A73" s="69"/>
      <c r="B73" s="69"/>
      <c r="C73" s="69"/>
      <c r="D73" s="69"/>
      <c r="E73" s="69"/>
      <c r="F73" s="69"/>
      <c r="G73" s="69"/>
    </row>
    <row r="74" spans="1:7">
      <c r="A74" s="69"/>
      <c r="B74" s="69"/>
      <c r="C74" s="69"/>
      <c r="D74" s="69"/>
      <c r="E74" s="69"/>
      <c r="F74" s="69"/>
      <c r="G74" s="69"/>
    </row>
    <row r="75" spans="1:7">
      <c r="A75" s="69"/>
      <c r="B75" s="69"/>
      <c r="C75" s="69"/>
      <c r="D75" s="69"/>
      <c r="E75" s="69"/>
      <c r="F75" s="69"/>
      <c r="G75" s="69"/>
    </row>
    <row r="76" spans="1:7">
      <c r="A76" s="69"/>
      <c r="B76" s="69"/>
      <c r="C76" s="69"/>
      <c r="D76" s="69"/>
      <c r="E76" s="69"/>
      <c r="F76" s="69"/>
      <c r="G76" s="69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conditionalFormatting sqref="D42:G42">
    <cfRule type="cellIs" dxfId="62" priority="21" operator="lessThan">
      <formula>5</formula>
    </cfRule>
  </conditionalFormatting>
  <conditionalFormatting sqref="D43:G43">
    <cfRule type="cellIs" dxfId="61" priority="20" operator="lessThan">
      <formula>11</formula>
    </cfRule>
  </conditionalFormatting>
  <conditionalFormatting sqref="D44:G44">
    <cfRule type="cellIs" dxfId="60" priority="19" operator="lessThan">
      <formula>5</formula>
    </cfRule>
  </conditionalFormatting>
  <conditionalFormatting sqref="D45:G45">
    <cfRule type="cellIs" dxfId="59" priority="18" operator="lessThan">
      <formula>5</formula>
    </cfRule>
  </conditionalFormatting>
  <conditionalFormatting sqref="D46:G46">
    <cfRule type="cellIs" dxfId="58" priority="17" operator="lessThan">
      <formula>4</formula>
    </cfRule>
  </conditionalFormatting>
  <conditionalFormatting sqref="D47:G47">
    <cfRule type="cellIs" dxfId="57" priority="16" operator="lessThan">
      <formula>12</formula>
    </cfRule>
  </conditionalFormatting>
  <conditionalFormatting sqref="D48:G48">
    <cfRule type="cellIs" dxfId="56" priority="15" operator="lessThan">
      <formula>5</formula>
    </cfRule>
  </conditionalFormatting>
  <conditionalFormatting sqref="D49:G49">
    <cfRule type="cellIs" dxfId="55" priority="14" operator="lessThan">
      <formula>45</formula>
    </cfRule>
  </conditionalFormatting>
  <conditionalFormatting sqref="D50:G50">
    <cfRule type="cellIs" dxfId="54" priority="13" operator="lessThan">
      <formula>2</formula>
    </cfRule>
  </conditionalFormatting>
  <conditionalFormatting sqref="D51:G51">
    <cfRule type="cellIs" dxfId="53" priority="12" operator="lessThan">
      <formula>14</formula>
    </cfRule>
  </conditionalFormatting>
  <conditionalFormatting sqref="D52:G52">
    <cfRule type="cellIs" dxfId="52" priority="11" operator="lessThan">
      <formula>3</formula>
    </cfRule>
  </conditionalFormatting>
  <conditionalFormatting sqref="D53:G53">
    <cfRule type="cellIs" dxfId="51" priority="10" operator="lessThan">
      <formula>20</formula>
    </cfRule>
  </conditionalFormatting>
  <conditionalFormatting sqref="D54:G54">
    <cfRule type="cellIs" dxfId="50" priority="9" operator="lessThan">
      <formula>1</formula>
    </cfRule>
  </conditionalFormatting>
  <conditionalFormatting sqref="D55:G55">
    <cfRule type="cellIs" dxfId="49" priority="8" operator="lessThan">
      <formula>9</formula>
    </cfRule>
  </conditionalFormatting>
  <conditionalFormatting sqref="D56:G56">
    <cfRule type="cellIs" dxfId="48" priority="7" operator="lessThan">
      <formula>1</formula>
    </cfRule>
  </conditionalFormatting>
  <conditionalFormatting sqref="D57:G57">
    <cfRule type="cellIs" dxfId="47" priority="6" operator="lessThan">
      <formula>23</formula>
    </cfRule>
  </conditionalFormatting>
  <conditionalFormatting sqref="D58:G58">
    <cfRule type="cellIs" dxfId="46" priority="5" operator="lessThan">
      <formula>1</formula>
    </cfRule>
  </conditionalFormatting>
  <conditionalFormatting sqref="D59:G59">
    <cfRule type="cellIs" dxfId="45" priority="4" operator="lessThan">
      <formula>31</formula>
    </cfRule>
  </conditionalFormatting>
  <conditionalFormatting sqref="D60:G60">
    <cfRule type="cellIs" dxfId="44" priority="3" operator="lessThan">
      <formula>1</formula>
    </cfRule>
  </conditionalFormatting>
  <conditionalFormatting sqref="D61:G61">
    <cfRule type="cellIs" dxfId="43" priority="2" operator="lessThan">
      <formula>2</formula>
    </cfRule>
  </conditionalFormatting>
  <conditionalFormatting sqref="D62:G62">
    <cfRule type="cellIs" dxfId="42" priority="1" operator="lessThan">
      <formula>16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activeCell="D10" sqref="D10:G10"/>
    </sheetView>
  </sheetViews>
  <sheetFormatPr defaultRowHeight="26.25"/>
  <cols>
    <col min="1" max="1" width="4.42578125" style="84" customWidth="1"/>
    <col min="2" max="2" width="7.7109375" style="84" customWidth="1"/>
    <col min="3" max="3" width="28.42578125" style="84" customWidth="1"/>
    <col min="4" max="7" width="73.140625" style="84" customWidth="1"/>
    <col min="8" max="16384" width="9.140625" style="84"/>
  </cols>
  <sheetData>
    <row r="1" spans="1:7" ht="30"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174</v>
      </c>
      <c r="C7" s="728"/>
      <c r="D7" s="728"/>
      <c r="E7" s="728"/>
      <c r="F7" s="728"/>
      <c r="G7" s="728"/>
    </row>
    <row r="8" spans="1:7" ht="6.75" customHeight="1" thickBot="1">
      <c r="A8" s="89"/>
      <c r="B8" s="89"/>
      <c r="C8" s="89"/>
      <c r="D8" s="89"/>
      <c r="E8" s="89"/>
      <c r="F8" s="89"/>
      <c r="G8" s="89"/>
    </row>
    <row r="9" spans="1:7" ht="27" thickBot="1">
      <c r="A9" s="789" t="s">
        <v>76</v>
      </c>
      <c r="B9" s="789" t="s">
        <v>9</v>
      </c>
      <c r="C9" s="791" t="s">
        <v>77</v>
      </c>
      <c r="D9" s="411" t="s">
        <v>165</v>
      </c>
      <c r="E9" s="412" t="s">
        <v>11</v>
      </c>
      <c r="F9" s="412" t="s">
        <v>12</v>
      </c>
      <c r="G9" s="413" t="s">
        <v>153</v>
      </c>
    </row>
    <row r="10" spans="1:7" ht="84" customHeight="1" thickBot="1">
      <c r="A10" s="790"/>
      <c r="B10" s="790"/>
      <c r="C10" s="792"/>
      <c r="D10" s="439" t="s">
        <v>159</v>
      </c>
      <c r="E10" s="370" t="s">
        <v>125</v>
      </c>
      <c r="F10" s="518" t="s">
        <v>198</v>
      </c>
      <c r="G10" s="371" t="s">
        <v>199</v>
      </c>
    </row>
    <row r="11" spans="1:7" ht="67.5" customHeight="1">
      <c r="A11" s="774" t="s">
        <v>0</v>
      </c>
      <c r="B11" s="716">
        <v>46181</v>
      </c>
      <c r="C11" s="46" t="s">
        <v>5</v>
      </c>
      <c r="D11" s="519"/>
      <c r="E11" s="360"/>
      <c r="F11" s="360"/>
      <c r="G11" s="520"/>
    </row>
    <row r="12" spans="1:7" ht="27.75">
      <c r="A12" s="775"/>
      <c r="B12" s="707"/>
      <c r="C12" s="47" t="s">
        <v>6</v>
      </c>
      <c r="D12" s="395"/>
      <c r="E12" s="396"/>
      <c r="F12" s="442"/>
      <c r="G12" s="397"/>
    </row>
    <row r="13" spans="1:7" ht="27.75">
      <c r="A13" s="775"/>
      <c r="B13" s="707"/>
      <c r="C13" s="47" t="s">
        <v>7</v>
      </c>
      <c r="D13" s="395"/>
      <c r="E13" s="396"/>
      <c r="F13" s="442"/>
      <c r="G13" s="397"/>
    </row>
    <row r="14" spans="1:7" ht="27.75">
      <c r="A14" s="775"/>
      <c r="B14" s="707"/>
      <c r="C14" s="47" t="s">
        <v>8</v>
      </c>
      <c r="D14" s="395"/>
      <c r="E14" s="442"/>
      <c r="F14" s="442"/>
      <c r="G14" s="397"/>
    </row>
    <row r="15" spans="1:7" ht="67.5" customHeight="1" thickBot="1">
      <c r="A15" s="775"/>
      <c r="B15" s="707"/>
      <c r="C15" s="48" t="s">
        <v>10</v>
      </c>
      <c r="D15" s="546"/>
      <c r="E15" s="547"/>
      <c r="F15" s="547"/>
      <c r="G15" s="548"/>
    </row>
    <row r="16" spans="1:7" ht="27.75">
      <c r="A16" s="774" t="s">
        <v>1</v>
      </c>
      <c r="B16" s="709">
        <f>B11+1</f>
        <v>46182</v>
      </c>
      <c r="C16" s="46" t="s">
        <v>5</v>
      </c>
      <c r="D16" s="479"/>
      <c r="E16" s="404"/>
      <c r="F16" s="404"/>
      <c r="G16" s="559"/>
    </row>
    <row r="17" spans="1:7" ht="27.75">
      <c r="A17" s="775"/>
      <c r="B17" s="707"/>
      <c r="C17" s="47" t="s">
        <v>6</v>
      </c>
      <c r="D17" s="395"/>
      <c r="E17" s="396"/>
      <c r="F17" s="396"/>
      <c r="G17" s="397"/>
    </row>
    <row r="18" spans="1:7" ht="89.25" customHeight="1">
      <c r="A18" s="775"/>
      <c r="B18" s="707"/>
      <c r="C18" s="47" t="s">
        <v>7</v>
      </c>
      <c r="D18" s="395"/>
      <c r="E18" s="396"/>
      <c r="F18" s="396"/>
      <c r="G18" s="397"/>
    </row>
    <row r="19" spans="1:7" ht="89.25" customHeight="1">
      <c r="A19" s="775"/>
      <c r="B19" s="707"/>
      <c r="C19" s="47" t="s">
        <v>8</v>
      </c>
      <c r="D19" s="395"/>
      <c r="E19" s="396"/>
      <c r="F19" s="442"/>
      <c r="G19" s="397"/>
    </row>
    <row r="20" spans="1:7" ht="67.5" customHeight="1" thickBot="1">
      <c r="A20" s="776"/>
      <c r="B20" s="707"/>
      <c r="C20" s="48" t="s">
        <v>10</v>
      </c>
      <c r="D20" s="549"/>
      <c r="E20" s="550"/>
      <c r="F20" s="550"/>
      <c r="G20" s="551"/>
    </row>
    <row r="21" spans="1:7" ht="104.25" customHeight="1">
      <c r="A21" s="774" t="s">
        <v>2</v>
      </c>
      <c r="B21" s="709">
        <f>B16+1</f>
        <v>46183</v>
      </c>
      <c r="C21" s="46" t="s">
        <v>5</v>
      </c>
      <c r="D21" s="254"/>
      <c r="E21" s="255"/>
      <c r="F21" s="255"/>
      <c r="G21" s="256"/>
    </row>
    <row r="22" spans="1:7" ht="99" customHeight="1">
      <c r="A22" s="775"/>
      <c r="B22" s="707"/>
      <c r="C22" s="47" t="s">
        <v>6</v>
      </c>
      <c r="D22" s="257"/>
      <c r="E22" s="258"/>
      <c r="F22" s="396"/>
      <c r="G22" s="248"/>
    </row>
    <row r="23" spans="1:7" ht="27.75">
      <c r="A23" s="775"/>
      <c r="B23" s="707"/>
      <c r="C23" s="47" t="s">
        <v>7</v>
      </c>
      <c r="D23" s="395"/>
      <c r="E23" s="259"/>
      <c r="F23" s="258"/>
      <c r="G23" s="296"/>
    </row>
    <row r="24" spans="1:7" ht="96.75" customHeight="1">
      <c r="A24" s="775"/>
      <c r="B24" s="707"/>
      <c r="C24" s="47" t="s">
        <v>8</v>
      </c>
      <c r="D24" s="257"/>
      <c r="E24" s="258"/>
      <c r="F24" s="258"/>
      <c r="G24" s="248"/>
    </row>
    <row r="25" spans="1:7" ht="67.5" customHeight="1" thickBot="1">
      <c r="A25" s="776"/>
      <c r="B25" s="707"/>
      <c r="C25" s="48" t="s">
        <v>10</v>
      </c>
      <c r="D25" s="265"/>
      <c r="E25" s="315"/>
      <c r="F25" s="315"/>
      <c r="G25" s="316"/>
    </row>
    <row r="26" spans="1:7" ht="67.5" customHeight="1">
      <c r="A26" s="774" t="s">
        <v>3</v>
      </c>
      <c r="B26" s="709">
        <f>B21+1</f>
        <v>46184</v>
      </c>
      <c r="C26" s="46" t="s">
        <v>5</v>
      </c>
      <c r="D26" s="281"/>
      <c r="E26" s="552"/>
      <c r="F26" s="552"/>
      <c r="G26" s="553"/>
    </row>
    <row r="27" spans="1:7" ht="67.5" customHeight="1">
      <c r="A27" s="794"/>
      <c r="B27" s="707"/>
      <c r="C27" s="47" t="s">
        <v>6</v>
      </c>
      <c r="D27" s="335"/>
      <c r="E27" s="358"/>
      <c r="F27" s="358"/>
      <c r="G27" s="359"/>
    </row>
    <row r="28" spans="1:7" ht="101.25" customHeight="1">
      <c r="A28" s="794"/>
      <c r="B28" s="707"/>
      <c r="C28" s="47" t="s">
        <v>7</v>
      </c>
      <c r="D28" s="395"/>
      <c r="E28" s="442"/>
      <c r="F28" s="442"/>
      <c r="G28" s="397"/>
    </row>
    <row r="29" spans="1:7" ht="67.5" customHeight="1">
      <c r="A29" s="794"/>
      <c r="B29" s="707"/>
      <c r="C29" s="47" t="s">
        <v>8</v>
      </c>
      <c r="D29" s="395"/>
      <c r="E29" s="442"/>
      <c r="F29" s="442"/>
      <c r="G29" s="248"/>
    </row>
    <row r="30" spans="1:7" ht="67.5" customHeight="1" thickBot="1">
      <c r="A30" s="795"/>
      <c r="B30" s="707"/>
      <c r="C30" s="48" t="s">
        <v>10</v>
      </c>
      <c r="D30" s="265"/>
      <c r="E30" s="474"/>
      <c r="F30" s="474"/>
      <c r="G30" s="475"/>
    </row>
    <row r="31" spans="1:7" ht="54" customHeight="1">
      <c r="A31" s="778" t="s">
        <v>4</v>
      </c>
      <c r="B31" s="734">
        <f>B26+1</f>
        <v>46185</v>
      </c>
      <c r="C31" s="105" t="s">
        <v>5</v>
      </c>
      <c r="D31" s="254"/>
      <c r="E31" s="255"/>
      <c r="F31" s="255"/>
      <c r="G31" s="334"/>
    </row>
    <row r="32" spans="1:7" ht="54" customHeight="1">
      <c r="A32" s="781"/>
      <c r="B32" s="731"/>
      <c r="C32" s="106" t="s">
        <v>6</v>
      </c>
      <c r="D32" s="257"/>
      <c r="E32" s="358"/>
      <c r="F32" s="259"/>
      <c r="G32" s="397"/>
    </row>
    <row r="33" spans="1:7" ht="54" customHeight="1">
      <c r="A33" s="781"/>
      <c r="B33" s="731"/>
      <c r="C33" s="106" t="s">
        <v>7</v>
      </c>
      <c r="D33" s="257"/>
      <c r="E33" s="285"/>
      <c r="F33" s="258"/>
      <c r="G33" s="397"/>
    </row>
    <row r="34" spans="1:7" ht="54" customHeight="1">
      <c r="A34" s="781"/>
      <c r="B34" s="731"/>
      <c r="C34" s="106" t="s">
        <v>8</v>
      </c>
      <c r="D34" s="257"/>
      <c r="E34" s="285"/>
      <c r="F34" s="258"/>
      <c r="G34" s="248"/>
    </row>
    <row r="35" spans="1:7" ht="54" customHeight="1" thickBot="1">
      <c r="A35" s="782"/>
      <c r="B35" s="731"/>
      <c r="C35" s="107" t="s">
        <v>10</v>
      </c>
      <c r="D35" s="362"/>
      <c r="E35" s="363"/>
      <c r="F35" s="315"/>
      <c r="G35" s="445"/>
    </row>
    <row r="36" spans="1:7" ht="54" customHeight="1">
      <c r="A36" s="731" t="s">
        <v>18</v>
      </c>
      <c r="B36" s="734">
        <f>B31+1</f>
        <v>46186</v>
      </c>
      <c r="C36" s="105" t="s">
        <v>5</v>
      </c>
      <c r="D36" s="491"/>
      <c r="E36" s="489"/>
      <c r="F36" s="489"/>
      <c r="G36" s="492"/>
    </row>
    <row r="37" spans="1:7" ht="54" customHeight="1">
      <c r="A37" s="731"/>
      <c r="B37" s="731"/>
      <c r="C37" s="106" t="s">
        <v>6</v>
      </c>
      <c r="D37" s="239"/>
      <c r="E37" s="490"/>
      <c r="F37" s="490"/>
      <c r="G37" s="493"/>
    </row>
    <row r="38" spans="1:7" ht="54" customHeight="1">
      <c r="A38" s="731"/>
      <c r="B38" s="731"/>
      <c r="C38" s="106" t="s">
        <v>7</v>
      </c>
      <c r="D38" s="239"/>
      <c r="E38" s="490"/>
      <c r="F38" s="490"/>
      <c r="G38" s="493"/>
    </row>
    <row r="39" spans="1:7" ht="54" customHeight="1">
      <c r="A39" s="731"/>
      <c r="B39" s="731"/>
      <c r="C39" s="106" t="s">
        <v>8</v>
      </c>
      <c r="D39" s="494"/>
      <c r="E39" s="472"/>
      <c r="F39" s="472"/>
      <c r="G39" s="495"/>
    </row>
    <row r="40" spans="1:7" ht="54" customHeight="1" thickBot="1">
      <c r="A40" s="777"/>
      <c r="B40" s="777"/>
      <c r="C40" s="107" t="s">
        <v>10</v>
      </c>
      <c r="D40" s="496"/>
      <c r="E40" s="497"/>
      <c r="F40" s="497"/>
      <c r="G40" s="498"/>
    </row>
    <row r="41" spans="1:7" ht="30.75">
      <c r="A41" s="91"/>
      <c r="B41" s="91"/>
      <c r="C41" s="91"/>
      <c r="D41" s="213" t="s">
        <v>120</v>
      </c>
      <c r="E41" s="91"/>
      <c r="F41" s="91"/>
      <c r="G41" s="91"/>
    </row>
    <row r="42" spans="1:7">
      <c r="A42" s="91"/>
      <c r="B42" s="69"/>
      <c r="C42" s="115" t="str">
        <f>'01.09'!C42</f>
        <v>*Л. Речевое общение в профессиональной деятельности*</v>
      </c>
      <c r="D42" s="116">
        <f>'28.12'!D42+COUNTIF(D$11:D$40,$C42)</f>
        <v>5</v>
      </c>
      <c r="E42" s="116">
        <f>'28.12'!E42+COUNTIF(E$11:E$40,$C42)</f>
        <v>5</v>
      </c>
      <c r="F42" s="116">
        <f>'28.12'!F42+COUNTIF(F$11:F$40,$C42)</f>
        <v>5</v>
      </c>
      <c r="G42" s="116">
        <f>'28.12'!G42+COUNTIF(G$11:G$40,$C42)</f>
        <v>5</v>
      </c>
    </row>
    <row r="43" spans="1:7">
      <c r="A43" s="91"/>
      <c r="B43" s="69"/>
      <c r="C43" s="115" t="str">
        <f>'01.09'!C43</f>
        <v>*Пр. Речевое общение в профессиональной деятельности*</v>
      </c>
      <c r="D43" s="116">
        <f>'28.12'!D43+COUNTIF(D$11:D$40,$C43)</f>
        <v>4</v>
      </c>
      <c r="E43" s="116">
        <f>'28.12'!E43+COUNTIF(E$11:E$40,$C43)</f>
        <v>4</v>
      </c>
      <c r="F43" s="116">
        <f>'28.12'!F43+COUNTIF(F$11:F$40,$C43)</f>
        <v>4</v>
      </c>
      <c r="G43" s="116">
        <f>'28.12'!G43+COUNTIF(G$11:G$40,$C43)</f>
        <v>4</v>
      </c>
    </row>
    <row r="44" spans="1:7">
      <c r="A44" s="91"/>
      <c r="B44" s="69"/>
      <c r="C44" s="115" t="str">
        <f>'01.09'!C44</f>
        <v>*Л. Физическая культура и спорт*</v>
      </c>
      <c r="D44" s="116">
        <f>'28.12'!D44+COUNTIF(D$11:D$40,$C44)</f>
        <v>5</v>
      </c>
      <c r="E44" s="116">
        <f>'28.12'!E44+COUNTIF(E$11:E$40,$C44)</f>
        <v>5</v>
      </c>
      <c r="F44" s="116">
        <f>'28.12'!F44+COUNTIF(F$11:F$40,$C44)</f>
        <v>5</v>
      </c>
      <c r="G44" s="116">
        <f>'28.12'!G44+COUNTIF(G$11:G$40,$C44)</f>
        <v>5</v>
      </c>
    </row>
    <row r="45" spans="1:7">
      <c r="A45" s="91"/>
      <c r="B45" s="69"/>
      <c r="C45" s="115" t="str">
        <f>'01.09'!C45</f>
        <v>*Пр. Физическая культура и спорт*</v>
      </c>
      <c r="D45" s="116">
        <f>'28.12'!D45+COUNTIF(D$11:D$40,$C45)</f>
        <v>5</v>
      </c>
      <c r="E45" s="116">
        <f>'28.12'!E45+COUNTIF(E$11:E$40,$C45)</f>
        <v>5</v>
      </c>
      <c r="F45" s="116">
        <f>'28.12'!F45+COUNTIF(F$11:F$40,$C45)</f>
        <v>5</v>
      </c>
      <c r="G45" s="116">
        <f>'28.12'!G45+COUNTIF(G$11:G$40,$C45)</f>
        <v>5</v>
      </c>
    </row>
    <row r="46" spans="1:7">
      <c r="A46" s="91"/>
      <c r="B46" s="69"/>
      <c r="C46" s="115" t="str">
        <f>'01.09'!C46</f>
        <v>*Л. Анатомия*</v>
      </c>
      <c r="D46" s="116">
        <f>'28.12'!D46+COUNTIF(D$11:D$40,$C46)</f>
        <v>4</v>
      </c>
      <c r="E46" s="116">
        <f>'28.12'!E46+COUNTIF(E$11:E$40,$C46)</f>
        <v>4</v>
      </c>
      <c r="F46" s="116">
        <f>'28.12'!F46+COUNTIF(F$11:F$40,$C46)</f>
        <v>4</v>
      </c>
      <c r="G46" s="116">
        <f>'28.12'!G46+COUNTIF(G$11:G$40,$C46)</f>
        <v>4</v>
      </c>
    </row>
    <row r="47" spans="1:7">
      <c r="A47" s="91"/>
      <c r="B47" s="69"/>
      <c r="C47" s="115" t="str">
        <f>'01.09'!C47</f>
        <v>*Пр. Анатомия*</v>
      </c>
      <c r="D47" s="116">
        <f>'28.12'!D47+COUNTIF(D$11:D$40,$C47)</f>
        <v>4</v>
      </c>
      <c r="E47" s="116">
        <f>'28.12'!E47+COUNTIF(E$11:E$40,$C47)</f>
        <v>4</v>
      </c>
      <c r="F47" s="116">
        <f>'28.12'!F47+COUNTIF(F$11:F$40,$C47)</f>
        <v>4</v>
      </c>
      <c r="G47" s="116">
        <f>'28.12'!G47+COUNTIF(G$11:G$40,$C47)</f>
        <v>4</v>
      </c>
    </row>
    <row r="48" spans="1:7">
      <c r="A48" s="91"/>
      <c r="B48" s="69"/>
      <c r="C48" s="115" t="str">
        <f>'01.09'!C48</f>
        <v>*Л. Теория и методика*</v>
      </c>
      <c r="D48" s="116">
        <f>'28.12'!D48+COUNTIF(D$11:D$40,$C48)</f>
        <v>5</v>
      </c>
      <c r="E48" s="116">
        <f>'28.12'!E48+COUNTIF(E$11:E$40,$C48)</f>
        <v>5</v>
      </c>
      <c r="F48" s="116">
        <f>'28.12'!F48+COUNTIF(F$11:F$40,$C48)</f>
        <v>5</v>
      </c>
      <c r="G48" s="116">
        <f>'28.12'!G48+COUNTIF(G$11:G$40,$C48)</f>
        <v>5</v>
      </c>
    </row>
    <row r="49" spans="1:7">
      <c r="A49" s="91"/>
      <c r="B49" s="69"/>
      <c r="C49" s="115" t="str">
        <f>'01.09'!C49</f>
        <v>*Пр. Теория и методика*</v>
      </c>
      <c r="D49" s="116">
        <f>'28.12'!D49+COUNTIF(D$11:D$40,$C49)</f>
        <v>24</v>
      </c>
      <c r="E49" s="116">
        <f>'28.12'!E49+COUNTIF(E$11:E$40,$C49)</f>
        <v>25</v>
      </c>
      <c r="F49" s="116">
        <f>'28.12'!F49+COUNTIF(F$11:F$40,$C49)</f>
        <v>25</v>
      </c>
      <c r="G49" s="116">
        <f>'28.12'!G49+COUNTIF(G$11:G$40,$C49)</f>
        <v>25</v>
      </c>
    </row>
    <row r="50" spans="1:7">
      <c r="A50" s="91"/>
      <c r="B50" s="69"/>
      <c r="C50" s="115" t="str">
        <f>'01.09'!C50</f>
        <v>*Л. Информационные технологии*</v>
      </c>
      <c r="D50" s="116">
        <f>'28.12'!D50+COUNTIF(D$11:D$40,$C50)</f>
        <v>2</v>
      </c>
      <c r="E50" s="116">
        <f>'28.12'!E50+COUNTIF(E$11:E$40,$C50)</f>
        <v>2</v>
      </c>
      <c r="F50" s="116">
        <f>'28.12'!F50+COUNTIF(F$11:F$40,$C50)</f>
        <v>2</v>
      </c>
      <c r="G50" s="116">
        <f>'28.12'!G50+COUNTIF(G$11:G$40,$C50)</f>
        <v>2</v>
      </c>
    </row>
    <row r="51" spans="1:7">
      <c r="A51" s="91"/>
      <c r="B51" s="69"/>
      <c r="C51" s="115" t="str">
        <f>'01.09'!C51</f>
        <v>*Пр. Информационные технологии*</v>
      </c>
      <c r="D51" s="116">
        <f>'28.12'!D51+COUNTIF(D$11:D$40,$C51)</f>
        <v>8</v>
      </c>
      <c r="E51" s="116">
        <f>'28.12'!E51+COUNTIF(E$11:E$40,$C51)</f>
        <v>8</v>
      </c>
      <c r="F51" s="116">
        <f>'28.12'!F51+COUNTIF(F$11:F$40,$C51)</f>
        <v>8</v>
      </c>
      <c r="G51" s="116">
        <f>'28.12'!G51+COUNTIF(G$11:G$40,$C51)</f>
        <v>8</v>
      </c>
    </row>
    <row r="52" spans="1:7">
      <c r="A52" s="91"/>
      <c r="C52" s="115" t="str">
        <f>'01.09'!C53</f>
        <v>*Пр. Гимнастика*</v>
      </c>
      <c r="D52" s="116">
        <f>'28.12'!D52+COUNTIF(D$11:D$40,$C52)</f>
        <v>3</v>
      </c>
      <c r="E52" s="116">
        <f>'28.12'!E52+COUNTIF(E$11:E$40,$C52)</f>
        <v>3</v>
      </c>
      <c r="F52" s="116">
        <f>'28.12'!F52+COUNTIF(F$11:F$40,$C52)</f>
        <v>3</v>
      </c>
      <c r="G52" s="116">
        <f>'28.12'!G52+COUNTIF(G$11:G$40,$C52)</f>
        <v>3</v>
      </c>
    </row>
    <row r="53" spans="1:7">
      <c r="A53" s="91"/>
      <c r="B53" s="69"/>
      <c r="C53" s="115" t="str">
        <f>'01.09'!C54</f>
        <v>*Л. Элективные дисциплины по ФКиС: Подвижные игры*</v>
      </c>
      <c r="D53" s="116">
        <f>'28.12'!D53+COUNTIF(D$11:D$40,$C53)</f>
        <v>13</v>
      </c>
      <c r="E53" s="116">
        <f>'28.12'!E53+COUNTIF(E$11:E$40,$C53)</f>
        <v>12</v>
      </c>
      <c r="F53" s="116">
        <f>'28.12'!F53+COUNTIF(F$11:F$40,$C53)</f>
        <v>12</v>
      </c>
      <c r="G53" s="116">
        <f>'28.12'!G53+COUNTIF(G$11:G$40,$C53)</f>
        <v>12</v>
      </c>
    </row>
    <row r="54" spans="1:7">
      <c r="A54" s="91"/>
      <c r="B54" s="69"/>
      <c r="C54" s="115" t="str">
        <f>'01.09'!C55</f>
        <v>*Пр. Элективные дисциплины по ФКиС: Подвижные игры*</v>
      </c>
      <c r="D54" s="116">
        <f>'28.12'!D54+COUNTIF(D$11:D$40,$C54)</f>
        <v>1</v>
      </c>
      <c r="E54" s="116">
        <f>'28.12'!E54+COUNTIF(E$11:E$40,$C54)</f>
        <v>1</v>
      </c>
      <c r="F54" s="116">
        <f>'28.12'!F54+COUNTIF(F$11:F$40,$C54)</f>
        <v>1</v>
      </c>
      <c r="G54" s="116">
        <f>'28.12'!G54+COUNTIF(G$11:G$40,$C54)</f>
        <v>1</v>
      </c>
    </row>
    <row r="55" spans="1:7">
      <c r="A55" s="91"/>
      <c r="B55" s="69"/>
      <c r="C55" s="115" t="str">
        <f>'01.09'!C56</f>
        <v>*Л. Волейбол*</v>
      </c>
      <c r="D55" s="116">
        <f>'28.12'!D55+COUNTIF(D$11:D$40,$C55)</f>
        <v>8</v>
      </c>
      <c r="E55" s="116">
        <f>'28.12'!E55+COUNTIF(E$11:E$40,$C55)</f>
        <v>8</v>
      </c>
      <c r="F55" s="116">
        <f>'28.12'!F55+COUNTIF(F$11:F$40,$C55)</f>
        <v>9</v>
      </c>
      <c r="G55" s="116">
        <f>'28.12'!G55+COUNTIF(G$11:G$40,$C55)</f>
        <v>9</v>
      </c>
    </row>
    <row r="56" spans="1:7">
      <c r="A56" s="91"/>
      <c r="C56" s="115" t="str">
        <f>'01.09'!C57</f>
        <v>*Пр. Волейбол*</v>
      </c>
      <c r="D56" s="116">
        <f>'28.12'!D56+COUNTIF(D$11:D$40,$C56)</f>
        <v>1</v>
      </c>
      <c r="E56" s="116">
        <f>'28.12'!E56+COUNTIF(E$11:E$40,$C56)</f>
        <v>1</v>
      </c>
      <c r="F56" s="116">
        <f>'28.12'!F56+COUNTIF(F$11:F$40,$C56)</f>
        <v>1</v>
      </c>
      <c r="G56" s="116">
        <f>'28.12'!G56+COUNTIF(G$11:G$40,$C56)</f>
        <v>1</v>
      </c>
    </row>
    <row r="57" spans="1:7">
      <c r="A57" s="91"/>
      <c r="C57" s="115" t="str">
        <f>'01.09'!C58</f>
        <v>*Л. Лыжные гонки*</v>
      </c>
      <c r="D57" s="116">
        <f>'28.12'!D57+COUNTIF(D$11:D$40,$C57)</f>
        <v>16</v>
      </c>
      <c r="E57" s="116">
        <f>'28.12'!E57+COUNTIF(E$11:E$40,$C57)</f>
        <v>16</v>
      </c>
      <c r="F57" s="116">
        <f>'28.12'!F57+COUNTIF(F$11:F$40,$C57)</f>
        <v>16</v>
      </c>
      <c r="G57" s="116">
        <f>'28.12'!G57+COUNTIF(G$11:G$40,$C57)</f>
        <v>16</v>
      </c>
    </row>
    <row r="58" spans="1:7">
      <c r="A58" s="91"/>
      <c r="C58" s="115" t="str">
        <f>'01.09'!C59</f>
        <v>*Пр. Лыжные гонки*</v>
      </c>
      <c r="D58" s="116">
        <f>'28.12'!D58+COUNTIF(D$11:D$40,$C58)</f>
        <v>0</v>
      </c>
      <c r="E58" s="116">
        <f>'28.12'!E58+COUNTIF(E$11:E$40,$C58)</f>
        <v>0</v>
      </c>
      <c r="F58" s="116">
        <f>'28.12'!F58+COUNTIF(F$11:F$40,$C58)</f>
        <v>0</v>
      </c>
      <c r="G58" s="116">
        <f>'28.12'!G58+COUNTIF(G$11:G$40,$C58)</f>
        <v>0</v>
      </c>
    </row>
    <row r="59" spans="1:7">
      <c r="A59" s="91"/>
      <c r="B59" s="217"/>
      <c r="C59" s="115" t="str">
        <f>'01.09'!C60</f>
        <v>*Л. Использование электронной*</v>
      </c>
      <c r="D59" s="116">
        <f>'28.12'!D59+COUNTIF(D$11:D$40,$C59)</f>
        <v>0</v>
      </c>
      <c r="E59" s="116">
        <f>'28.12'!E59+COUNTIF(E$11:E$40,$C59)</f>
        <v>0</v>
      </c>
      <c r="F59" s="116">
        <f>'28.12'!F59+COUNTIF(F$11:F$40,$C59)</f>
        <v>0</v>
      </c>
      <c r="G59" s="116">
        <f>'28.12'!G59+COUNTIF(G$11:G$40,$C59)</f>
        <v>0</v>
      </c>
    </row>
    <row r="60" spans="1:7">
      <c r="A60" s="91"/>
      <c r="C60" s="115" t="str">
        <f>'01.09'!C61</f>
        <v>*Пр. Использование электронной*</v>
      </c>
      <c r="D60" s="116">
        <f>'28.12'!D60+COUNTIF(D$11:D$40,$C60)</f>
        <v>1</v>
      </c>
      <c r="E60" s="116">
        <f>'28.12'!E60+COUNTIF(E$11:E$40,$C60)</f>
        <v>0</v>
      </c>
      <c r="F60" s="116">
        <f>'28.12'!F60+COUNTIF(F$11:F$40,$C60)</f>
        <v>0</v>
      </c>
      <c r="G60" s="116">
        <f>'28.12'!G60+COUNTIF(G$11:G$40,$C60)</f>
        <v>0</v>
      </c>
    </row>
    <row r="61" spans="1:7">
      <c r="A61" s="91"/>
      <c r="B61" s="91"/>
      <c r="C61" s="115" t="str">
        <f>'01.09'!C62</f>
        <v>*Пр. Иностранный*</v>
      </c>
      <c r="D61" s="116">
        <f>'28.12'!D61+COUNTIF(D$11:D$40,$C61)</f>
        <v>2</v>
      </c>
      <c r="E61" s="116">
        <f>'28.12'!E61+COUNTIF(E$11:E$40,$C61)</f>
        <v>2</v>
      </c>
      <c r="F61" s="116">
        <f>'28.12'!F61+COUNTIF(F$11:F$40,$C61)</f>
        <v>2</v>
      </c>
      <c r="G61" s="116">
        <f>'28.12'!G61+COUNTIF(G$11:G$40,$C61)</f>
        <v>2</v>
      </c>
    </row>
    <row r="62" spans="1:7">
      <c r="A62" s="91"/>
      <c r="B62" s="118"/>
      <c r="C62" s="115" t="e">
        <f>'01.09'!#REF!</f>
        <v>#REF!</v>
      </c>
      <c r="D62" s="116">
        <f>'28.12'!D62+COUNTIF(D$11:D$40,$C62)</f>
        <v>8</v>
      </c>
      <c r="E62" s="116">
        <f>'28.12'!E62+COUNTIF(E$11:E$40,$C62)</f>
        <v>8</v>
      </c>
      <c r="F62" s="116">
        <f>'28.12'!F62+COUNTIF(F$11:F$40,$C62)</f>
        <v>8</v>
      </c>
      <c r="G62" s="116">
        <f>'28.12'!G62+COUNTIF(G$11:G$40,$C62)</f>
        <v>8</v>
      </c>
    </row>
    <row r="63" spans="1:7">
      <c r="A63" s="91"/>
      <c r="B63" s="91"/>
      <c r="C63" s="470">
        <f>'01.09'!C63</f>
        <v>0</v>
      </c>
      <c r="D63" s="116">
        <f>'28.12'!D63+COUNTIF(D$11:D$40,$C63)</f>
        <v>0</v>
      </c>
      <c r="E63" s="116">
        <f>'28.12'!E63+COUNTIF(E$11:E$40,$C63)</f>
        <v>0</v>
      </c>
      <c r="F63" s="116">
        <f>'28.12'!F63+COUNTIF(F$11:F$40,$C63)</f>
        <v>0</v>
      </c>
      <c r="G63" s="116">
        <f>'28.12'!G63+COUNTIF(G$11:G$40,$C63)</f>
        <v>0</v>
      </c>
    </row>
    <row r="64" spans="1:7">
      <c r="A64" s="91"/>
      <c r="B64" s="91"/>
      <c r="C64" s="470">
        <f>'01.09'!C64</f>
        <v>0</v>
      </c>
      <c r="D64" s="116">
        <f>'28.12'!D64+COUNTIF(D$11:D$40,$C64)</f>
        <v>0</v>
      </c>
      <c r="E64" s="116">
        <f>'28.12'!E64+COUNTIF(E$11:E$40,$C64)</f>
        <v>0</v>
      </c>
      <c r="F64" s="116">
        <f>'28.12'!F64+COUNTIF(F$11:F$40,$C64)</f>
        <v>0</v>
      </c>
      <c r="G64" s="116">
        <f>'28.12'!G64+COUNTIF(G$11:G$40,$C64)</f>
        <v>0</v>
      </c>
    </row>
    <row r="65" spans="1:7">
      <c r="A65" s="91"/>
      <c r="B65" s="91"/>
      <c r="C65" s="470">
        <f>'01.09'!C65</f>
        <v>0</v>
      </c>
      <c r="D65" s="116">
        <f>'28.12'!D65+COUNTIF(D$11:D$40,$C65)</f>
        <v>0</v>
      </c>
      <c r="E65" s="116">
        <f>'28.12'!E65+COUNTIF(E$11:E$40,$C65)</f>
        <v>0</v>
      </c>
      <c r="F65" s="116">
        <f>'28.12'!F65+COUNTIF(F$11:F$40,$C65)</f>
        <v>0</v>
      </c>
      <c r="G65" s="116">
        <f>'28.12'!G65+COUNTIF(G$11:G$40,$C65)</f>
        <v>0</v>
      </c>
    </row>
    <row r="66" spans="1:7">
      <c r="A66" s="91"/>
      <c r="B66" s="91"/>
      <c r="C66" s="470">
        <f>'01.09'!C66</f>
        <v>0</v>
      </c>
      <c r="D66" s="116">
        <f>'28.12'!D66+COUNTIF(D$11:D$40,$C66)</f>
        <v>0</v>
      </c>
      <c r="E66" s="116">
        <f>'28.12'!E66+COUNTIF(E$11:E$40,$C66)</f>
        <v>0</v>
      </c>
      <c r="F66" s="116">
        <f>'28.12'!F66+COUNTIF(F$11:F$40,$C66)</f>
        <v>0</v>
      </c>
      <c r="G66" s="116">
        <f>'28.12'!G66+COUNTIF(G$11:G$40,$C66)</f>
        <v>0</v>
      </c>
    </row>
    <row r="67" spans="1:7">
      <c r="A67" s="91"/>
      <c r="B67" s="91"/>
      <c r="C67" s="115">
        <f>'01.09'!C67</f>
        <v>0</v>
      </c>
      <c r="D67" s="116">
        <f>'28.12'!D67+COUNTIF(D$11:D$40,$C67)</f>
        <v>0</v>
      </c>
      <c r="E67" s="116">
        <f>'28.12'!E67+COUNTIF(E$11:E$40,$C67)</f>
        <v>0</v>
      </c>
      <c r="F67" s="116">
        <f>'28.12'!F67+COUNTIF(F$11:F$40,$C67)</f>
        <v>0</v>
      </c>
      <c r="G67" s="116">
        <f>'28.12'!G67+COUNTIF(G$11:G$40,$C67)</f>
        <v>0</v>
      </c>
    </row>
    <row r="68" spans="1:7">
      <c r="A68" s="69"/>
      <c r="B68" s="69"/>
      <c r="C68" s="69"/>
      <c r="D68" s="69"/>
      <c r="E68" s="69"/>
      <c r="F68" s="69"/>
      <c r="G68" s="69"/>
    </row>
    <row r="69" spans="1:7">
      <c r="A69" s="69"/>
      <c r="B69" s="69"/>
      <c r="C69" s="69"/>
      <c r="D69" s="69"/>
      <c r="E69" s="69"/>
      <c r="F69" s="69"/>
      <c r="G69" s="69"/>
    </row>
    <row r="70" spans="1:7">
      <c r="A70" s="69"/>
      <c r="B70" s="69"/>
      <c r="C70" s="69"/>
      <c r="D70" s="69"/>
      <c r="E70" s="69"/>
      <c r="F70" s="69"/>
      <c r="G70" s="69"/>
    </row>
    <row r="71" spans="1:7">
      <c r="A71" s="69"/>
      <c r="B71" s="69"/>
      <c r="C71" s="69"/>
      <c r="D71" s="69"/>
      <c r="E71" s="69"/>
      <c r="F71" s="69"/>
      <c r="G71" s="69"/>
    </row>
    <row r="72" spans="1:7">
      <c r="A72" s="69"/>
      <c r="B72" s="69"/>
      <c r="C72" s="69"/>
      <c r="D72" s="69"/>
      <c r="E72" s="69"/>
      <c r="F72" s="69"/>
      <c r="G72" s="69"/>
    </row>
    <row r="73" spans="1:7">
      <c r="A73" s="69"/>
      <c r="B73" s="69"/>
      <c r="C73" s="69"/>
      <c r="D73" s="69"/>
      <c r="E73" s="69"/>
      <c r="F73" s="69"/>
      <c r="G73" s="69"/>
    </row>
    <row r="74" spans="1:7">
      <c r="A74" s="69"/>
      <c r="B74" s="69"/>
      <c r="C74" s="69"/>
      <c r="D74" s="69"/>
      <c r="E74" s="69"/>
      <c r="F74" s="69"/>
      <c r="G74" s="69"/>
    </row>
    <row r="75" spans="1:7">
      <c r="A75" s="69"/>
      <c r="B75" s="69"/>
      <c r="C75" s="69"/>
      <c r="D75" s="69"/>
      <c r="E75" s="69"/>
      <c r="F75" s="69"/>
      <c r="G75" s="69"/>
    </row>
    <row r="76" spans="1:7">
      <c r="A76" s="69"/>
      <c r="B76" s="69"/>
      <c r="C76" s="69"/>
      <c r="D76" s="69"/>
      <c r="E76" s="69"/>
      <c r="F76" s="69"/>
      <c r="G76" s="69"/>
    </row>
  </sheetData>
  <mergeCells count="22"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  <mergeCell ref="B7:G7"/>
    <mergeCell ref="A9:A10"/>
    <mergeCell ref="B9:B10"/>
    <mergeCell ref="C9:C10"/>
    <mergeCell ref="A11:A15"/>
    <mergeCell ref="B11:B15"/>
    <mergeCell ref="B6:G6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view="pageBreakPreview" zoomScale="40" zoomScaleNormal="40" zoomScaleSheetLayoutView="40" zoomScalePageLayoutView="40" workbookViewId="0">
      <selection activeCell="E19" sqref="E19"/>
    </sheetView>
  </sheetViews>
  <sheetFormatPr defaultRowHeight="26.25"/>
  <cols>
    <col min="1" max="1" width="4.42578125" style="84" customWidth="1"/>
    <col min="2" max="2" width="7.7109375" style="84" customWidth="1"/>
    <col min="3" max="3" width="28" style="84" customWidth="1"/>
    <col min="4" max="7" width="73.140625" style="84" customWidth="1"/>
    <col min="8" max="16384" width="9.140625" style="84"/>
  </cols>
  <sheetData>
    <row r="1" spans="1:7" ht="30">
      <c r="B1" s="726" t="s">
        <v>182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 customHeight="1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183</v>
      </c>
      <c r="C6" s="726"/>
      <c r="D6" s="726"/>
      <c r="E6" s="726"/>
      <c r="F6" s="726"/>
      <c r="G6" s="726"/>
    </row>
    <row r="7" spans="1:7" ht="26.25" customHeight="1">
      <c r="A7" s="87"/>
      <c r="B7" s="728" t="s">
        <v>174</v>
      </c>
      <c r="C7" s="728"/>
      <c r="D7" s="728"/>
      <c r="E7" s="728"/>
      <c r="F7" s="728"/>
      <c r="G7" s="728"/>
    </row>
    <row r="8" spans="1:7" ht="6.75" customHeight="1" thickBot="1">
      <c r="A8" s="89"/>
      <c r="B8" s="89"/>
      <c r="C8" s="89"/>
      <c r="D8" s="89"/>
      <c r="E8" s="89"/>
      <c r="F8" s="89"/>
      <c r="G8" s="89"/>
    </row>
    <row r="9" spans="1:7" ht="27" thickBot="1">
      <c r="A9" s="789" t="s">
        <v>76</v>
      </c>
      <c r="B9" s="789" t="s">
        <v>9</v>
      </c>
      <c r="C9" s="791" t="s">
        <v>77</v>
      </c>
      <c r="D9" s="411" t="s">
        <v>165</v>
      </c>
      <c r="E9" s="412" t="s">
        <v>11</v>
      </c>
      <c r="F9" s="412" t="s">
        <v>12</v>
      </c>
      <c r="G9" s="413" t="s">
        <v>153</v>
      </c>
    </row>
    <row r="10" spans="1:7" ht="84" customHeight="1" thickBot="1">
      <c r="A10" s="790"/>
      <c r="B10" s="790"/>
      <c r="C10" s="792"/>
      <c r="D10" s="439" t="s">
        <v>159</v>
      </c>
      <c r="E10" s="370" t="s">
        <v>125</v>
      </c>
      <c r="F10" s="518" t="s">
        <v>198</v>
      </c>
      <c r="G10" s="371" t="s">
        <v>199</v>
      </c>
    </row>
    <row r="11" spans="1:7" ht="67.5" customHeight="1">
      <c r="A11" s="774" t="s">
        <v>0</v>
      </c>
      <c r="B11" s="716">
        <v>46188</v>
      </c>
      <c r="C11" s="46" t="s">
        <v>5</v>
      </c>
      <c r="D11" s="519"/>
      <c r="E11" s="360"/>
      <c r="F11" s="360"/>
      <c r="G11" s="520"/>
    </row>
    <row r="12" spans="1:7" ht="27.75">
      <c r="A12" s="775"/>
      <c r="B12" s="707"/>
      <c r="C12" s="47" t="s">
        <v>6</v>
      </c>
      <c r="D12" s="395"/>
      <c r="E12" s="477"/>
      <c r="F12" s="442"/>
      <c r="G12" s="397"/>
    </row>
    <row r="13" spans="1:7" ht="75" customHeight="1">
      <c r="A13" s="775"/>
      <c r="B13" s="707"/>
      <c r="C13" s="47" t="s">
        <v>7</v>
      </c>
      <c r="D13" s="395"/>
      <c r="E13" s="477"/>
      <c r="F13" s="442"/>
      <c r="G13" s="397"/>
    </row>
    <row r="14" spans="1:7" ht="75" customHeight="1">
      <c r="A14" s="775"/>
      <c r="B14" s="707"/>
      <c r="C14" s="47" t="s">
        <v>8</v>
      </c>
      <c r="D14" s="395"/>
      <c r="E14" s="442"/>
      <c r="F14" s="442"/>
      <c r="G14" s="397"/>
    </row>
    <row r="15" spans="1:7" ht="67.5" customHeight="1" thickBot="1">
      <c r="A15" s="775"/>
      <c r="B15" s="707"/>
      <c r="C15" s="48" t="s">
        <v>10</v>
      </c>
      <c r="D15" s="546"/>
      <c r="E15" s="547"/>
      <c r="F15" s="547"/>
      <c r="G15" s="548"/>
    </row>
    <row r="16" spans="1:7" ht="76.5" customHeight="1">
      <c r="A16" s="774" t="s">
        <v>1</v>
      </c>
      <c r="B16" s="709">
        <f>B11+1</f>
        <v>46189</v>
      </c>
      <c r="C16" s="46" t="s">
        <v>5</v>
      </c>
      <c r="D16" s="479"/>
      <c r="E16" s="404"/>
      <c r="F16" s="478"/>
      <c r="G16" s="476"/>
    </row>
    <row r="17" spans="1:7" ht="69" customHeight="1">
      <c r="A17" s="775"/>
      <c r="B17" s="707"/>
      <c r="C17" s="47" t="s">
        <v>6</v>
      </c>
      <c r="D17" s="364"/>
      <c r="E17" s="477"/>
      <c r="F17" s="477"/>
      <c r="G17" s="415"/>
    </row>
    <row r="18" spans="1:7" ht="67.5" customHeight="1">
      <c r="A18" s="775"/>
      <c r="B18" s="707"/>
      <c r="C18" s="47" t="s">
        <v>7</v>
      </c>
      <c r="D18" s="395"/>
      <c r="E18" s="396"/>
      <c r="F18" s="396"/>
      <c r="G18" s="415"/>
    </row>
    <row r="19" spans="1:7" ht="67.5" customHeight="1">
      <c r="A19" s="775"/>
      <c r="B19" s="707"/>
      <c r="C19" s="47" t="s">
        <v>8</v>
      </c>
      <c r="D19" s="395"/>
      <c r="E19" s="477"/>
      <c r="F19" s="396"/>
      <c r="G19" s="415"/>
    </row>
    <row r="20" spans="1:7" ht="67.5" customHeight="1" thickBot="1">
      <c r="A20" s="776"/>
      <c r="B20" s="707"/>
      <c r="C20" s="48" t="s">
        <v>10</v>
      </c>
      <c r="D20" s="549"/>
      <c r="E20" s="550"/>
      <c r="F20" s="550"/>
      <c r="G20" s="551"/>
    </row>
    <row r="21" spans="1:7" ht="80.25" customHeight="1">
      <c r="A21" s="774" t="s">
        <v>2</v>
      </c>
      <c r="B21" s="709">
        <f>B16+1</f>
        <v>46190</v>
      </c>
      <c r="C21" s="46" t="s">
        <v>5</v>
      </c>
      <c r="D21" s="254"/>
      <c r="E21" s="255"/>
      <c r="F21" s="255"/>
      <c r="G21" s="256"/>
    </row>
    <row r="22" spans="1:7" ht="83.25" customHeight="1">
      <c r="A22" s="775"/>
      <c r="B22" s="707"/>
      <c r="C22" s="47" t="s">
        <v>6</v>
      </c>
      <c r="D22" s="257"/>
      <c r="E22" s="258"/>
      <c r="F22" s="396"/>
      <c r="G22" s="248"/>
    </row>
    <row r="23" spans="1:7" ht="78" customHeight="1">
      <c r="A23" s="775"/>
      <c r="B23" s="707"/>
      <c r="C23" s="47" t="s">
        <v>7</v>
      </c>
      <c r="D23" s="395"/>
      <c r="E23" s="259"/>
      <c r="F23" s="258"/>
      <c r="G23" s="296"/>
    </row>
    <row r="24" spans="1:7" ht="84" customHeight="1">
      <c r="A24" s="775"/>
      <c r="B24" s="707"/>
      <c r="C24" s="47" t="s">
        <v>8</v>
      </c>
      <c r="D24" s="257"/>
      <c r="E24" s="258"/>
      <c r="F24" s="258"/>
      <c r="G24" s="248"/>
    </row>
    <row r="25" spans="1:7" ht="67.5" customHeight="1" thickBot="1">
      <c r="A25" s="776"/>
      <c r="B25" s="707"/>
      <c r="C25" s="48" t="s">
        <v>10</v>
      </c>
      <c r="D25" s="265"/>
      <c r="E25" s="315"/>
      <c r="F25" s="315"/>
      <c r="G25" s="316"/>
    </row>
    <row r="26" spans="1:7" ht="67.5" customHeight="1">
      <c r="A26" s="774" t="s">
        <v>3</v>
      </c>
      <c r="B26" s="709">
        <f>B21+1</f>
        <v>46191</v>
      </c>
      <c r="C26" s="46" t="s">
        <v>5</v>
      </c>
      <c r="D26" s="281"/>
      <c r="E26" s="552"/>
      <c r="F26" s="552"/>
      <c r="G26" s="553"/>
    </row>
    <row r="27" spans="1:7" ht="78.75" customHeight="1">
      <c r="A27" s="794"/>
      <c r="B27" s="707"/>
      <c r="C27" s="47" t="s">
        <v>6</v>
      </c>
      <c r="D27" s="335"/>
      <c r="E27" s="358"/>
      <c r="F27" s="358"/>
      <c r="G27" s="359"/>
    </row>
    <row r="28" spans="1:7" ht="72" customHeight="1">
      <c r="A28" s="794"/>
      <c r="B28" s="707"/>
      <c r="C28" s="47" t="s">
        <v>7</v>
      </c>
      <c r="D28" s="395"/>
      <c r="E28" s="434"/>
      <c r="F28" s="434"/>
      <c r="G28" s="415"/>
    </row>
    <row r="29" spans="1:7" ht="81.75" customHeight="1">
      <c r="A29" s="794"/>
      <c r="B29" s="707"/>
      <c r="C29" s="47" t="s">
        <v>8</v>
      </c>
      <c r="D29" s="395"/>
      <c r="E29" s="434"/>
      <c r="F29" s="442"/>
      <c r="G29" s="248"/>
    </row>
    <row r="30" spans="1:7" ht="67.5" customHeight="1" thickBot="1">
      <c r="A30" s="795"/>
      <c r="B30" s="707"/>
      <c r="C30" s="48" t="s">
        <v>10</v>
      </c>
      <c r="D30" s="265"/>
      <c r="E30" s="474"/>
      <c r="F30" s="474"/>
      <c r="G30" s="475"/>
    </row>
    <row r="31" spans="1:7" ht="67.5" customHeight="1">
      <c r="A31" s="778" t="s">
        <v>4</v>
      </c>
      <c r="B31" s="734">
        <f>B26+1</f>
        <v>46192</v>
      </c>
      <c r="C31" s="105" t="s">
        <v>5</v>
      </c>
      <c r="D31" s="281"/>
      <c r="E31" s="287"/>
      <c r="F31" s="446"/>
      <c r="G31" s="334"/>
    </row>
    <row r="32" spans="1:7" ht="67.5" customHeight="1">
      <c r="A32" s="781"/>
      <c r="B32" s="731"/>
      <c r="C32" s="106" t="s">
        <v>6</v>
      </c>
      <c r="D32" s="257"/>
      <c r="E32" s="287"/>
      <c r="F32" s="259"/>
      <c r="G32" s="397"/>
    </row>
    <row r="33" spans="1:11" ht="67.5" customHeight="1">
      <c r="A33" s="781"/>
      <c r="B33" s="731"/>
      <c r="C33" s="106" t="s">
        <v>7</v>
      </c>
      <c r="D33" s="257"/>
      <c r="E33" s="285"/>
      <c r="F33" s="287"/>
      <c r="G33" s="397"/>
    </row>
    <row r="34" spans="1:11" ht="67.5" customHeight="1">
      <c r="A34" s="781"/>
      <c r="B34" s="731"/>
      <c r="C34" s="106" t="s">
        <v>8</v>
      </c>
      <c r="D34" s="257"/>
      <c r="E34" s="285"/>
      <c r="F34" s="333"/>
      <c r="G34" s="248"/>
    </row>
    <row r="35" spans="1:11" ht="67.5" customHeight="1" thickBot="1">
      <c r="A35" s="782"/>
      <c r="B35" s="731"/>
      <c r="C35" s="107" t="s">
        <v>10</v>
      </c>
      <c r="D35" s="265"/>
      <c r="E35" s="363"/>
      <c r="F35" s="315"/>
      <c r="G35" s="445"/>
    </row>
    <row r="36" spans="1:11" ht="67.5" customHeight="1">
      <c r="A36" s="731" t="s">
        <v>18</v>
      </c>
      <c r="B36" s="734">
        <f>B31+1</f>
        <v>46193</v>
      </c>
      <c r="C36" s="105" t="s">
        <v>5</v>
      </c>
      <c r="D36" s="491"/>
      <c r="E36" s="556"/>
      <c r="F36" s="556"/>
      <c r="G36" s="492"/>
    </row>
    <row r="37" spans="1:11" ht="67.5" customHeight="1">
      <c r="A37" s="731"/>
      <c r="B37" s="731"/>
      <c r="C37" s="106" t="s">
        <v>6</v>
      </c>
      <c r="D37" s="239"/>
      <c r="E37" s="558"/>
      <c r="F37" s="558"/>
      <c r="G37" s="493"/>
    </row>
    <row r="38" spans="1:11" ht="67.5" customHeight="1">
      <c r="A38" s="731"/>
      <c r="B38" s="731"/>
      <c r="C38" s="106" t="s">
        <v>7</v>
      </c>
      <c r="D38" s="239"/>
      <c r="E38" s="558"/>
      <c r="F38" s="558"/>
      <c r="G38" s="493"/>
    </row>
    <row r="39" spans="1:11" ht="67.5" customHeight="1">
      <c r="A39" s="731"/>
      <c r="B39" s="731"/>
      <c r="C39" s="106" t="s">
        <v>8</v>
      </c>
      <c r="D39" s="494"/>
      <c r="E39" s="472"/>
      <c r="F39" s="472"/>
      <c r="G39" s="495"/>
    </row>
    <row r="40" spans="1:11" ht="67.5" customHeight="1" thickBot="1">
      <c r="A40" s="777"/>
      <c r="B40" s="777"/>
      <c r="C40" s="107" t="s">
        <v>10</v>
      </c>
      <c r="D40" s="496"/>
      <c r="E40" s="497"/>
      <c r="F40" s="497"/>
      <c r="G40" s="498"/>
    </row>
    <row r="41" spans="1:11" ht="30.75">
      <c r="A41" s="91"/>
      <c r="B41" s="91"/>
      <c r="C41" s="91"/>
      <c r="D41" s="213" t="s">
        <v>120</v>
      </c>
      <c r="E41" s="91"/>
      <c r="F41" s="91"/>
      <c r="G41" s="91"/>
    </row>
    <row r="42" spans="1:11">
      <c r="A42" s="91"/>
      <c r="B42" s="69"/>
      <c r="C42" s="513" t="str">
        <f>'01.09'!C42</f>
        <v>*Л. Речевое общение в профессиональной деятельности*</v>
      </c>
      <c r="D42" s="116">
        <f>'08.06'!D42+COUNTIF(D$11:D$40,$C42)</f>
        <v>5</v>
      </c>
      <c r="E42" s="116">
        <f>'08.06'!E42+COUNTIF(E$11:E$40,$C42)</f>
        <v>5</v>
      </c>
      <c r="F42" s="116">
        <f>'08.06'!F42+COUNTIF(F$11:F$40,$C42)</f>
        <v>5</v>
      </c>
      <c r="G42" s="116">
        <f>'08.06'!G42+COUNTIF(G$11:G$40,$C42)</f>
        <v>5</v>
      </c>
    </row>
    <row r="43" spans="1:11">
      <c r="A43" s="91"/>
      <c r="B43" s="69"/>
      <c r="C43" s="513" t="str">
        <f>'01.09'!C43</f>
        <v>*Пр. Речевое общение в профессиональной деятельности*</v>
      </c>
      <c r="D43" s="116">
        <f>'08.06'!D43+COUNTIF(D$11:D$40,$C43)</f>
        <v>4</v>
      </c>
      <c r="E43" s="116">
        <f>'08.06'!E43+COUNTIF(E$11:E$40,$C43)</f>
        <v>4</v>
      </c>
      <c r="F43" s="116">
        <f>'08.06'!F43+COUNTIF(F$11:F$40,$C43)</f>
        <v>4</v>
      </c>
      <c r="G43" s="116">
        <f>'08.06'!G43+COUNTIF(G$11:G$40,$C43)</f>
        <v>4</v>
      </c>
    </row>
    <row r="44" spans="1:11">
      <c r="A44" s="91"/>
      <c r="B44" s="69"/>
      <c r="C44" s="513" t="str">
        <f>'01.09'!C44</f>
        <v>*Л. Физическая культура и спорт*</v>
      </c>
      <c r="D44" s="116">
        <f>'08.06'!D44+COUNTIF(D$11:D$40,$C44)</f>
        <v>5</v>
      </c>
      <c r="E44" s="116">
        <f>'08.06'!E44+COUNTIF(E$11:E$40,$C44)</f>
        <v>5</v>
      </c>
      <c r="F44" s="116">
        <f>'08.06'!F44+COUNTIF(F$11:F$40,$C44)</f>
        <v>5</v>
      </c>
      <c r="G44" s="116">
        <f>'08.06'!G44+COUNTIF(G$11:G$40,$C44)</f>
        <v>5</v>
      </c>
    </row>
    <row r="45" spans="1:11">
      <c r="A45" s="91"/>
      <c r="B45" s="69"/>
      <c r="C45" s="513" t="str">
        <f>'01.09'!C45</f>
        <v>*Пр. Физическая культура и спорт*</v>
      </c>
      <c r="D45" s="116">
        <f>'08.06'!D45+COUNTIF(D$11:D$40,$C45)</f>
        <v>5</v>
      </c>
      <c r="E45" s="116">
        <f>'08.06'!E45+COUNTIF(E$11:E$40,$C45)</f>
        <v>5</v>
      </c>
      <c r="F45" s="116">
        <f>'08.06'!F45+COUNTIF(F$11:F$40,$C45)</f>
        <v>5</v>
      </c>
      <c r="G45" s="116">
        <f>'08.06'!G45+COUNTIF(G$11:G$40,$C45)</f>
        <v>5</v>
      </c>
    </row>
    <row r="46" spans="1:11">
      <c r="A46" s="91"/>
      <c r="B46" s="69"/>
      <c r="C46" s="513" t="str">
        <f>'01.09'!C46</f>
        <v>*Л. Анатомия*</v>
      </c>
      <c r="D46" s="116">
        <f>'08.06'!D46+COUNTIF(D$11:D$40,$C46)</f>
        <v>4</v>
      </c>
      <c r="E46" s="116">
        <f>'08.06'!E46+COUNTIF(E$11:E$40,$C46)</f>
        <v>4</v>
      </c>
      <c r="F46" s="116">
        <f>'08.06'!F46+COUNTIF(F$11:F$40,$C46)</f>
        <v>4</v>
      </c>
      <c r="G46" s="116">
        <f>'08.06'!G46+COUNTIF(G$11:G$40,$C46)</f>
        <v>4</v>
      </c>
    </row>
    <row r="47" spans="1:11" ht="27" thickBot="1">
      <c r="A47" s="91"/>
      <c r="B47" s="69"/>
      <c r="C47" s="554" t="str">
        <f>'01.09'!C47</f>
        <v>*Пр. Анатомия*</v>
      </c>
      <c r="D47" s="537">
        <f>'08.06'!D47+COUNTIF(D$11:D$40,$C47)</f>
        <v>4</v>
      </c>
      <c r="E47" s="537">
        <f>'08.06'!E47+COUNTIF(E$11:E$40,$C47)</f>
        <v>4</v>
      </c>
      <c r="F47" s="537">
        <f>'08.06'!F47+COUNTIF(F$11:F$40,$C47)</f>
        <v>4</v>
      </c>
      <c r="G47" s="537">
        <f>'08.06'!G47+COUNTIF(G$11:G$40,$C47)</f>
        <v>4</v>
      </c>
    </row>
    <row r="48" spans="1:11">
      <c r="A48" s="91"/>
      <c r="B48" s="540"/>
      <c r="C48" s="541" t="str">
        <f>'01.09'!C48</f>
        <v>*Л. Теория и методика*</v>
      </c>
      <c r="D48" s="542">
        <f>'08.06'!D48+COUNTIF(D$11:D$40,$C48)</f>
        <v>5</v>
      </c>
      <c r="E48" s="542">
        <f>'08.06'!E48+COUNTIF(E$11:E$40,$C48)</f>
        <v>5</v>
      </c>
      <c r="F48" s="542">
        <f>'08.06'!F48+COUNTIF(F$11:F$40,$C48)</f>
        <v>5</v>
      </c>
      <c r="G48" s="542">
        <f>'08.06'!G48+COUNTIF(G$11:G$40,$C48)</f>
        <v>5</v>
      </c>
      <c r="H48" s="796"/>
      <c r="I48" s="797"/>
      <c r="J48" s="797"/>
      <c r="K48" s="798"/>
    </row>
    <row r="49" spans="1:11" ht="27" thickBot="1">
      <c r="A49" s="91"/>
      <c r="B49" s="543"/>
      <c r="C49" s="544" t="str">
        <f>'01.09'!C49</f>
        <v>*Пр. Теория и методика*</v>
      </c>
      <c r="D49" s="545">
        <f>'08.06'!D49+COUNTIF(D$11:D$40,$C49)</f>
        <v>24</v>
      </c>
      <c r="E49" s="545">
        <f>'08.06'!E49+COUNTIF(E$11:E$40,$C49)</f>
        <v>25</v>
      </c>
      <c r="F49" s="545">
        <f>'08.06'!F49+COUNTIF(F$11:F$40,$C49)</f>
        <v>25</v>
      </c>
      <c r="G49" s="545">
        <f>'08.06'!G49+COUNTIF(G$11:G$40,$C49)</f>
        <v>25</v>
      </c>
      <c r="H49" s="799"/>
      <c r="I49" s="800"/>
      <c r="J49" s="800"/>
      <c r="K49" s="801"/>
    </row>
    <row r="50" spans="1:11">
      <c r="A50" s="91"/>
      <c r="B50" s="69"/>
      <c r="C50" s="538" t="str">
        <f>'01.09'!C50</f>
        <v>*Л. Информационные технологии*</v>
      </c>
      <c r="D50" s="539">
        <f>'08.06'!D50+COUNTIF(D$11:D$40,$C50)</f>
        <v>2</v>
      </c>
      <c r="E50" s="539">
        <f>'08.06'!E50+COUNTIF(E$11:E$40,$C50)</f>
        <v>2</v>
      </c>
      <c r="F50" s="539">
        <f>'08.06'!F50+COUNTIF(F$11:F$40,$C50)</f>
        <v>2</v>
      </c>
      <c r="G50" s="539">
        <f>'08.06'!G50+COUNTIF(G$11:G$40,$C50)</f>
        <v>2</v>
      </c>
    </row>
    <row r="51" spans="1:11">
      <c r="A51" s="91"/>
      <c r="B51" s="69"/>
      <c r="C51" s="513" t="str">
        <f>'01.09'!C51</f>
        <v>*Пр. Информационные технологии*</v>
      </c>
      <c r="D51" s="116">
        <f>'08.06'!D51+COUNTIF(D$11:D$40,$C51)</f>
        <v>8</v>
      </c>
      <c r="E51" s="116">
        <f>'08.06'!E51+COUNTIF(E$11:E$40,$C51)</f>
        <v>8</v>
      </c>
      <c r="F51" s="116">
        <f>'08.06'!F51+COUNTIF(F$11:F$40,$C51)</f>
        <v>8</v>
      </c>
      <c r="G51" s="116">
        <f>'08.06'!G51+COUNTIF(G$11:G$40,$C51)</f>
        <v>8</v>
      </c>
    </row>
    <row r="52" spans="1:11">
      <c r="A52" s="91"/>
      <c r="C52" s="513" t="str">
        <f>'01.09'!C53</f>
        <v>*Пр. Гимнастика*</v>
      </c>
      <c r="D52" s="116">
        <f>'08.06'!D52+COUNTIF(D$11:D$40,$C52)</f>
        <v>3</v>
      </c>
      <c r="E52" s="116">
        <f>'08.06'!E52+COUNTIF(E$11:E$40,$C52)</f>
        <v>3</v>
      </c>
      <c r="F52" s="116">
        <f>'08.06'!F52+COUNTIF(F$11:F$40,$C52)</f>
        <v>3</v>
      </c>
      <c r="G52" s="116">
        <f>'08.06'!G52+COUNTIF(G$11:G$40,$C52)</f>
        <v>3</v>
      </c>
    </row>
    <row r="53" spans="1:11">
      <c r="A53" s="91"/>
      <c r="B53" s="69"/>
      <c r="C53" s="513" t="str">
        <f>'01.09'!C54</f>
        <v>*Л. Элективные дисциплины по ФКиС: Подвижные игры*</v>
      </c>
      <c r="D53" s="116">
        <f>'08.06'!D53+COUNTIF(D$11:D$40,$C53)</f>
        <v>13</v>
      </c>
      <c r="E53" s="116">
        <f>'08.06'!E53+COUNTIF(E$11:E$40,$C53)</f>
        <v>12</v>
      </c>
      <c r="F53" s="116">
        <f>'08.06'!F53+COUNTIF(F$11:F$40,$C53)</f>
        <v>12</v>
      </c>
      <c r="G53" s="116">
        <f>'08.06'!G53+COUNTIF(G$11:G$40,$C53)</f>
        <v>12</v>
      </c>
    </row>
    <row r="54" spans="1:11">
      <c r="A54" s="91"/>
      <c r="B54" s="69"/>
      <c r="C54" s="513" t="str">
        <f>'01.09'!C55</f>
        <v>*Пр. Элективные дисциплины по ФКиС: Подвижные игры*</v>
      </c>
      <c r="D54" s="116">
        <f>'08.06'!D54+COUNTIF(D$11:D$40,$C54)</f>
        <v>1</v>
      </c>
      <c r="E54" s="116">
        <f>'08.06'!E54+COUNTIF(E$11:E$40,$C54)</f>
        <v>1</v>
      </c>
      <c r="F54" s="116">
        <f>'08.06'!F54+COUNTIF(F$11:F$40,$C54)</f>
        <v>1</v>
      </c>
      <c r="G54" s="116">
        <f>'08.06'!G54+COUNTIF(G$11:G$40,$C54)</f>
        <v>1</v>
      </c>
    </row>
    <row r="55" spans="1:11">
      <c r="A55" s="91"/>
      <c r="B55" s="69"/>
      <c r="C55" s="513" t="str">
        <f>'01.09'!C56</f>
        <v>*Л. Волейбол*</v>
      </c>
      <c r="D55" s="116">
        <f>'08.06'!D55+COUNTIF(D$11:D$40,$C55)</f>
        <v>8</v>
      </c>
      <c r="E55" s="116">
        <f>'08.06'!E55+COUNTIF(E$11:E$40,$C55)</f>
        <v>8</v>
      </c>
      <c r="F55" s="116">
        <f>'08.06'!F55+COUNTIF(F$11:F$40,$C55)</f>
        <v>9</v>
      </c>
      <c r="G55" s="116">
        <f>'08.06'!G55+COUNTIF(G$11:G$40,$C55)</f>
        <v>9</v>
      </c>
    </row>
    <row r="56" spans="1:11">
      <c r="A56" s="91"/>
      <c r="C56" s="513" t="str">
        <f>'01.09'!C57</f>
        <v>*Пр. Волейбол*</v>
      </c>
      <c r="D56" s="116">
        <f>'08.06'!D56+COUNTIF(D$11:D$40,$C56)</f>
        <v>1</v>
      </c>
      <c r="E56" s="116">
        <f>'08.06'!E56+COUNTIF(E$11:E$40,$C56)</f>
        <v>1</v>
      </c>
      <c r="F56" s="116">
        <f>'08.06'!F56+COUNTIF(F$11:F$40,$C56)</f>
        <v>1</v>
      </c>
      <c r="G56" s="116">
        <f>'08.06'!G56+COUNTIF(G$11:G$40,$C56)</f>
        <v>1</v>
      </c>
    </row>
    <row r="57" spans="1:11">
      <c r="A57" s="91"/>
      <c r="C57" s="513" t="str">
        <f>'01.09'!C58</f>
        <v>*Л. Лыжные гонки*</v>
      </c>
      <c r="D57" s="116">
        <f>'08.06'!D57+COUNTIF(D$11:D$40,$C57)</f>
        <v>16</v>
      </c>
      <c r="E57" s="116">
        <f>'08.06'!E57+COUNTIF(E$11:E$40,$C57)</f>
        <v>16</v>
      </c>
      <c r="F57" s="116">
        <f>'08.06'!F57+COUNTIF(F$11:F$40,$C57)</f>
        <v>16</v>
      </c>
      <c r="G57" s="116">
        <f>'08.06'!G57+COUNTIF(G$11:G$40,$C57)</f>
        <v>16</v>
      </c>
    </row>
    <row r="58" spans="1:11">
      <c r="A58" s="91"/>
      <c r="C58" s="513" t="str">
        <f>'01.09'!C59</f>
        <v>*Пр. Лыжные гонки*</v>
      </c>
      <c r="D58" s="116">
        <f>'08.06'!D58+COUNTIF(D$11:D$40,$C58)</f>
        <v>0</v>
      </c>
      <c r="E58" s="116">
        <f>'08.06'!E58+COUNTIF(E$11:E$40,$C58)</f>
        <v>0</v>
      </c>
      <c r="F58" s="116">
        <f>'08.06'!F58+COUNTIF(F$11:F$40,$C58)</f>
        <v>0</v>
      </c>
      <c r="G58" s="116">
        <f>'08.06'!G58+COUNTIF(G$11:G$40,$C58)</f>
        <v>0</v>
      </c>
    </row>
    <row r="59" spans="1:11">
      <c r="A59" s="91"/>
      <c r="B59" s="217"/>
      <c r="C59" s="513" t="str">
        <f>'01.09'!C60</f>
        <v>*Л. Использование электронной*</v>
      </c>
      <c r="D59" s="116">
        <f>'08.06'!D59+COUNTIF(D$11:D$40,$C59)</f>
        <v>0</v>
      </c>
      <c r="E59" s="116">
        <f>'08.06'!E59+COUNTIF(E$11:E$40,$C59)</f>
        <v>0</v>
      </c>
      <c r="F59" s="116">
        <f>'08.06'!F59+COUNTIF(F$11:F$40,$C59)</f>
        <v>0</v>
      </c>
      <c r="G59" s="116">
        <f>'08.06'!G59+COUNTIF(G$11:G$40,$C59)</f>
        <v>0</v>
      </c>
    </row>
    <row r="60" spans="1:11">
      <c r="A60" s="91"/>
      <c r="C60" s="513" t="str">
        <f>'01.09'!C61</f>
        <v>*Пр. Использование электронной*</v>
      </c>
      <c r="D60" s="116">
        <f>'08.06'!D60+COUNTIF(D$11:D$40,$C60)</f>
        <v>1</v>
      </c>
      <c r="E60" s="116">
        <f>'08.06'!E60+COUNTIF(E$11:E$40,$C60)</f>
        <v>0</v>
      </c>
      <c r="F60" s="116">
        <f>'08.06'!F60+COUNTIF(F$11:F$40,$C60)</f>
        <v>0</v>
      </c>
      <c r="G60" s="116">
        <f>'08.06'!G60+COUNTIF(G$11:G$40,$C60)</f>
        <v>0</v>
      </c>
    </row>
    <row r="61" spans="1:11">
      <c r="A61" s="91"/>
      <c r="B61" s="118"/>
      <c r="C61" s="513" t="str">
        <f>'01.09'!C62</f>
        <v>*Пр. Иностранный*</v>
      </c>
      <c r="D61" s="116">
        <f>'08.06'!D61+COUNTIF(D$11:D$40,$C61)</f>
        <v>2</v>
      </c>
      <c r="E61" s="116">
        <f>'08.06'!E61+COUNTIF(E$11:E$40,$C61)</f>
        <v>2</v>
      </c>
      <c r="F61" s="116">
        <f>'08.06'!F61+COUNTIF(F$11:F$40,$C61)</f>
        <v>2</v>
      </c>
      <c r="G61" s="116">
        <f>'08.06'!G61+COUNTIF(G$11:G$40,$C61)</f>
        <v>2</v>
      </c>
    </row>
    <row r="62" spans="1:11">
      <c r="A62" s="91"/>
      <c r="B62" s="118"/>
      <c r="C62" s="513" t="e">
        <f>'01.09'!#REF!</f>
        <v>#REF!</v>
      </c>
      <c r="D62" s="116">
        <f>'08.06'!D62+COUNTIF(D$11:D$40,$C62)</f>
        <v>8</v>
      </c>
      <c r="E62" s="116">
        <f>'08.06'!E62+COUNTIF(E$11:E$40,$C62)</f>
        <v>8</v>
      </c>
      <c r="F62" s="116">
        <f>'08.06'!F62+COUNTIF(F$11:F$40,$C62)</f>
        <v>8</v>
      </c>
      <c r="G62" s="116">
        <f>'08.06'!G62+COUNTIF(G$11:G$40,$C62)</f>
        <v>8</v>
      </c>
    </row>
    <row r="63" spans="1:11">
      <c r="A63" s="91"/>
      <c r="B63" s="91"/>
      <c r="C63" s="513">
        <f>'01.09'!C63</f>
        <v>0</v>
      </c>
      <c r="D63" s="116">
        <f>'08.06'!D63+COUNTIF(D$11:D$40,$C63)</f>
        <v>0</v>
      </c>
      <c r="E63" s="116">
        <f>'08.06'!E63+COUNTIF(E$11:E$40,$C63)</f>
        <v>0</v>
      </c>
      <c r="F63" s="116">
        <f>'08.06'!F63+COUNTIF(F$11:F$40,$C63)</f>
        <v>0</v>
      </c>
      <c r="G63" s="116">
        <f>'08.06'!G63+COUNTIF(G$11:G$40,$C63)</f>
        <v>0</v>
      </c>
    </row>
    <row r="64" spans="1:11">
      <c r="A64" s="91"/>
      <c r="B64" s="91"/>
      <c r="C64" s="115">
        <f>'01.09'!C64</f>
        <v>0</v>
      </c>
      <c r="D64" s="116">
        <f>'08.06'!D64+COUNTIF(D$11:D$40,$C64)</f>
        <v>0</v>
      </c>
      <c r="E64" s="116">
        <f>'08.06'!E64+COUNTIF(E$11:E$40,$C64)</f>
        <v>0</v>
      </c>
      <c r="F64" s="116">
        <f>'08.06'!F64+COUNTIF(F$11:F$40,$C64)</f>
        <v>0</v>
      </c>
      <c r="G64" s="116">
        <f>'08.06'!G64+COUNTIF(G$11:G$40,$C64)</f>
        <v>0</v>
      </c>
    </row>
    <row r="65" spans="1:7">
      <c r="A65" s="91"/>
      <c r="B65" s="91"/>
      <c r="C65" s="115">
        <f>'01.09'!C65</f>
        <v>0</v>
      </c>
      <c r="D65" s="116">
        <f>'08.06'!D65+COUNTIF(D$11:D$40,$C65)</f>
        <v>0</v>
      </c>
      <c r="E65" s="116">
        <f>'08.06'!E65+COUNTIF(E$11:E$40,$C65)</f>
        <v>0</v>
      </c>
      <c r="F65" s="116">
        <f>'08.06'!F65+COUNTIF(F$11:F$40,$C65)</f>
        <v>0</v>
      </c>
      <c r="G65" s="116">
        <f>'08.06'!G65+COUNTIF(G$11:G$40,$C65)</f>
        <v>0</v>
      </c>
    </row>
    <row r="66" spans="1:7">
      <c r="A66" s="91"/>
      <c r="B66" s="91"/>
      <c r="C66" s="115">
        <f>'01.09'!C66</f>
        <v>0</v>
      </c>
      <c r="D66" s="116">
        <f>'08.06'!D66+COUNTIF(D$11:D$40,$C66)</f>
        <v>0</v>
      </c>
      <c r="E66" s="116">
        <f>'08.06'!E66+COUNTIF(E$11:E$40,$C66)</f>
        <v>0</v>
      </c>
      <c r="F66" s="116">
        <f>'08.06'!F66+COUNTIF(F$11:F$40,$C66)</f>
        <v>0</v>
      </c>
      <c r="G66" s="116">
        <f>'08.06'!G66+COUNTIF(G$11:G$40,$C66)</f>
        <v>0</v>
      </c>
    </row>
    <row r="67" spans="1:7">
      <c r="A67" s="91"/>
      <c r="B67" s="91"/>
      <c r="C67" s="115">
        <f>'01.09'!C67</f>
        <v>0</v>
      </c>
      <c r="D67" s="116">
        <f>'08.06'!D67+COUNTIF(D$11:D$40,$C67)</f>
        <v>0</v>
      </c>
      <c r="E67" s="116">
        <f>'08.06'!E67+COUNTIF(E$11:E$40,$C67)</f>
        <v>0</v>
      </c>
      <c r="F67" s="116">
        <f>'08.06'!F67+COUNTIF(F$11:F$40,$C67)</f>
        <v>0</v>
      </c>
      <c r="G67" s="116">
        <f>'08.06'!G67+COUNTIF(G$11:G$40,$C67)</f>
        <v>0</v>
      </c>
    </row>
    <row r="68" spans="1:7">
      <c r="A68" s="69"/>
      <c r="B68" s="69"/>
      <c r="C68" s="69"/>
      <c r="D68" s="69"/>
      <c r="E68" s="69"/>
      <c r="F68" s="69"/>
      <c r="G68" s="69"/>
    </row>
    <row r="69" spans="1:7">
      <c r="A69" s="69"/>
      <c r="B69" s="69"/>
      <c r="C69" s="69"/>
      <c r="D69" s="69"/>
      <c r="E69" s="69"/>
      <c r="F69" s="69"/>
      <c r="G69" s="69"/>
    </row>
    <row r="70" spans="1:7">
      <c r="A70" s="69"/>
      <c r="B70" s="69"/>
      <c r="C70" s="69"/>
      <c r="D70" s="69"/>
      <c r="E70" s="69"/>
      <c r="F70" s="69"/>
      <c r="G70" s="69"/>
    </row>
    <row r="71" spans="1:7">
      <c r="A71" s="69"/>
      <c r="B71" s="69"/>
      <c r="C71" s="69"/>
      <c r="D71" s="69"/>
      <c r="E71" s="69"/>
      <c r="F71" s="69"/>
      <c r="G71" s="69"/>
    </row>
    <row r="72" spans="1:7">
      <c r="A72" s="69"/>
      <c r="B72" s="69"/>
      <c r="C72" s="69"/>
      <c r="D72" s="69"/>
      <c r="E72" s="69"/>
      <c r="F72" s="69"/>
      <c r="G72" s="69"/>
    </row>
    <row r="73" spans="1:7">
      <c r="A73" s="69"/>
      <c r="B73" s="69"/>
      <c r="C73" s="69"/>
      <c r="D73" s="69"/>
      <c r="E73" s="69"/>
      <c r="F73" s="69"/>
      <c r="G73" s="69"/>
    </row>
    <row r="74" spans="1:7">
      <c r="A74" s="69"/>
      <c r="B74" s="69"/>
      <c r="C74" s="69"/>
      <c r="D74" s="69"/>
      <c r="E74" s="69"/>
      <c r="F74" s="69"/>
      <c r="G74" s="69"/>
    </row>
    <row r="75" spans="1:7">
      <c r="A75" s="69"/>
      <c r="B75" s="69"/>
      <c r="C75" s="69"/>
      <c r="D75" s="69"/>
      <c r="E75" s="69"/>
      <c r="F75" s="69"/>
      <c r="G75" s="69"/>
    </row>
    <row r="76" spans="1:7">
      <c r="A76" s="69"/>
      <c r="B76" s="69"/>
      <c r="C76" s="69"/>
      <c r="D76" s="69"/>
      <c r="E76" s="69"/>
      <c r="F76" s="69"/>
      <c r="G76" s="69"/>
    </row>
  </sheetData>
  <mergeCells count="23">
    <mergeCell ref="H48:K49"/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  <mergeCell ref="B7:G7"/>
    <mergeCell ref="A9:A10"/>
    <mergeCell ref="B9:B10"/>
    <mergeCell ref="C9:C10"/>
    <mergeCell ref="A11:A15"/>
    <mergeCell ref="B11:B15"/>
    <mergeCell ref="B6:G6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view="pageBreakPreview" zoomScale="40" zoomScaleNormal="40" zoomScaleSheetLayoutView="40" zoomScalePageLayoutView="40" workbookViewId="0">
      <selection activeCell="F17" sqref="F17"/>
    </sheetView>
  </sheetViews>
  <sheetFormatPr defaultRowHeight="26.25"/>
  <cols>
    <col min="1" max="1" width="4.42578125" style="91" customWidth="1"/>
    <col min="2" max="2" width="7.85546875" style="91" customWidth="1"/>
    <col min="3" max="3" width="23.28515625" style="91" customWidth="1"/>
    <col min="4" max="7" width="73.140625" style="91" customWidth="1"/>
    <col min="8" max="16384" width="9.140625" style="91"/>
  </cols>
  <sheetData>
    <row r="1" spans="1:7" ht="25.5" customHeight="1">
      <c r="A1" s="84"/>
      <c r="B1" s="726" t="s">
        <v>121</v>
      </c>
      <c r="C1" s="726"/>
      <c r="D1" s="726"/>
      <c r="E1" s="726"/>
      <c r="F1" s="726"/>
      <c r="G1" s="726"/>
    </row>
    <row r="2" spans="1:7" ht="25.5" customHeight="1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26.25" customHeight="1">
      <c r="A4" s="86"/>
      <c r="B4" s="726" t="s">
        <v>90</v>
      </c>
      <c r="C4" s="726"/>
      <c r="D4" s="726"/>
      <c r="E4" s="726"/>
      <c r="F4" s="726"/>
      <c r="G4" s="726"/>
    </row>
    <row r="5" spans="1:7" ht="26.25" customHeight="1">
      <c r="A5" s="87"/>
      <c r="B5" s="802" t="s">
        <v>129</v>
      </c>
      <c r="C5" s="802"/>
      <c r="D5" s="802"/>
      <c r="E5" s="802"/>
      <c r="F5" s="802"/>
      <c r="G5" s="802"/>
    </row>
    <row r="6" spans="1:7" ht="3.75" customHeight="1" thickBot="1">
      <c r="A6" s="104"/>
      <c r="B6" s="92"/>
      <c r="C6" s="92"/>
      <c r="D6" s="92"/>
      <c r="E6" s="92"/>
      <c r="F6" s="92"/>
      <c r="G6" s="92"/>
    </row>
    <row r="7" spans="1:7" ht="30" customHeight="1" thickBot="1">
      <c r="A7" s="789" t="s">
        <v>76</v>
      </c>
      <c r="B7" s="789" t="s">
        <v>9</v>
      </c>
      <c r="C7" s="791" t="s">
        <v>77</v>
      </c>
      <c r="D7" s="93" t="s">
        <v>11</v>
      </c>
      <c r="E7" s="94" t="s">
        <v>12</v>
      </c>
      <c r="F7" s="95" t="s">
        <v>13</v>
      </c>
      <c r="G7" s="300" t="s">
        <v>128</v>
      </c>
    </row>
    <row r="8" spans="1:7" ht="90" customHeight="1" thickBot="1">
      <c r="A8" s="790"/>
      <c r="B8" s="790"/>
      <c r="C8" s="792"/>
      <c r="D8" s="302" t="s">
        <v>125</v>
      </c>
      <c r="E8" s="303" t="s">
        <v>130</v>
      </c>
      <c r="F8" s="303" t="s">
        <v>126</v>
      </c>
      <c r="G8" s="304" t="s">
        <v>127</v>
      </c>
    </row>
    <row r="9" spans="1:7" ht="97.5" customHeight="1">
      <c r="A9" s="778" t="s">
        <v>0</v>
      </c>
      <c r="B9" s="737">
        <v>44935</v>
      </c>
      <c r="C9" s="97" t="s">
        <v>5</v>
      </c>
      <c r="D9" s="317"/>
      <c r="E9" s="273"/>
      <c r="F9" s="273"/>
      <c r="G9" s="318"/>
    </row>
    <row r="10" spans="1:7" ht="97.5" customHeight="1">
      <c r="A10" s="781"/>
      <c r="B10" s="731"/>
      <c r="C10" s="98" t="s">
        <v>6</v>
      </c>
      <c r="D10" s="278"/>
      <c r="E10" s="274"/>
      <c r="F10" s="274"/>
      <c r="G10" s="279"/>
    </row>
    <row r="11" spans="1:7" ht="97.5" customHeight="1">
      <c r="A11" s="781"/>
      <c r="B11" s="731"/>
      <c r="C11" s="98" t="s">
        <v>7</v>
      </c>
      <c r="D11" s="264"/>
      <c r="E11" s="266"/>
      <c r="F11" s="266"/>
      <c r="G11" s="271"/>
    </row>
    <row r="12" spans="1:7" ht="97.5" customHeight="1">
      <c r="A12" s="781"/>
      <c r="B12" s="731"/>
      <c r="C12" s="98" t="s">
        <v>8</v>
      </c>
      <c r="D12" s="272"/>
      <c r="E12" s="238"/>
      <c r="F12" s="238"/>
      <c r="G12" s="270"/>
    </row>
    <row r="13" spans="1:7" ht="72.75" customHeight="1" thickBot="1">
      <c r="A13" s="782"/>
      <c r="B13" s="731"/>
      <c r="C13" s="99" t="s">
        <v>10</v>
      </c>
      <c r="D13" s="275"/>
      <c r="E13" s="276"/>
      <c r="F13" s="276"/>
      <c r="G13" s="277"/>
    </row>
    <row r="14" spans="1:7" ht="72.75" customHeight="1">
      <c r="A14" s="778" t="s">
        <v>1</v>
      </c>
      <c r="B14" s="734">
        <f>B9+1</f>
        <v>44936</v>
      </c>
      <c r="C14" s="97" t="s">
        <v>5</v>
      </c>
      <c r="D14" s="317"/>
      <c r="E14" s="273"/>
      <c r="F14" s="273"/>
      <c r="G14" s="318"/>
    </row>
    <row r="15" spans="1:7" ht="95.25" customHeight="1">
      <c r="A15" s="781"/>
      <c r="B15" s="731"/>
      <c r="C15" s="98" t="s">
        <v>6</v>
      </c>
      <c r="D15" s="278"/>
      <c r="E15" s="274"/>
      <c r="F15" s="274"/>
      <c r="G15" s="279"/>
    </row>
    <row r="16" spans="1:7" ht="72.75" customHeight="1">
      <c r="A16" s="781"/>
      <c r="B16" s="731"/>
      <c r="C16" s="98" t="s">
        <v>7</v>
      </c>
      <c r="D16" s="272"/>
      <c r="E16" s="238"/>
      <c r="F16" s="238"/>
      <c r="G16" s="270"/>
    </row>
    <row r="17" spans="1:7" ht="72.75" customHeight="1">
      <c r="A17" s="781"/>
      <c r="B17" s="731"/>
      <c r="C17" s="98" t="s">
        <v>8</v>
      </c>
      <c r="D17" s="272"/>
      <c r="E17" s="238"/>
      <c r="F17" s="238"/>
      <c r="G17" s="270"/>
    </row>
    <row r="18" spans="1:7" ht="72.75" customHeight="1" thickBot="1">
      <c r="A18" s="782"/>
      <c r="B18" s="731"/>
      <c r="C18" s="99" t="s">
        <v>10</v>
      </c>
      <c r="D18" s="275"/>
      <c r="E18" s="276"/>
      <c r="F18" s="276"/>
      <c r="G18" s="277"/>
    </row>
    <row r="19" spans="1:7" ht="97.5" customHeight="1">
      <c r="A19" s="778" t="s">
        <v>2</v>
      </c>
      <c r="B19" s="734">
        <f>B14+1</f>
        <v>44937</v>
      </c>
      <c r="C19" s="97" t="s">
        <v>5</v>
      </c>
      <c r="D19" s="278"/>
      <c r="E19" s="274"/>
      <c r="F19" s="274"/>
      <c r="G19" s="279"/>
    </row>
    <row r="20" spans="1:7" ht="97.5" customHeight="1">
      <c r="A20" s="781"/>
      <c r="B20" s="731"/>
      <c r="C20" s="98" t="s">
        <v>6</v>
      </c>
      <c r="D20" s="278"/>
      <c r="E20" s="274"/>
      <c r="F20" s="274"/>
      <c r="G20" s="279"/>
    </row>
    <row r="21" spans="1:7" ht="72.75" customHeight="1">
      <c r="A21" s="781"/>
      <c r="B21" s="731"/>
      <c r="C21" s="98" t="s">
        <v>7</v>
      </c>
      <c r="D21" s="278"/>
      <c r="E21" s="280"/>
      <c r="F21" s="274"/>
      <c r="G21" s="279"/>
    </row>
    <row r="22" spans="1:7" ht="72.75" customHeight="1">
      <c r="A22" s="781"/>
      <c r="B22" s="731"/>
      <c r="C22" s="98" t="s">
        <v>8</v>
      </c>
      <c r="D22" s="264"/>
      <c r="E22" s="280"/>
      <c r="F22" s="274"/>
      <c r="G22" s="279"/>
    </row>
    <row r="23" spans="1:7" ht="72.75" customHeight="1" thickBot="1">
      <c r="A23" s="782"/>
      <c r="B23" s="731"/>
      <c r="C23" s="99" t="s">
        <v>10</v>
      </c>
      <c r="D23" s="319"/>
      <c r="E23" s="320"/>
      <c r="F23" s="321"/>
      <c r="G23" s="322"/>
    </row>
    <row r="24" spans="1:7" ht="72.75" customHeight="1">
      <c r="A24" s="778" t="s">
        <v>3</v>
      </c>
      <c r="B24" s="734">
        <f>B19+1</f>
        <v>44938</v>
      </c>
      <c r="C24" s="97" t="s">
        <v>5</v>
      </c>
      <c r="D24" s="272"/>
      <c r="E24" s="266"/>
      <c r="F24" s="238"/>
      <c r="G24" s="270"/>
    </row>
    <row r="25" spans="1:7" ht="95.25" customHeight="1">
      <c r="A25" s="779"/>
      <c r="B25" s="731"/>
      <c r="C25" s="98" t="s">
        <v>6</v>
      </c>
      <c r="D25" s="264"/>
      <c r="E25" s="238"/>
      <c r="F25" s="238"/>
      <c r="G25" s="270"/>
    </row>
    <row r="26" spans="1:7" ht="90" customHeight="1">
      <c r="A26" s="779"/>
      <c r="B26" s="731"/>
      <c r="C26" s="98" t="s">
        <v>7</v>
      </c>
      <c r="D26" s="272"/>
      <c r="E26" s="238"/>
      <c r="F26" s="238"/>
      <c r="G26" s="270"/>
    </row>
    <row r="27" spans="1:7" ht="84" customHeight="1">
      <c r="A27" s="779"/>
      <c r="B27" s="731"/>
      <c r="C27" s="98" t="s">
        <v>8</v>
      </c>
      <c r="D27" s="238"/>
      <c r="E27" s="238"/>
      <c r="F27" s="238"/>
      <c r="G27" s="279"/>
    </row>
    <row r="28" spans="1:7" ht="72.75" customHeight="1" thickBot="1">
      <c r="A28" s="780"/>
      <c r="B28" s="731"/>
      <c r="C28" s="99" t="s">
        <v>10</v>
      </c>
      <c r="D28" s="275"/>
      <c r="E28" s="276"/>
      <c r="F28" s="276"/>
      <c r="G28" s="277"/>
    </row>
    <row r="29" spans="1:7" ht="93.75" customHeight="1">
      <c r="A29" s="778" t="s">
        <v>4</v>
      </c>
      <c r="B29" s="734">
        <f>B24+1</f>
        <v>44939</v>
      </c>
      <c r="C29" s="97" t="s">
        <v>5</v>
      </c>
      <c r="D29" s="278"/>
      <c r="E29" s="274"/>
      <c r="F29" s="274"/>
      <c r="G29" s="279"/>
    </row>
    <row r="30" spans="1:7" ht="72.75" customHeight="1">
      <c r="A30" s="781"/>
      <c r="B30" s="731"/>
      <c r="C30" s="98" t="s">
        <v>6</v>
      </c>
      <c r="D30" s="278"/>
      <c r="E30" s="274"/>
      <c r="F30" s="274"/>
      <c r="G30" s="280"/>
    </row>
    <row r="31" spans="1:7" ht="72.75" customHeight="1">
      <c r="A31" s="781"/>
      <c r="B31" s="731"/>
      <c r="C31" s="98" t="s">
        <v>7</v>
      </c>
      <c r="D31" s="278"/>
      <c r="E31" s="274"/>
      <c r="F31" s="280"/>
      <c r="G31" s="279"/>
    </row>
    <row r="32" spans="1:7" ht="72.75" customHeight="1">
      <c r="A32" s="781"/>
      <c r="B32" s="731"/>
      <c r="C32" s="98" t="s">
        <v>8</v>
      </c>
      <c r="D32" s="278"/>
      <c r="E32" s="274"/>
      <c r="F32" s="280"/>
      <c r="G32" s="279"/>
    </row>
    <row r="33" spans="1:7" ht="72.75" customHeight="1" thickBot="1">
      <c r="A33" s="782"/>
      <c r="B33" s="731"/>
      <c r="C33" s="99" t="s">
        <v>10</v>
      </c>
      <c r="D33" s="323"/>
      <c r="E33" s="324"/>
      <c r="F33" s="321"/>
      <c r="G33" s="322"/>
    </row>
    <row r="34" spans="1:7" ht="72.75" customHeight="1">
      <c r="A34" s="731" t="s">
        <v>18</v>
      </c>
      <c r="B34" s="734">
        <f>B29+1</f>
        <v>44940</v>
      </c>
      <c r="C34" s="97" t="s">
        <v>5</v>
      </c>
      <c r="D34" s="108"/>
      <c r="E34" s="109"/>
      <c r="F34" s="109"/>
      <c r="G34" s="241"/>
    </row>
    <row r="35" spans="1:7" ht="72.75" customHeight="1">
      <c r="A35" s="731"/>
      <c r="B35" s="731"/>
      <c r="C35" s="98" t="s">
        <v>6</v>
      </c>
      <c r="D35" s="110"/>
      <c r="E35" s="100"/>
      <c r="F35" s="240"/>
      <c r="G35" s="101"/>
    </row>
    <row r="36" spans="1:7" ht="72.75" customHeight="1">
      <c r="A36" s="731"/>
      <c r="B36" s="731"/>
      <c r="C36" s="98" t="s">
        <v>7</v>
      </c>
      <c r="D36" s="117"/>
      <c r="E36" s="100"/>
      <c r="F36" s="240"/>
      <c r="G36" s="100"/>
    </row>
    <row r="37" spans="1:7" ht="72.75" customHeight="1">
      <c r="A37" s="731"/>
      <c r="B37" s="731"/>
      <c r="C37" s="98" t="s">
        <v>8</v>
      </c>
      <c r="D37" s="111"/>
      <c r="E37" s="111"/>
      <c r="F37" s="111"/>
      <c r="G37" s="111"/>
    </row>
    <row r="38" spans="1:7" ht="72.75" customHeight="1" thickBot="1">
      <c r="A38" s="777"/>
      <c r="B38" s="777"/>
      <c r="C38" s="99" t="s">
        <v>10</v>
      </c>
      <c r="D38" s="102"/>
      <c r="E38" s="102"/>
      <c r="F38" s="102"/>
      <c r="G38" s="102"/>
    </row>
    <row r="39" spans="1:7" ht="30.75">
      <c r="D39" s="215" t="s">
        <v>120</v>
      </c>
    </row>
    <row r="40" spans="1:7">
      <c r="B40" s="69">
        <v>5</v>
      </c>
      <c r="C40" s="115" t="str">
        <f>'01.09'!C42</f>
        <v>*Л. Речевое общение в профессиональной деятельности*</v>
      </c>
      <c r="D40" s="116">
        <f>'14.12'!D42+COUNTIF(D$9:D$38,$C40)</f>
        <v>5</v>
      </c>
      <c r="E40" s="116">
        <f>'14.12'!E42+COUNTIF(E$9:E$38,$C40)</f>
        <v>5</v>
      </c>
      <c r="F40" s="116">
        <f>'14.12'!F42+COUNTIF(F$9:F$38,$C40)</f>
        <v>5</v>
      </c>
      <c r="G40" s="116">
        <f>'14.12'!G42+COUNTIF(G$9:G$38,$C40)</f>
        <v>5</v>
      </c>
    </row>
    <row r="41" spans="1:7">
      <c r="B41" s="69">
        <v>11</v>
      </c>
      <c r="C41" s="115" t="str">
        <f>'01.09'!C43</f>
        <v>*Пр. Речевое общение в профессиональной деятельности*</v>
      </c>
      <c r="D41" s="116">
        <f>'14.12'!D43+COUNTIF(D$9:D$38,$C41)</f>
        <v>4</v>
      </c>
      <c r="E41" s="116">
        <f>'14.12'!E43+COUNTIF(E$9:E$38,$C41)</f>
        <v>4</v>
      </c>
      <c r="F41" s="116">
        <f>'14.12'!F43+COUNTIF(F$9:F$38,$C41)</f>
        <v>4</v>
      </c>
      <c r="G41" s="116">
        <f>'14.12'!G43+COUNTIF(G$9:G$38,$C41)</f>
        <v>4</v>
      </c>
    </row>
    <row r="42" spans="1:7">
      <c r="B42" s="69">
        <v>5</v>
      </c>
      <c r="C42" s="115" t="str">
        <f>'01.09'!C44</f>
        <v>*Л. Физическая культура и спорт*</v>
      </c>
      <c r="D42" s="116">
        <f>'14.12'!D44+COUNTIF(D$9:D$38,$C42)</f>
        <v>5</v>
      </c>
      <c r="E42" s="116">
        <f>'14.12'!E44+COUNTIF(E$9:E$38,$C42)</f>
        <v>5</v>
      </c>
      <c r="F42" s="116">
        <f>'14.12'!F44+COUNTIF(F$9:F$38,$C42)</f>
        <v>5</v>
      </c>
      <c r="G42" s="116">
        <f>'14.12'!G44+COUNTIF(G$9:G$38,$C42)</f>
        <v>5</v>
      </c>
    </row>
    <row r="43" spans="1:7">
      <c r="B43" s="69">
        <v>5</v>
      </c>
      <c r="C43" s="115" t="str">
        <f>'01.09'!C45</f>
        <v>*Пр. Физическая культура и спорт*</v>
      </c>
      <c r="D43" s="116">
        <f>'14.12'!D45+COUNTIF(D$9:D$38,$C43)</f>
        <v>5</v>
      </c>
      <c r="E43" s="116">
        <f>'14.12'!E45+COUNTIF(E$9:E$38,$C43)</f>
        <v>5</v>
      </c>
      <c r="F43" s="116">
        <f>'14.12'!F45+COUNTIF(F$9:F$38,$C43)</f>
        <v>5</v>
      </c>
      <c r="G43" s="116">
        <f>'14.12'!G45+COUNTIF(G$9:G$38,$C43)</f>
        <v>5</v>
      </c>
    </row>
    <row r="44" spans="1:7">
      <c r="B44" s="69">
        <v>4</v>
      </c>
      <c r="C44" s="115" t="str">
        <f>'01.09'!C46</f>
        <v>*Л. Анатомия*</v>
      </c>
      <c r="D44" s="116">
        <f>'14.12'!D46+COUNTIF(D$9:D$38,$C44)</f>
        <v>4</v>
      </c>
      <c r="E44" s="116">
        <f>'14.12'!E46+COUNTIF(E$9:E$38,$C44)</f>
        <v>4</v>
      </c>
      <c r="F44" s="116">
        <f>'14.12'!F46+COUNTIF(F$9:F$38,$C44)</f>
        <v>4</v>
      </c>
      <c r="G44" s="116">
        <f>'14.12'!G46+COUNTIF(G$9:G$38,$C44)</f>
        <v>4</v>
      </c>
    </row>
    <row r="45" spans="1:7">
      <c r="B45" s="69">
        <v>12</v>
      </c>
      <c r="C45" s="115" t="str">
        <f>'01.09'!C47</f>
        <v>*Пр. Анатомия*</v>
      </c>
      <c r="D45" s="116">
        <f>'14.12'!D47+COUNTIF(D$9:D$38,$C45)</f>
        <v>4</v>
      </c>
      <c r="E45" s="116">
        <f>'14.12'!E47+COUNTIF(E$9:E$38,$C45)</f>
        <v>4</v>
      </c>
      <c r="F45" s="116">
        <f>'14.12'!F47+COUNTIF(F$9:F$38,$C45)</f>
        <v>4</v>
      </c>
      <c r="G45" s="116">
        <f>'14.12'!G47+COUNTIF(G$9:G$38,$C45)</f>
        <v>4</v>
      </c>
    </row>
    <row r="46" spans="1:7">
      <c r="B46" s="69">
        <v>5</v>
      </c>
      <c r="C46" s="115" t="str">
        <f>'01.09'!C48</f>
        <v>*Л. Теория и методика*</v>
      </c>
      <c r="D46" s="116">
        <f>'14.12'!D48+COUNTIF(D$9:D$38,$C46)</f>
        <v>5</v>
      </c>
      <c r="E46" s="116">
        <f>'14.12'!E48+COUNTIF(E$9:E$38,$C46)</f>
        <v>5</v>
      </c>
      <c r="F46" s="116">
        <f>'14.12'!F48+COUNTIF(F$9:F$38,$C46)</f>
        <v>5</v>
      </c>
      <c r="G46" s="116">
        <f>'14.12'!G48+COUNTIF(G$9:G$38,$C46)</f>
        <v>5</v>
      </c>
    </row>
    <row r="47" spans="1:7">
      <c r="B47" s="69">
        <v>45</v>
      </c>
      <c r="C47" s="115" t="str">
        <f>'01.09'!C49</f>
        <v>*Пр. Теория и методика*</v>
      </c>
      <c r="D47" s="116">
        <f>'14.12'!D49+COUNTIF(D$9:D$38,$C47)</f>
        <v>24</v>
      </c>
      <c r="E47" s="116">
        <f>'14.12'!E49+COUNTIF(E$9:E$38,$C47)</f>
        <v>25</v>
      </c>
      <c r="F47" s="116">
        <f>'14.12'!F49+COUNTIF(F$9:F$38,$C47)</f>
        <v>25</v>
      </c>
      <c r="G47" s="116">
        <f>'14.12'!G49+COUNTIF(G$9:G$38,$C47)</f>
        <v>25</v>
      </c>
    </row>
    <row r="48" spans="1:7">
      <c r="B48" s="69">
        <v>2</v>
      </c>
      <c r="C48" s="115" t="str">
        <f>'01.09'!C50</f>
        <v>*Л. Информационные технологии*</v>
      </c>
      <c r="D48" s="116">
        <f>'14.12'!D50+COUNTIF(D$9:D$38,$C48)</f>
        <v>2</v>
      </c>
      <c r="E48" s="116">
        <f>'14.12'!E50+COUNTIF(E$9:E$38,$C48)</f>
        <v>2</v>
      </c>
      <c r="F48" s="116">
        <f>'14.12'!F50+COUNTIF(F$9:F$38,$C48)</f>
        <v>2</v>
      </c>
      <c r="G48" s="116">
        <f>'14.12'!G50+COUNTIF(G$9:G$38,$C48)</f>
        <v>2</v>
      </c>
    </row>
    <row r="49" spans="2:7">
      <c r="B49" s="69">
        <v>14</v>
      </c>
      <c r="C49" s="115" t="str">
        <f>'01.09'!C51</f>
        <v>*Пр. Информационные технологии*</v>
      </c>
      <c r="D49" s="116">
        <f>'14.12'!D51+COUNTIF(D$9:D$38,$C49)</f>
        <v>8</v>
      </c>
      <c r="E49" s="116">
        <f>'14.12'!E51+COUNTIF(E$9:E$38,$C49)</f>
        <v>8</v>
      </c>
      <c r="F49" s="116">
        <f>'14.12'!F51+COUNTIF(F$9:F$38,$C49)</f>
        <v>8</v>
      </c>
      <c r="G49" s="116">
        <f>'14.12'!G51+COUNTIF(G$9:G$38,$C49)</f>
        <v>8</v>
      </c>
    </row>
    <row r="50" spans="2:7">
      <c r="B50" s="69">
        <v>1</v>
      </c>
      <c r="C50" s="115" t="str">
        <f>'01.09'!C53</f>
        <v>*Пр. Гимнастика*</v>
      </c>
      <c r="D50" s="116">
        <f>'14.12'!D52+COUNTIF(D$9:D$38,$C50)</f>
        <v>3</v>
      </c>
      <c r="E50" s="116">
        <f>'14.12'!E52+COUNTIF(E$9:E$38,$C50)</f>
        <v>3</v>
      </c>
      <c r="F50" s="116">
        <f>'14.12'!F52+COUNTIF(F$9:F$38,$C50)</f>
        <v>3</v>
      </c>
      <c r="G50" s="116">
        <f>'14.12'!G52+COUNTIF(G$9:G$38,$C50)</f>
        <v>3</v>
      </c>
    </row>
    <row r="51" spans="2:7">
      <c r="B51" s="69">
        <v>23</v>
      </c>
      <c r="C51" s="115" t="str">
        <f>'01.09'!C54</f>
        <v>*Л. Элективные дисциплины по ФКиС: Подвижные игры*</v>
      </c>
      <c r="D51" s="116">
        <f>'14.12'!D53+COUNTIF(D$9:D$38,$C51)</f>
        <v>13</v>
      </c>
      <c r="E51" s="116">
        <f>'14.12'!E53+COUNTIF(E$9:E$38,$C51)</f>
        <v>12</v>
      </c>
      <c r="F51" s="116">
        <f>'14.12'!F53+COUNTIF(F$9:F$38,$C51)</f>
        <v>12</v>
      </c>
      <c r="G51" s="116">
        <f>'14.12'!G53+COUNTIF(G$9:G$38,$C51)</f>
        <v>12</v>
      </c>
    </row>
    <row r="52" spans="2:7">
      <c r="B52" s="69">
        <v>3</v>
      </c>
      <c r="C52" s="115" t="str">
        <f>'01.09'!C55</f>
        <v>*Пр. Элективные дисциплины по ФКиС: Подвижные игры*</v>
      </c>
      <c r="D52" s="116">
        <f>'14.12'!D54+COUNTIF(D$9:D$38,$C52)</f>
        <v>1</v>
      </c>
      <c r="E52" s="116">
        <f>'14.12'!E54+COUNTIF(E$9:E$38,$C52)</f>
        <v>1</v>
      </c>
      <c r="F52" s="116">
        <f>'14.12'!F54+COUNTIF(F$9:F$38,$C52)</f>
        <v>1</v>
      </c>
      <c r="G52" s="116">
        <f>'14.12'!G54+COUNTIF(G$9:G$38,$C52)</f>
        <v>1</v>
      </c>
    </row>
    <row r="53" spans="2:7">
      <c r="B53" s="69">
        <v>20</v>
      </c>
      <c r="C53" s="115" t="str">
        <f>'01.09'!C56</f>
        <v>*Л. Волейбол*</v>
      </c>
      <c r="D53" s="116">
        <f>'14.12'!D55+COUNTIF(D$9:D$38,$C53)</f>
        <v>8</v>
      </c>
      <c r="E53" s="116">
        <f>'14.12'!E55+COUNTIF(E$9:E$38,$C53)</f>
        <v>8</v>
      </c>
      <c r="F53" s="116">
        <f>'14.12'!F55+COUNTIF(F$9:F$38,$C53)</f>
        <v>9</v>
      </c>
      <c r="G53" s="116">
        <f>'14.12'!G55+COUNTIF(G$9:G$38,$C53)</f>
        <v>9</v>
      </c>
    </row>
    <row r="54" spans="2:7">
      <c r="B54" s="84">
        <v>1</v>
      </c>
      <c r="C54" s="115" t="str">
        <f>'01.09'!C57</f>
        <v>*Пр. Волейбол*</v>
      </c>
      <c r="D54" s="116">
        <f>'14.12'!D56+COUNTIF(D$9:D$38,$C54)</f>
        <v>1</v>
      </c>
      <c r="E54" s="116">
        <f>'14.12'!E56+COUNTIF(E$9:E$38,$C54)</f>
        <v>1</v>
      </c>
      <c r="F54" s="116">
        <f>'14.12'!F56+COUNTIF(F$9:F$38,$C54)</f>
        <v>1</v>
      </c>
      <c r="G54" s="116">
        <f>'14.12'!G56+COUNTIF(G$9:G$38,$C54)</f>
        <v>1</v>
      </c>
    </row>
    <row r="55" spans="2:7">
      <c r="B55" s="84">
        <v>9</v>
      </c>
      <c r="C55" s="115" t="str">
        <f>'01.09'!C58</f>
        <v>*Л. Лыжные гонки*</v>
      </c>
      <c r="D55" s="116">
        <f>'14.12'!D57+COUNTIF(D$9:D$38,$C55)</f>
        <v>16</v>
      </c>
      <c r="E55" s="116">
        <f>'14.12'!E57+COUNTIF(E$9:E$38,$C55)</f>
        <v>16</v>
      </c>
      <c r="F55" s="116">
        <f>'14.12'!F57+COUNTIF(F$9:F$38,$C55)</f>
        <v>16</v>
      </c>
      <c r="G55" s="116">
        <f>'14.12'!G57+COUNTIF(G$9:G$38,$C55)</f>
        <v>16</v>
      </c>
    </row>
    <row r="56" spans="2:7">
      <c r="B56" s="84">
        <v>16</v>
      </c>
      <c r="C56" s="115" t="str">
        <f>'01.09'!C59</f>
        <v>*Пр. Лыжные гонки*</v>
      </c>
      <c r="D56" s="116">
        <f>'14.12'!D58+COUNTIF(D$9:D$38,$C56)</f>
        <v>0</v>
      </c>
      <c r="E56" s="116">
        <f>'14.12'!E58+COUNTIF(E$9:E$38,$C56)</f>
        <v>0</v>
      </c>
      <c r="F56" s="116">
        <f>'14.12'!F58+COUNTIF(F$9:F$38,$C56)</f>
        <v>0</v>
      </c>
      <c r="G56" s="116">
        <f>'14.12'!G58+COUNTIF(G$9:G$38,$C56)</f>
        <v>0</v>
      </c>
    </row>
    <row r="57" spans="2:7">
      <c r="B57" s="217">
        <v>1</v>
      </c>
      <c r="C57" s="115" t="str">
        <f>'01.09'!C60</f>
        <v>*Л. Использование электронной*</v>
      </c>
      <c r="D57" s="116">
        <f>'14.12'!D59+COUNTIF(D$9:D$38,$C57)</f>
        <v>0</v>
      </c>
      <c r="E57" s="116">
        <f>'14.12'!E59+COUNTIF(E$9:E$38,$C57)</f>
        <v>0</v>
      </c>
      <c r="F57" s="116">
        <f>'14.12'!F59+COUNTIF(F$9:F$38,$C57)</f>
        <v>0</v>
      </c>
      <c r="G57" s="116">
        <f>'14.12'!G59+COUNTIF(G$9:G$38,$C57)</f>
        <v>0</v>
      </c>
    </row>
    <row r="58" spans="2:7">
      <c r="B58" s="217">
        <v>2</v>
      </c>
      <c r="C58" s="115" t="str">
        <f>'01.09'!C61</f>
        <v>*Пр. Использование электронной*</v>
      </c>
      <c r="D58" s="116">
        <f>'14.12'!D60+COUNTIF(D$9:D$38,$C58)</f>
        <v>1</v>
      </c>
      <c r="E58" s="116">
        <f>'14.12'!E60+COUNTIF(E$9:E$38,$C58)</f>
        <v>0</v>
      </c>
      <c r="F58" s="116">
        <f>'14.12'!F60+COUNTIF(F$9:F$38,$C58)</f>
        <v>0</v>
      </c>
      <c r="G58" s="116">
        <f>'14.12'!G60+COUNTIF(G$9:G$38,$C58)</f>
        <v>0</v>
      </c>
    </row>
    <row r="59" spans="2:7">
      <c r="B59" s="84">
        <v>1</v>
      </c>
      <c r="C59" s="115" t="str">
        <f>'01.09'!C62</f>
        <v>*Пр. Иностранный*</v>
      </c>
      <c r="D59" s="116">
        <f>'14.12'!D61+COUNTIF(D$9:D$38,$C59)</f>
        <v>2</v>
      </c>
      <c r="E59" s="116">
        <f>'14.12'!E61+COUNTIF(E$9:E$38,$C59)</f>
        <v>2</v>
      </c>
      <c r="F59" s="116">
        <f>'14.12'!F61+COUNTIF(F$9:F$38,$C59)</f>
        <v>2</v>
      </c>
      <c r="G59" s="116">
        <f>'14.12'!G61+COUNTIF(G$9:G$38,$C59)</f>
        <v>2</v>
      </c>
    </row>
    <row r="60" spans="2:7">
      <c r="B60" s="84">
        <v>31</v>
      </c>
      <c r="C60" s="115" t="e">
        <f>'01.09'!#REF!</f>
        <v>#REF!</v>
      </c>
      <c r="D60" s="116">
        <f>'14.12'!D62+COUNTIF(D$9:D$38,$C60)</f>
        <v>8</v>
      </c>
      <c r="E60" s="116">
        <f>'14.12'!E62+COUNTIF(E$9:E$38,$C60)</f>
        <v>8</v>
      </c>
      <c r="F60" s="116">
        <f>'14.12'!F62+COUNTIF(F$9:F$38,$C60)</f>
        <v>8</v>
      </c>
      <c r="G60" s="116">
        <f>'14.12'!G62+COUNTIF(G$9:G$38,$C60)</f>
        <v>8</v>
      </c>
    </row>
    <row r="61" spans="2:7">
      <c r="C61" s="115">
        <f>'01.09'!C63</f>
        <v>0</v>
      </c>
      <c r="D61" s="116">
        <f>'14.12'!D63+COUNTIF(D$9:D$38,$C61)</f>
        <v>0</v>
      </c>
      <c r="E61" s="116">
        <f>'14.12'!E63+COUNTIF(E$9:E$38,$C61)</f>
        <v>0</v>
      </c>
      <c r="F61" s="116">
        <f>'14.12'!F63+COUNTIF(F$9:F$38,$C61)</f>
        <v>0</v>
      </c>
      <c r="G61" s="116">
        <f>'14.12'!G63+COUNTIF(G$9:G$38,$C61)</f>
        <v>0</v>
      </c>
    </row>
    <row r="62" spans="2:7">
      <c r="C62" s="115">
        <f>'01.09'!C64</f>
        <v>0</v>
      </c>
      <c r="D62" s="116">
        <f>'14.12'!D64+COUNTIF(D$9:D$38,$C62)</f>
        <v>0</v>
      </c>
      <c r="E62" s="116">
        <f>'14.12'!E64+COUNTIF(E$9:E$38,$C62)</f>
        <v>0</v>
      </c>
      <c r="F62" s="116">
        <f>'14.12'!F64+COUNTIF(F$9:F$38,$C62)</f>
        <v>0</v>
      </c>
      <c r="G62" s="116">
        <f>'14.12'!G64+COUNTIF(G$9:G$38,$C62)</f>
        <v>0</v>
      </c>
    </row>
    <row r="63" spans="2:7">
      <c r="C63" s="115">
        <f>'01.09'!C65</f>
        <v>0</v>
      </c>
      <c r="D63" s="116">
        <f>'14.12'!D65+COUNTIF(D$9:D$38,$C63)</f>
        <v>0</v>
      </c>
      <c r="E63" s="116">
        <f>'14.12'!E65+COUNTIF(E$9:E$38,$C63)</f>
        <v>0</v>
      </c>
      <c r="F63" s="116">
        <f>'14.12'!F65+COUNTIF(F$9:F$38,$C63)</f>
        <v>0</v>
      </c>
      <c r="G63" s="116">
        <f>'14.12'!G65+COUNTIF(G$9:G$38,$C63)</f>
        <v>0</v>
      </c>
    </row>
    <row r="64" spans="2:7">
      <c r="C64" s="115">
        <f>'01.09'!C66</f>
        <v>0</v>
      </c>
      <c r="D64" s="116">
        <f>'14.12'!D66+COUNTIF(D$9:D$38,$C64)</f>
        <v>0</v>
      </c>
      <c r="E64" s="116">
        <f>'14.12'!E66+COUNTIF(E$9:E$38,$C64)</f>
        <v>0</v>
      </c>
      <c r="F64" s="116">
        <f>'14.12'!F66+COUNTIF(F$9:F$38,$C64)</f>
        <v>0</v>
      </c>
      <c r="G64" s="116">
        <f>'14.12'!G66+COUNTIF(G$9:G$38,$C64)</f>
        <v>0</v>
      </c>
    </row>
    <row r="65" spans="3:7">
      <c r="C65" s="115">
        <f>'01.09'!C67</f>
        <v>0</v>
      </c>
      <c r="D65" s="116">
        <f>'14.12'!D67+COUNTIF(D$9:D$38,$C65)</f>
        <v>0</v>
      </c>
      <c r="E65" s="116">
        <f>'14.12'!E67+COUNTIF(E$9:E$38,$C65)</f>
        <v>0</v>
      </c>
      <c r="F65" s="116">
        <f>'14.12'!F67+COUNTIF(F$9:F$38,$C65)</f>
        <v>0</v>
      </c>
      <c r="G65" s="116">
        <f>'14.12'!G67+COUNTIF(G$9:G$38,$C65)</f>
        <v>0</v>
      </c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A7:A8"/>
    <mergeCell ref="B7:B8"/>
    <mergeCell ref="C7:C8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39" max="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activeCell="D9" sqref="D9"/>
    </sheetView>
  </sheetViews>
  <sheetFormatPr defaultRowHeight="26.25"/>
  <cols>
    <col min="1" max="1" width="4.42578125" style="84" customWidth="1"/>
    <col min="2" max="2" width="6.140625" style="84" customWidth="1"/>
    <col min="3" max="3" width="24.7109375" style="84" customWidth="1"/>
    <col min="4" max="7" width="73.140625" style="84" customWidth="1"/>
    <col min="8" max="16384" width="9.140625" style="84"/>
  </cols>
  <sheetData>
    <row r="1" spans="1:7" ht="30">
      <c r="B1" s="726" t="s">
        <v>162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90</v>
      </c>
      <c r="C6" s="726"/>
      <c r="D6" s="726"/>
      <c r="E6" s="726"/>
      <c r="F6" s="726"/>
      <c r="G6" s="726"/>
    </row>
    <row r="7" spans="1:7">
      <c r="A7" s="87"/>
      <c r="B7" s="728" t="s">
        <v>164</v>
      </c>
      <c r="C7" s="728"/>
      <c r="D7" s="728"/>
      <c r="E7" s="728"/>
      <c r="F7" s="728"/>
      <c r="G7" s="728"/>
    </row>
    <row r="8" spans="1:7" ht="6.75" customHeight="1" thickBot="1">
      <c r="A8" s="89"/>
      <c r="B8" s="89"/>
      <c r="C8" s="89"/>
      <c r="D8" s="89"/>
      <c r="E8" s="89"/>
      <c r="F8" s="89"/>
      <c r="G8" s="89"/>
    </row>
    <row r="9" spans="1:7" ht="27" thickBot="1">
      <c r="A9" s="789" t="s">
        <v>76</v>
      </c>
      <c r="B9" s="789" t="s">
        <v>9</v>
      </c>
      <c r="C9" s="791" t="s">
        <v>77</v>
      </c>
      <c r="D9" s="411" t="s">
        <v>165</v>
      </c>
      <c r="E9" s="412" t="s">
        <v>11</v>
      </c>
      <c r="F9" s="412" t="s">
        <v>12</v>
      </c>
      <c r="G9" s="413" t="s">
        <v>153</v>
      </c>
    </row>
    <row r="10" spans="1:7" ht="84" customHeight="1" thickBot="1">
      <c r="A10" s="790"/>
      <c r="B10" s="790"/>
      <c r="C10" s="792"/>
      <c r="D10" s="425" t="s">
        <v>159</v>
      </c>
      <c r="E10" s="416" t="s">
        <v>125</v>
      </c>
      <c r="F10" s="416" t="s">
        <v>139</v>
      </c>
      <c r="G10" s="417" t="s">
        <v>155</v>
      </c>
    </row>
    <row r="11" spans="1:7" ht="100.5" customHeight="1">
      <c r="A11" s="774" t="s">
        <v>0</v>
      </c>
      <c r="B11" s="716">
        <v>45817</v>
      </c>
      <c r="C11" s="46" t="s">
        <v>5</v>
      </c>
      <c r="D11" s="254"/>
      <c r="E11" s="360"/>
      <c r="F11" s="360"/>
      <c r="G11" s="256"/>
    </row>
    <row r="12" spans="1:7" ht="94.5" customHeight="1">
      <c r="A12" s="775"/>
      <c r="B12" s="707"/>
      <c r="C12" s="47" t="s">
        <v>6</v>
      </c>
      <c r="D12" s="257"/>
      <c r="E12" s="259"/>
      <c r="F12" s="358"/>
      <c r="G12" s="248"/>
    </row>
    <row r="13" spans="1:7" ht="72.75" customHeight="1">
      <c r="A13" s="775"/>
      <c r="B13" s="707"/>
      <c r="C13" s="47" t="s">
        <v>7</v>
      </c>
      <c r="D13" s="332"/>
      <c r="E13" s="258"/>
      <c r="F13" s="358"/>
      <c r="G13" s="296"/>
    </row>
    <row r="14" spans="1:7" ht="106.5" customHeight="1">
      <c r="A14" s="775"/>
      <c r="B14" s="707"/>
      <c r="C14" s="47" t="s">
        <v>8</v>
      </c>
      <c r="D14" s="257"/>
      <c r="E14" s="258"/>
      <c r="F14" s="258"/>
      <c r="G14" s="359"/>
    </row>
    <row r="15" spans="1:7" ht="51" customHeight="1" thickBot="1">
      <c r="A15" s="775"/>
      <c r="B15" s="707"/>
      <c r="C15" s="48" t="s">
        <v>10</v>
      </c>
      <c r="D15" s="265"/>
      <c r="E15" s="315"/>
      <c r="F15" s="315"/>
      <c r="G15" s="316"/>
    </row>
    <row r="16" spans="1:7" ht="78" customHeight="1">
      <c r="A16" s="774" t="s">
        <v>1</v>
      </c>
      <c r="B16" s="709">
        <f>B11+1</f>
        <v>45818</v>
      </c>
      <c r="C16" s="46" t="s">
        <v>5</v>
      </c>
      <c r="D16" s="426"/>
      <c r="E16" s="444"/>
      <c r="F16" s="447"/>
      <c r="G16" s="443"/>
    </row>
    <row r="17" spans="1:7" ht="126" customHeight="1">
      <c r="A17" s="775"/>
      <c r="B17" s="707"/>
      <c r="C17" s="47" t="s">
        <v>6</v>
      </c>
      <c r="D17" s="332"/>
      <c r="E17" s="442"/>
      <c r="F17" s="396"/>
      <c r="G17" s="443"/>
    </row>
    <row r="18" spans="1:7" ht="63" customHeight="1">
      <c r="A18" s="775"/>
      <c r="B18" s="707"/>
      <c r="C18" s="47" t="s">
        <v>7</v>
      </c>
      <c r="D18" s="257"/>
      <c r="E18" s="258"/>
      <c r="F18" s="258"/>
      <c r="G18" s="248"/>
    </row>
    <row r="19" spans="1:7" ht="67.5" customHeight="1">
      <c r="A19" s="775"/>
      <c r="B19" s="707"/>
      <c r="C19" s="47" t="s">
        <v>8</v>
      </c>
      <c r="D19" s="257"/>
      <c r="E19" s="258"/>
      <c r="F19" s="258"/>
      <c r="G19" s="248"/>
    </row>
    <row r="20" spans="1:7" ht="66" customHeight="1" thickBot="1">
      <c r="A20" s="776"/>
      <c r="B20" s="707"/>
      <c r="C20" s="48" t="s">
        <v>10</v>
      </c>
      <c r="D20" s="330"/>
      <c r="E20" s="260"/>
      <c r="F20" s="260"/>
      <c r="G20" s="261"/>
    </row>
    <row r="21" spans="1:7" ht="89.25" customHeight="1">
      <c r="A21" s="774" t="s">
        <v>2</v>
      </c>
      <c r="B21" s="709">
        <f>B16+1</f>
        <v>45819</v>
      </c>
      <c r="C21" s="46" t="s">
        <v>5</v>
      </c>
      <c r="D21" s="254"/>
      <c r="E21" s="255"/>
      <c r="F21" s="255"/>
      <c r="G21" s="337"/>
    </row>
    <row r="22" spans="1:7" ht="81.75" customHeight="1">
      <c r="A22" s="775"/>
      <c r="B22" s="707"/>
      <c r="C22" s="47" t="s">
        <v>6</v>
      </c>
      <c r="D22" s="257"/>
      <c r="E22" s="258"/>
      <c r="F22" s="358"/>
      <c r="G22" s="359"/>
    </row>
    <row r="23" spans="1:7" ht="128.25" customHeight="1">
      <c r="A23" s="775"/>
      <c r="B23" s="707"/>
      <c r="C23" s="47" t="s">
        <v>7</v>
      </c>
      <c r="D23" s="257"/>
      <c r="E23" s="358"/>
      <c r="F23" s="258"/>
      <c r="G23" s="397"/>
    </row>
    <row r="24" spans="1:7" ht="129.75" customHeight="1">
      <c r="A24" s="775"/>
      <c r="B24" s="707"/>
      <c r="C24" s="47" t="s">
        <v>8</v>
      </c>
      <c r="D24" s="257"/>
      <c r="E24" s="358"/>
      <c r="F24" s="258"/>
      <c r="G24" s="397"/>
    </row>
    <row r="25" spans="1:7" ht="60" customHeight="1" thickBot="1">
      <c r="A25" s="776"/>
      <c r="B25" s="707"/>
      <c r="C25" s="48" t="s">
        <v>10</v>
      </c>
      <c r="D25" s="265"/>
      <c r="E25" s="315"/>
      <c r="F25" s="315"/>
      <c r="G25" s="316"/>
    </row>
    <row r="26" spans="1:7" ht="58.5" customHeight="1">
      <c r="A26" s="774" t="s">
        <v>3</v>
      </c>
      <c r="B26" s="709">
        <f>B21+1</f>
        <v>45820</v>
      </c>
      <c r="C26" s="46" t="s">
        <v>5</v>
      </c>
      <c r="D26" s="325"/>
      <c r="E26" s="427"/>
      <c r="F26" s="326"/>
      <c r="G26" s="398"/>
    </row>
    <row r="27" spans="1:7" ht="58.5" customHeight="1">
      <c r="A27" s="794"/>
      <c r="B27" s="707"/>
      <c r="C27" s="47" t="s">
        <v>6</v>
      </c>
      <c r="D27" s="257"/>
      <c r="E27" s="258"/>
      <c r="F27" s="258"/>
      <c r="G27" s="296"/>
    </row>
    <row r="28" spans="1:7" ht="58.5" customHeight="1">
      <c r="A28" s="794"/>
      <c r="B28" s="707"/>
      <c r="C28" s="47" t="s">
        <v>7</v>
      </c>
      <c r="D28" s="335"/>
      <c r="E28" s="358"/>
      <c r="F28" s="358"/>
      <c r="G28" s="359"/>
    </row>
    <row r="29" spans="1:7" ht="58.5" customHeight="1">
      <c r="A29" s="794"/>
      <c r="B29" s="707"/>
      <c r="C29" s="47" t="s">
        <v>8</v>
      </c>
      <c r="D29" s="335"/>
      <c r="E29" s="358"/>
      <c r="F29" s="358"/>
      <c r="G29" s="359"/>
    </row>
    <row r="30" spans="1:7" ht="58.5" customHeight="1" thickBot="1">
      <c r="A30" s="795"/>
      <c r="B30" s="707"/>
      <c r="C30" s="48" t="s">
        <v>10</v>
      </c>
      <c r="D30" s="265"/>
      <c r="E30" s="331"/>
      <c r="F30" s="315"/>
      <c r="G30" s="361"/>
    </row>
    <row r="31" spans="1:7" ht="58.5" customHeight="1">
      <c r="A31" s="778" t="s">
        <v>4</v>
      </c>
      <c r="B31" s="734">
        <f>B26+1</f>
        <v>45821</v>
      </c>
      <c r="C31" s="105" t="s">
        <v>5</v>
      </c>
      <c r="D31" s="289"/>
      <c r="E31" s="329"/>
      <c r="F31" s="255"/>
      <c r="G31" s="256"/>
    </row>
    <row r="32" spans="1:7" ht="58.5" customHeight="1">
      <c r="A32" s="781"/>
      <c r="B32" s="731"/>
      <c r="C32" s="106" t="s">
        <v>6</v>
      </c>
      <c r="D32" s="456"/>
      <c r="E32" s="455"/>
      <c r="F32" s="259"/>
      <c r="G32" s="248"/>
    </row>
    <row r="33" spans="1:7" ht="58.5" customHeight="1">
      <c r="A33" s="781"/>
      <c r="B33" s="731"/>
      <c r="C33" s="106" t="s">
        <v>7</v>
      </c>
      <c r="D33" s="257"/>
      <c r="E33" s="285"/>
      <c r="F33" s="333"/>
      <c r="G33" s="286"/>
    </row>
    <row r="34" spans="1:7" ht="58.5" customHeight="1">
      <c r="A34" s="781"/>
      <c r="B34" s="731"/>
      <c r="C34" s="106" t="s">
        <v>8</v>
      </c>
      <c r="D34" s="257"/>
      <c r="E34" s="258"/>
      <c r="F34" s="258"/>
      <c r="G34" s="248"/>
    </row>
    <row r="35" spans="1:7" ht="58.5" customHeight="1" thickBot="1">
      <c r="A35" s="782"/>
      <c r="B35" s="731"/>
      <c r="C35" s="107" t="s">
        <v>10</v>
      </c>
      <c r="D35" s="362"/>
      <c r="E35" s="363"/>
      <c r="F35" s="315"/>
      <c r="G35" s="316"/>
    </row>
    <row r="36" spans="1:7" ht="58.5" customHeight="1">
      <c r="A36" s="731" t="s">
        <v>18</v>
      </c>
      <c r="B36" s="734">
        <f>B31+1</f>
        <v>45822</v>
      </c>
      <c r="C36" s="105" t="s">
        <v>5</v>
      </c>
      <c r="D36" s="454"/>
      <c r="E36" s="457"/>
      <c r="F36" s="250"/>
      <c r="G36" s="458"/>
    </row>
    <row r="37" spans="1:7" ht="58.5" customHeight="1">
      <c r="A37" s="731"/>
      <c r="B37" s="731"/>
      <c r="C37" s="106" t="s">
        <v>6</v>
      </c>
      <c r="D37" s="368"/>
      <c r="E37" s="250"/>
      <c r="F37" s="251"/>
      <c r="G37" s="252"/>
    </row>
    <row r="38" spans="1:7" ht="58.5" customHeight="1">
      <c r="A38" s="731"/>
      <c r="B38" s="731"/>
      <c r="C38" s="106" t="s">
        <v>7</v>
      </c>
      <c r="D38" s="327"/>
      <c r="E38" s="250"/>
      <c r="F38" s="251"/>
      <c r="G38" s="250"/>
    </row>
    <row r="39" spans="1:7" ht="58.5" customHeight="1">
      <c r="A39" s="731"/>
      <c r="B39" s="731"/>
      <c r="C39" s="106" t="s">
        <v>8</v>
      </c>
      <c r="D39" s="253"/>
      <c r="E39" s="253"/>
      <c r="F39" s="253"/>
      <c r="G39" s="253"/>
    </row>
    <row r="40" spans="1:7" ht="58.5" customHeight="1" thickBot="1">
      <c r="A40" s="777"/>
      <c r="B40" s="777"/>
      <c r="C40" s="107" t="s">
        <v>10</v>
      </c>
      <c r="D40" s="249"/>
      <c r="E40" s="249"/>
      <c r="F40" s="249"/>
      <c r="G40" s="249"/>
    </row>
    <row r="41" spans="1:7" ht="30.75">
      <c r="A41" s="91"/>
      <c r="B41" s="91"/>
      <c r="C41" s="91"/>
      <c r="D41" s="213" t="s">
        <v>120</v>
      </c>
      <c r="E41" s="91"/>
      <c r="F41" s="91"/>
      <c r="G41" s="91"/>
    </row>
    <row r="42" spans="1:7">
      <c r="A42" s="91"/>
      <c r="B42" s="69"/>
      <c r="C42" s="115" t="str">
        <f>'01.09'!C42</f>
        <v>*Л. Речевое общение в профессиональной деятельности*</v>
      </c>
      <c r="D42" s="116">
        <f>'28.12'!D42+COUNTIF(D$11:D$40,$C42)</f>
        <v>5</v>
      </c>
      <c r="E42" s="116">
        <f>'28.12'!E42+COUNTIF(E$11:E$40,$C42)</f>
        <v>5</v>
      </c>
      <c r="F42" s="116">
        <f>'28.12'!F42+COUNTIF(F$11:F$40,$C42)</f>
        <v>5</v>
      </c>
      <c r="G42" s="116">
        <f>'28.12'!G42+COUNTIF(G$11:G$40,$C42)</f>
        <v>5</v>
      </c>
    </row>
    <row r="43" spans="1:7">
      <c r="A43" s="91"/>
      <c r="B43" s="69"/>
      <c r="C43" s="115" t="str">
        <f>'01.09'!C43</f>
        <v>*Пр. Речевое общение в профессиональной деятельности*</v>
      </c>
      <c r="D43" s="116">
        <f>'28.12'!D43+COUNTIF(D$11:D$40,$C43)</f>
        <v>4</v>
      </c>
      <c r="E43" s="116">
        <f>'28.12'!E43+COUNTIF(E$11:E$40,$C43)</f>
        <v>4</v>
      </c>
      <c r="F43" s="116">
        <f>'28.12'!F43+COUNTIF(F$11:F$40,$C43)</f>
        <v>4</v>
      </c>
      <c r="G43" s="116">
        <f>'28.12'!G43+COUNTIF(G$11:G$40,$C43)</f>
        <v>4</v>
      </c>
    </row>
    <row r="44" spans="1:7">
      <c r="A44" s="91"/>
      <c r="B44" s="69"/>
      <c r="C44" s="115" t="str">
        <f>'01.09'!C44</f>
        <v>*Л. Физическая культура и спорт*</v>
      </c>
      <c r="D44" s="116">
        <f>'28.12'!D44+COUNTIF(D$11:D$40,$C44)</f>
        <v>5</v>
      </c>
      <c r="E44" s="116">
        <f>'28.12'!E44+COUNTIF(E$11:E$40,$C44)</f>
        <v>5</v>
      </c>
      <c r="F44" s="116">
        <f>'28.12'!F44+COUNTIF(F$11:F$40,$C44)</f>
        <v>5</v>
      </c>
      <c r="G44" s="116">
        <f>'28.12'!G44+COUNTIF(G$11:G$40,$C44)</f>
        <v>5</v>
      </c>
    </row>
    <row r="45" spans="1:7">
      <c r="A45" s="91"/>
      <c r="B45" s="69"/>
      <c r="C45" s="115" t="str">
        <f>'01.09'!C45</f>
        <v>*Пр. Физическая культура и спорт*</v>
      </c>
      <c r="D45" s="116">
        <f>'28.12'!D45+COUNTIF(D$11:D$40,$C45)</f>
        <v>5</v>
      </c>
      <c r="E45" s="116">
        <f>'28.12'!E45+COUNTIF(E$11:E$40,$C45)</f>
        <v>5</v>
      </c>
      <c r="F45" s="116">
        <f>'28.12'!F45+COUNTIF(F$11:F$40,$C45)</f>
        <v>5</v>
      </c>
      <c r="G45" s="116">
        <f>'28.12'!G45+COUNTIF(G$11:G$40,$C45)</f>
        <v>5</v>
      </c>
    </row>
    <row r="46" spans="1:7">
      <c r="A46" s="91"/>
      <c r="B46" s="69"/>
      <c r="C46" s="115" t="str">
        <f>'01.09'!C46</f>
        <v>*Л. Анатомия*</v>
      </c>
      <c r="D46" s="116">
        <f>'28.12'!D46+COUNTIF(D$11:D$40,$C46)</f>
        <v>4</v>
      </c>
      <c r="E46" s="116">
        <f>'28.12'!E46+COUNTIF(E$11:E$40,$C46)</f>
        <v>4</v>
      </c>
      <c r="F46" s="116">
        <f>'28.12'!F46+COUNTIF(F$11:F$40,$C46)</f>
        <v>4</v>
      </c>
      <c r="G46" s="116">
        <f>'28.12'!G46+COUNTIF(G$11:G$40,$C46)</f>
        <v>4</v>
      </c>
    </row>
    <row r="47" spans="1:7">
      <c r="A47" s="91"/>
      <c r="B47" s="69"/>
      <c r="C47" s="115" t="str">
        <f>'01.09'!C47</f>
        <v>*Пр. Анатомия*</v>
      </c>
      <c r="D47" s="116">
        <f>'28.12'!D47+COUNTIF(D$11:D$40,$C47)</f>
        <v>4</v>
      </c>
      <c r="E47" s="116">
        <f>'28.12'!E47+COUNTIF(E$11:E$40,$C47)</f>
        <v>4</v>
      </c>
      <c r="F47" s="116">
        <f>'28.12'!F47+COUNTIF(F$11:F$40,$C47)</f>
        <v>4</v>
      </c>
      <c r="G47" s="116">
        <f>'28.12'!G47+COUNTIF(G$11:G$40,$C47)</f>
        <v>4</v>
      </c>
    </row>
    <row r="48" spans="1:7">
      <c r="A48" s="91"/>
      <c r="B48" s="69"/>
      <c r="C48" s="115" t="str">
        <f>'01.09'!C48</f>
        <v>*Л. Теория и методика*</v>
      </c>
      <c r="D48" s="116">
        <f>'28.12'!D48+COUNTIF(D$11:D$40,$C48)</f>
        <v>5</v>
      </c>
      <c r="E48" s="116">
        <f>'28.12'!E48+COUNTIF(E$11:E$40,$C48)</f>
        <v>5</v>
      </c>
      <c r="F48" s="116">
        <f>'28.12'!F48+COUNTIF(F$11:F$40,$C48)</f>
        <v>5</v>
      </c>
      <c r="G48" s="116">
        <f>'28.12'!G48+COUNTIF(G$11:G$40,$C48)</f>
        <v>5</v>
      </c>
    </row>
    <row r="49" spans="1:7">
      <c r="A49" s="91"/>
      <c r="B49" s="69"/>
      <c r="C49" s="115" t="str">
        <f>'01.09'!C49</f>
        <v>*Пр. Теория и методика*</v>
      </c>
      <c r="D49" s="116">
        <f>'28.12'!D49+COUNTIF(D$11:D$40,$C49)</f>
        <v>24</v>
      </c>
      <c r="E49" s="116">
        <f>'28.12'!E49+COUNTIF(E$11:E$40,$C49)</f>
        <v>25</v>
      </c>
      <c r="F49" s="116">
        <f>'28.12'!F49+COUNTIF(F$11:F$40,$C49)</f>
        <v>25</v>
      </c>
      <c r="G49" s="116">
        <f>'28.12'!G49+COUNTIF(G$11:G$40,$C49)</f>
        <v>25</v>
      </c>
    </row>
    <row r="50" spans="1:7">
      <c r="A50" s="91"/>
      <c r="B50" s="69"/>
      <c r="C50" s="115" t="str">
        <f>'01.09'!C50</f>
        <v>*Л. Информационные технологии*</v>
      </c>
      <c r="D50" s="116">
        <f>'28.12'!D50+COUNTIF(D$11:D$40,$C50)</f>
        <v>2</v>
      </c>
      <c r="E50" s="116">
        <f>'28.12'!E50+COUNTIF(E$11:E$40,$C50)</f>
        <v>2</v>
      </c>
      <c r="F50" s="116">
        <f>'28.12'!F50+COUNTIF(F$11:F$40,$C50)</f>
        <v>2</v>
      </c>
      <c r="G50" s="116">
        <f>'28.12'!G50+COUNTIF(G$11:G$40,$C50)</f>
        <v>2</v>
      </c>
    </row>
    <row r="51" spans="1:7">
      <c r="A51" s="91"/>
      <c r="B51" s="69"/>
      <c r="C51" s="115" t="str">
        <f>'01.09'!C51</f>
        <v>*Пр. Информационные технологии*</v>
      </c>
      <c r="D51" s="116">
        <f>'28.12'!D51+COUNTIF(D$11:D$40,$C51)</f>
        <v>8</v>
      </c>
      <c r="E51" s="116">
        <f>'28.12'!E51+COUNTIF(E$11:E$40,$C51)</f>
        <v>8</v>
      </c>
      <c r="F51" s="116">
        <f>'28.12'!F51+COUNTIF(F$11:F$40,$C51)</f>
        <v>8</v>
      </c>
      <c r="G51" s="116">
        <f>'28.12'!G51+COUNTIF(G$11:G$40,$C51)</f>
        <v>8</v>
      </c>
    </row>
    <row r="52" spans="1:7">
      <c r="A52" s="91"/>
      <c r="B52" s="69"/>
      <c r="C52" s="115" t="str">
        <f>'01.09'!C53</f>
        <v>*Пр. Гимнастика*</v>
      </c>
      <c r="D52" s="116">
        <f>'28.12'!D52+COUNTIF(D$11:D$40,$C52)</f>
        <v>3</v>
      </c>
      <c r="E52" s="116">
        <f>'28.12'!E52+COUNTIF(E$11:E$40,$C52)</f>
        <v>3</v>
      </c>
      <c r="F52" s="116">
        <f>'28.12'!F52+COUNTIF(F$11:F$40,$C52)</f>
        <v>3</v>
      </c>
      <c r="G52" s="116">
        <f>'28.12'!G52+COUNTIF(G$11:G$40,$C52)</f>
        <v>3</v>
      </c>
    </row>
    <row r="53" spans="1:7">
      <c r="A53" s="91"/>
      <c r="B53" s="69"/>
      <c r="C53" s="115" t="str">
        <f>'01.09'!C54</f>
        <v>*Л. Элективные дисциплины по ФКиС: Подвижные игры*</v>
      </c>
      <c r="D53" s="116">
        <f>'28.12'!D53+COUNTIF(D$11:D$40,$C53)</f>
        <v>13</v>
      </c>
      <c r="E53" s="116">
        <f>'28.12'!E53+COUNTIF(E$11:E$40,$C53)</f>
        <v>12</v>
      </c>
      <c r="F53" s="116">
        <f>'28.12'!F53+COUNTIF(F$11:F$40,$C53)</f>
        <v>12</v>
      </c>
      <c r="G53" s="116">
        <f>'28.12'!G53+COUNTIF(G$11:G$40,$C53)</f>
        <v>12</v>
      </c>
    </row>
    <row r="54" spans="1:7">
      <c r="A54" s="91"/>
      <c r="B54" s="69"/>
      <c r="C54" s="115" t="str">
        <f>'01.09'!C55</f>
        <v>*Пр. Элективные дисциплины по ФКиС: Подвижные игры*</v>
      </c>
      <c r="D54" s="116">
        <f>'28.12'!D54+COUNTIF(D$11:D$40,$C54)</f>
        <v>1</v>
      </c>
      <c r="E54" s="116">
        <f>'28.12'!E54+COUNTIF(E$11:E$40,$C54)</f>
        <v>1</v>
      </c>
      <c r="F54" s="116">
        <f>'28.12'!F54+COUNTIF(F$11:F$40,$C54)</f>
        <v>1</v>
      </c>
      <c r="G54" s="116">
        <f>'28.12'!G54+COUNTIF(G$11:G$40,$C54)</f>
        <v>1</v>
      </c>
    </row>
    <row r="55" spans="1:7">
      <c r="A55" s="91"/>
      <c r="B55" s="69"/>
      <c r="C55" s="115" t="str">
        <f>'01.09'!C56</f>
        <v>*Л. Волейбол*</v>
      </c>
      <c r="D55" s="116">
        <f>'28.12'!D55+COUNTIF(D$11:D$40,$C55)</f>
        <v>8</v>
      </c>
      <c r="E55" s="116">
        <f>'28.12'!E55+COUNTIF(E$11:E$40,$C55)</f>
        <v>8</v>
      </c>
      <c r="F55" s="116">
        <f>'28.12'!F55+COUNTIF(F$11:F$40,$C55)</f>
        <v>9</v>
      </c>
      <c r="G55" s="116">
        <f>'28.12'!G55+COUNTIF(G$11:G$40,$C55)</f>
        <v>9</v>
      </c>
    </row>
    <row r="56" spans="1:7">
      <c r="A56" s="91"/>
      <c r="C56" s="115" t="str">
        <f>'01.09'!C57</f>
        <v>*Пр. Волейбол*</v>
      </c>
      <c r="D56" s="116">
        <f>'28.12'!D56+COUNTIF(D$11:D$40,$C56)</f>
        <v>1</v>
      </c>
      <c r="E56" s="116">
        <f>'28.12'!E56+COUNTIF(E$11:E$40,$C56)</f>
        <v>1</v>
      </c>
      <c r="F56" s="116">
        <f>'28.12'!F56+COUNTIF(F$11:F$40,$C56)</f>
        <v>1</v>
      </c>
      <c r="G56" s="116">
        <f>'28.12'!G56+COUNTIF(G$11:G$40,$C56)</f>
        <v>1</v>
      </c>
    </row>
    <row r="57" spans="1:7">
      <c r="A57" s="91"/>
      <c r="C57" s="115" t="str">
        <f>'01.09'!C58</f>
        <v>*Л. Лыжные гонки*</v>
      </c>
      <c r="D57" s="116">
        <f>'28.12'!D57+COUNTIF(D$11:D$40,$C57)</f>
        <v>16</v>
      </c>
      <c r="E57" s="116">
        <f>'28.12'!E57+COUNTIF(E$11:E$40,$C57)</f>
        <v>16</v>
      </c>
      <c r="F57" s="116">
        <f>'28.12'!F57+COUNTIF(F$11:F$40,$C57)</f>
        <v>16</v>
      </c>
      <c r="G57" s="116">
        <f>'28.12'!G57+COUNTIF(G$11:G$40,$C57)</f>
        <v>16</v>
      </c>
    </row>
    <row r="58" spans="1:7">
      <c r="A58" s="91"/>
      <c r="C58" s="115" t="str">
        <f>'01.09'!C59</f>
        <v>*Пр. Лыжные гонки*</v>
      </c>
      <c r="D58" s="116">
        <f>'28.12'!D58+COUNTIF(D$11:D$40,$C58)</f>
        <v>0</v>
      </c>
      <c r="E58" s="116">
        <f>'28.12'!E58+COUNTIF(E$11:E$40,$C58)</f>
        <v>0</v>
      </c>
      <c r="F58" s="116">
        <f>'28.12'!F58+COUNTIF(F$11:F$40,$C58)</f>
        <v>0</v>
      </c>
      <c r="G58" s="116">
        <f>'28.12'!G58+COUNTIF(G$11:G$40,$C58)</f>
        <v>0</v>
      </c>
    </row>
    <row r="59" spans="1:7">
      <c r="A59" s="91"/>
      <c r="B59" s="217"/>
      <c r="C59" s="115" t="str">
        <f>'01.09'!C60</f>
        <v>*Л. Использование электронной*</v>
      </c>
      <c r="D59" s="116">
        <f>'28.12'!D59+COUNTIF(D$11:D$40,$C59)</f>
        <v>0</v>
      </c>
      <c r="E59" s="116">
        <f>'28.12'!E59+COUNTIF(E$11:E$40,$C59)</f>
        <v>0</v>
      </c>
      <c r="F59" s="116">
        <f>'28.12'!F59+COUNTIF(F$11:F$40,$C59)</f>
        <v>0</v>
      </c>
      <c r="G59" s="116">
        <f>'28.12'!G59+COUNTIF(G$11:G$40,$C59)</f>
        <v>0</v>
      </c>
    </row>
    <row r="60" spans="1:7">
      <c r="A60" s="91"/>
      <c r="B60" s="217"/>
      <c r="C60" s="115" t="str">
        <f>'01.09'!C61</f>
        <v>*Пр. Использование электронной*</v>
      </c>
      <c r="D60" s="116">
        <f>'28.12'!D60+COUNTIF(D$11:D$40,$C60)</f>
        <v>1</v>
      </c>
      <c r="E60" s="116">
        <f>'28.12'!E60+COUNTIF(E$11:E$40,$C60)</f>
        <v>0</v>
      </c>
      <c r="F60" s="116">
        <f>'28.12'!F60+COUNTIF(F$11:F$40,$C60)</f>
        <v>0</v>
      </c>
      <c r="G60" s="116">
        <f>'28.12'!G60+COUNTIF(G$11:G$40,$C60)</f>
        <v>0</v>
      </c>
    </row>
    <row r="61" spans="1:7">
      <c r="A61" s="91"/>
      <c r="C61" s="115" t="str">
        <f>'01.09'!C62</f>
        <v>*Пр. Иностранный*</v>
      </c>
      <c r="D61" s="116">
        <f>'28.12'!D61+COUNTIF(D$11:D$40,$C61)</f>
        <v>2</v>
      </c>
      <c r="E61" s="116">
        <f>'28.12'!E61+COUNTIF(E$11:E$40,$C61)</f>
        <v>2</v>
      </c>
      <c r="F61" s="116">
        <f>'28.12'!F61+COUNTIF(F$11:F$40,$C61)</f>
        <v>2</v>
      </c>
      <c r="G61" s="116">
        <f>'28.12'!G61+COUNTIF(G$11:G$40,$C61)</f>
        <v>2</v>
      </c>
    </row>
    <row r="62" spans="1:7">
      <c r="A62" s="91"/>
      <c r="C62" s="115" t="e">
        <f>'01.09'!#REF!</f>
        <v>#REF!</v>
      </c>
      <c r="D62" s="116">
        <f>'28.12'!D62+COUNTIF(D$11:D$40,$C62)</f>
        <v>8</v>
      </c>
      <c r="E62" s="116">
        <f>'28.12'!E62+COUNTIF(E$11:E$40,$C62)</f>
        <v>8</v>
      </c>
      <c r="F62" s="116">
        <f>'28.12'!F62+COUNTIF(F$11:F$40,$C62)</f>
        <v>8</v>
      </c>
      <c r="G62" s="116">
        <f>'28.12'!G62+COUNTIF(G$11:G$40,$C62)</f>
        <v>8</v>
      </c>
    </row>
    <row r="63" spans="1:7">
      <c r="A63" s="91"/>
      <c r="B63" s="91"/>
      <c r="C63" s="115">
        <f>'01.09'!C63</f>
        <v>0</v>
      </c>
      <c r="D63" s="116">
        <f>'28.12'!D63+COUNTIF(D$11:D$40,$C63)</f>
        <v>0</v>
      </c>
      <c r="E63" s="116">
        <f>'28.12'!E63+COUNTIF(E$11:E$40,$C63)</f>
        <v>0</v>
      </c>
      <c r="F63" s="116">
        <f>'28.12'!F63+COUNTIF(F$11:F$40,$C63)</f>
        <v>0</v>
      </c>
      <c r="G63" s="116">
        <f>'28.12'!G63+COUNTIF(G$11:G$40,$C63)</f>
        <v>0</v>
      </c>
    </row>
    <row r="64" spans="1:7">
      <c r="A64" s="91"/>
      <c r="B64" s="91"/>
      <c r="C64" s="115">
        <f>'01.09'!C64</f>
        <v>0</v>
      </c>
      <c r="D64" s="116">
        <f>'28.12'!D64+COUNTIF(D$11:D$40,$C64)</f>
        <v>0</v>
      </c>
      <c r="E64" s="116">
        <f>'28.12'!E64+COUNTIF(E$11:E$40,$C64)</f>
        <v>0</v>
      </c>
      <c r="F64" s="116">
        <f>'28.12'!F64+COUNTIF(F$11:F$40,$C64)</f>
        <v>0</v>
      </c>
      <c r="G64" s="116">
        <f>'28.12'!G64+COUNTIF(G$11:G$40,$C64)</f>
        <v>0</v>
      </c>
    </row>
    <row r="65" spans="1:7">
      <c r="A65" s="91"/>
      <c r="B65" s="91"/>
      <c r="C65" s="115">
        <f>'01.09'!C65</f>
        <v>0</v>
      </c>
      <c r="D65" s="116">
        <f>'28.12'!D65+COUNTIF(D$11:D$40,$C65)</f>
        <v>0</v>
      </c>
      <c r="E65" s="116">
        <f>'28.12'!E65+COUNTIF(E$11:E$40,$C65)</f>
        <v>0</v>
      </c>
      <c r="F65" s="116">
        <f>'28.12'!F65+COUNTIF(F$11:F$40,$C65)</f>
        <v>0</v>
      </c>
      <c r="G65" s="116">
        <f>'28.12'!G65+COUNTIF(G$11:G$40,$C65)</f>
        <v>0</v>
      </c>
    </row>
    <row r="66" spans="1:7">
      <c r="A66" s="91"/>
      <c r="B66" s="91"/>
      <c r="C66" s="115">
        <f>'01.09'!C66</f>
        <v>0</v>
      </c>
      <c r="D66" s="116">
        <f>'28.12'!D66+COUNTIF(D$11:D$40,$C66)</f>
        <v>0</v>
      </c>
      <c r="E66" s="116">
        <f>'28.12'!E66+COUNTIF(E$11:E$40,$C66)</f>
        <v>0</v>
      </c>
      <c r="F66" s="116">
        <f>'28.12'!F66+COUNTIF(F$11:F$40,$C66)</f>
        <v>0</v>
      </c>
      <c r="G66" s="116">
        <f>'28.12'!G66+COUNTIF(G$11:G$40,$C66)</f>
        <v>0</v>
      </c>
    </row>
    <row r="67" spans="1:7">
      <c r="A67" s="91"/>
      <c r="B67" s="91"/>
      <c r="C67" s="115">
        <f>'01.09'!C67</f>
        <v>0</v>
      </c>
      <c r="D67" s="116">
        <f>'28.12'!D67+COUNTIF(D$11:D$40,$C67)</f>
        <v>0</v>
      </c>
      <c r="E67" s="116">
        <f>'28.12'!E67+COUNTIF(E$11:E$40,$C67)</f>
        <v>0</v>
      </c>
      <c r="F67" s="116">
        <f>'28.12'!F67+COUNTIF(F$11:F$40,$C67)</f>
        <v>0</v>
      </c>
      <c r="G67" s="116">
        <f>'28.12'!G67+COUNTIF(G$11:G$40,$C67)</f>
        <v>0</v>
      </c>
    </row>
    <row r="68" spans="1:7">
      <c r="A68" s="69"/>
      <c r="B68" s="69"/>
      <c r="C68" s="69"/>
      <c r="D68" s="69"/>
      <c r="E68" s="69"/>
      <c r="F68" s="69"/>
      <c r="G68" s="69"/>
    </row>
    <row r="69" spans="1:7">
      <c r="A69" s="69"/>
      <c r="B69" s="69"/>
      <c r="C69" s="69"/>
      <c r="D69" s="69"/>
      <c r="E69" s="69"/>
      <c r="F69" s="69"/>
      <c r="G69" s="69"/>
    </row>
    <row r="70" spans="1:7">
      <c r="A70" s="69"/>
      <c r="B70" s="69"/>
      <c r="C70" s="69"/>
      <c r="D70" s="69"/>
      <c r="E70" s="69"/>
      <c r="F70" s="69"/>
      <c r="G70" s="69"/>
    </row>
    <row r="71" spans="1:7">
      <c r="A71" s="69"/>
      <c r="B71" s="69"/>
      <c r="C71" s="69"/>
      <c r="D71" s="69"/>
      <c r="E71" s="69"/>
      <c r="F71" s="69"/>
      <c r="G71" s="69"/>
    </row>
    <row r="72" spans="1:7">
      <c r="A72" s="69"/>
      <c r="B72" s="69"/>
      <c r="C72" s="69"/>
      <c r="D72" s="69"/>
      <c r="E72" s="69"/>
      <c r="F72" s="69"/>
      <c r="G72" s="69"/>
    </row>
    <row r="73" spans="1:7">
      <c r="A73" s="69"/>
      <c r="B73" s="69"/>
      <c r="C73" s="69"/>
      <c r="D73" s="69"/>
      <c r="E73" s="69"/>
      <c r="F73" s="69"/>
      <c r="G73" s="69"/>
    </row>
    <row r="74" spans="1:7">
      <c r="A74" s="69"/>
      <c r="B74" s="69"/>
      <c r="C74" s="69"/>
      <c r="D74" s="69"/>
      <c r="E74" s="69"/>
      <c r="F74" s="69"/>
      <c r="G74" s="69"/>
    </row>
    <row r="75" spans="1:7">
      <c r="A75" s="69"/>
      <c r="B75" s="69"/>
      <c r="C75" s="69"/>
      <c r="D75" s="69"/>
      <c r="E75" s="69"/>
      <c r="F75" s="69"/>
      <c r="G75" s="69"/>
    </row>
    <row r="76" spans="1:7">
      <c r="A76" s="69"/>
      <c r="B76" s="69"/>
      <c r="C76" s="69"/>
      <c r="D76" s="69"/>
      <c r="E76" s="69"/>
      <c r="F76" s="69"/>
      <c r="G76" s="69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2:G2"/>
    <mergeCell ref="B6:G6"/>
    <mergeCell ref="B7:G7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topLeftCell="A4" zoomScale="40" zoomScaleNormal="40" zoomScaleSheetLayoutView="40" zoomScalePageLayoutView="40" workbookViewId="0">
      <selection activeCell="D9" sqref="D9"/>
    </sheetView>
  </sheetViews>
  <sheetFormatPr defaultRowHeight="26.25"/>
  <cols>
    <col min="1" max="1" width="4.42578125" style="84" customWidth="1"/>
    <col min="2" max="2" width="8.7109375" style="84" customWidth="1"/>
    <col min="3" max="3" width="25.5703125" style="84" customWidth="1"/>
    <col min="4" max="7" width="73.140625" style="84" customWidth="1"/>
    <col min="8" max="16384" width="9.140625" style="84"/>
  </cols>
  <sheetData>
    <row r="1" spans="1:7" ht="30">
      <c r="B1" s="726" t="s">
        <v>162</v>
      </c>
      <c r="C1" s="726"/>
      <c r="D1" s="726"/>
      <c r="E1" s="726"/>
      <c r="F1" s="726"/>
      <c r="G1" s="726"/>
    </row>
    <row r="2" spans="1:7" ht="30">
      <c r="A2" s="86"/>
      <c r="B2" s="726" t="s">
        <v>122</v>
      </c>
      <c r="C2" s="726"/>
      <c r="D2" s="726"/>
      <c r="E2" s="726"/>
      <c r="F2" s="726"/>
      <c r="G2" s="726"/>
    </row>
    <row r="3" spans="1:7" ht="33" customHeight="1">
      <c r="A3" s="743" t="s">
        <v>119</v>
      </c>
      <c r="B3" s="743"/>
      <c r="C3" s="743"/>
      <c r="D3" s="743"/>
      <c r="E3" s="743"/>
      <c r="F3" s="743"/>
      <c r="G3" s="743"/>
    </row>
    <row r="4" spans="1:7" ht="33">
      <c r="A4" s="343"/>
      <c r="B4" s="744" t="s">
        <v>138</v>
      </c>
      <c r="C4" s="744"/>
      <c r="D4" s="744"/>
      <c r="E4" s="744"/>
      <c r="F4" s="744"/>
      <c r="G4" s="744"/>
    </row>
    <row r="5" spans="1:7" ht="33" customHeight="1">
      <c r="A5" s="342"/>
      <c r="B5" s="744" t="s">
        <v>142</v>
      </c>
      <c r="C5" s="744"/>
      <c r="D5" s="744"/>
      <c r="E5" s="744"/>
      <c r="F5" s="744"/>
      <c r="G5" s="744"/>
    </row>
    <row r="6" spans="1:7" ht="30">
      <c r="A6" s="86"/>
      <c r="B6" s="726" t="s">
        <v>90</v>
      </c>
      <c r="C6" s="726"/>
      <c r="D6" s="726"/>
      <c r="E6" s="726"/>
      <c r="F6" s="726"/>
      <c r="G6" s="726"/>
    </row>
    <row r="7" spans="1:7">
      <c r="A7" s="87"/>
      <c r="B7" s="728" t="s">
        <v>164</v>
      </c>
      <c r="C7" s="728"/>
      <c r="D7" s="728"/>
      <c r="E7" s="728"/>
      <c r="F7" s="728"/>
      <c r="G7" s="728"/>
    </row>
    <row r="8" spans="1:7" ht="6.75" customHeight="1" thickBot="1">
      <c r="A8" s="89"/>
      <c r="B8" s="89"/>
      <c r="C8" s="89"/>
      <c r="D8" s="89"/>
      <c r="E8" s="89"/>
      <c r="F8" s="89"/>
      <c r="G8" s="89"/>
    </row>
    <row r="9" spans="1:7" ht="27" thickBot="1">
      <c r="A9" s="789" t="s">
        <v>76</v>
      </c>
      <c r="B9" s="789" t="s">
        <v>9</v>
      </c>
      <c r="C9" s="791" t="s">
        <v>77</v>
      </c>
      <c r="D9" s="411" t="s">
        <v>165</v>
      </c>
      <c r="E9" s="412" t="s">
        <v>11</v>
      </c>
      <c r="F9" s="412" t="s">
        <v>12</v>
      </c>
      <c r="G9" s="413" t="s">
        <v>153</v>
      </c>
    </row>
    <row r="10" spans="1:7" ht="84" customHeight="1" thickBot="1">
      <c r="A10" s="790"/>
      <c r="B10" s="790"/>
      <c r="C10" s="792"/>
      <c r="D10" s="344" t="s">
        <v>159</v>
      </c>
      <c r="E10" s="370" t="s">
        <v>125</v>
      </c>
      <c r="F10" s="370" t="s">
        <v>139</v>
      </c>
      <c r="G10" s="371" t="s">
        <v>155</v>
      </c>
    </row>
    <row r="11" spans="1:7" ht="105" customHeight="1">
      <c r="A11" s="778" t="s">
        <v>0</v>
      </c>
      <c r="B11" s="737">
        <v>45824</v>
      </c>
      <c r="C11" s="105" t="s">
        <v>5</v>
      </c>
      <c r="D11" s="254"/>
      <c r="E11" s="448"/>
      <c r="F11" s="336"/>
      <c r="G11" s="256"/>
    </row>
    <row r="12" spans="1:7" ht="78.75" customHeight="1">
      <c r="A12" s="781"/>
      <c r="B12" s="731"/>
      <c r="C12" s="106" t="s">
        <v>6</v>
      </c>
      <c r="D12" s="257"/>
      <c r="E12" s="258"/>
      <c r="F12" s="333"/>
      <c r="G12" s="248"/>
    </row>
    <row r="13" spans="1:7" ht="78.75" customHeight="1">
      <c r="A13" s="781"/>
      <c r="B13" s="731"/>
      <c r="C13" s="106" t="s">
        <v>7</v>
      </c>
      <c r="D13" s="332"/>
      <c r="E13" s="259"/>
      <c r="F13" s="358"/>
      <c r="G13" s="296"/>
    </row>
    <row r="14" spans="1:7" ht="78.75" customHeight="1">
      <c r="A14" s="781"/>
      <c r="B14" s="731"/>
      <c r="C14" s="106" t="s">
        <v>8</v>
      </c>
      <c r="D14" s="257"/>
      <c r="E14" s="258"/>
      <c r="F14" s="258"/>
      <c r="G14" s="248"/>
    </row>
    <row r="15" spans="1:7" ht="78.75" customHeight="1" thickBot="1">
      <c r="A15" s="781"/>
      <c r="B15" s="731"/>
      <c r="C15" s="107" t="s">
        <v>10</v>
      </c>
      <c r="D15" s="265"/>
      <c r="E15" s="315"/>
      <c r="F15" s="315"/>
      <c r="G15" s="316"/>
    </row>
    <row r="16" spans="1:7" ht="116.25" customHeight="1">
      <c r="A16" s="774" t="s">
        <v>1</v>
      </c>
      <c r="B16" s="709">
        <f>B11+1</f>
        <v>45825</v>
      </c>
      <c r="C16" s="43" t="s">
        <v>5</v>
      </c>
      <c r="D16" s="426"/>
      <c r="E16" s="444"/>
      <c r="F16" s="447"/>
      <c r="G16" s="443"/>
    </row>
    <row r="17" spans="1:7" ht="116.25" customHeight="1">
      <c r="A17" s="775"/>
      <c r="B17" s="707"/>
      <c r="C17" s="44" t="s">
        <v>6</v>
      </c>
      <c r="D17" s="332"/>
      <c r="E17" s="442"/>
      <c r="F17" s="396"/>
      <c r="G17" s="443"/>
    </row>
    <row r="18" spans="1:7" ht="78.75" customHeight="1">
      <c r="A18" s="775"/>
      <c r="B18" s="707"/>
      <c r="C18" s="44" t="s">
        <v>7</v>
      </c>
      <c r="D18" s="257"/>
      <c r="E18" s="258"/>
      <c r="F18" s="258"/>
      <c r="G18" s="248"/>
    </row>
    <row r="19" spans="1:7" ht="78.75" customHeight="1">
      <c r="A19" s="775"/>
      <c r="B19" s="707"/>
      <c r="C19" s="44" t="s">
        <v>8</v>
      </c>
      <c r="D19" s="257"/>
      <c r="E19" s="258"/>
      <c r="F19" s="258"/>
      <c r="G19" s="248"/>
    </row>
    <row r="20" spans="1:7" ht="78.75" customHeight="1" thickBot="1">
      <c r="A20" s="776"/>
      <c r="B20" s="707"/>
      <c r="C20" s="45" t="s">
        <v>10</v>
      </c>
      <c r="D20" s="330"/>
      <c r="E20" s="260"/>
      <c r="F20" s="260"/>
      <c r="G20" s="261"/>
    </row>
    <row r="21" spans="1:7" ht="78.75" customHeight="1">
      <c r="A21" s="774" t="s">
        <v>2</v>
      </c>
      <c r="B21" s="709">
        <f>B16+1</f>
        <v>45826</v>
      </c>
      <c r="C21" s="46" t="s">
        <v>5</v>
      </c>
      <c r="D21" s="254"/>
      <c r="E21" s="255"/>
      <c r="F21" s="255"/>
      <c r="G21" s="337"/>
    </row>
    <row r="22" spans="1:7" ht="78.75" customHeight="1">
      <c r="A22" s="775"/>
      <c r="B22" s="707"/>
      <c r="C22" s="47" t="s">
        <v>6</v>
      </c>
      <c r="D22" s="257"/>
      <c r="E22" s="258"/>
      <c r="F22" s="358"/>
      <c r="G22" s="453"/>
    </row>
    <row r="23" spans="1:7" ht="91.5" customHeight="1">
      <c r="A23" s="775"/>
      <c r="B23" s="707"/>
      <c r="C23" s="47" t="s">
        <v>7</v>
      </c>
      <c r="D23" s="257"/>
      <c r="E23" s="358"/>
      <c r="F23" s="258"/>
      <c r="G23" s="397"/>
    </row>
    <row r="24" spans="1:7" ht="96.75" customHeight="1">
      <c r="A24" s="775"/>
      <c r="B24" s="707"/>
      <c r="C24" s="47" t="s">
        <v>8</v>
      </c>
      <c r="D24" s="257"/>
      <c r="E24" s="358"/>
      <c r="F24" s="258"/>
      <c r="G24" s="397"/>
    </row>
    <row r="25" spans="1:7" ht="84.75" customHeight="1" thickBot="1">
      <c r="A25" s="776"/>
      <c r="B25" s="707"/>
      <c r="C25" s="48" t="s">
        <v>10</v>
      </c>
      <c r="D25" s="265"/>
      <c r="E25" s="315"/>
      <c r="F25" s="315"/>
      <c r="G25" s="316"/>
    </row>
    <row r="26" spans="1:7" ht="78.75" customHeight="1">
      <c r="A26" s="774" t="s">
        <v>3</v>
      </c>
      <c r="B26" s="709">
        <f>B21+1</f>
        <v>45827</v>
      </c>
      <c r="C26" s="46" t="s">
        <v>5</v>
      </c>
      <c r="D26" s="325"/>
      <c r="E26" s="427"/>
      <c r="F26" s="326"/>
      <c r="G26" s="398"/>
    </row>
    <row r="27" spans="1:7" ht="78.75" customHeight="1">
      <c r="A27" s="794"/>
      <c r="B27" s="707"/>
      <c r="C27" s="47" t="s">
        <v>6</v>
      </c>
      <c r="D27" s="257"/>
      <c r="E27" s="258"/>
      <c r="F27" s="258"/>
      <c r="G27" s="248"/>
    </row>
    <row r="28" spans="1:7" ht="69" customHeight="1">
      <c r="A28" s="794"/>
      <c r="B28" s="707"/>
      <c r="C28" s="47" t="s">
        <v>7</v>
      </c>
      <c r="D28" s="332"/>
      <c r="E28" s="442"/>
      <c r="F28" s="442"/>
      <c r="G28" s="397"/>
    </row>
    <row r="29" spans="1:7" ht="91.5" customHeight="1">
      <c r="A29" s="794"/>
      <c r="B29" s="707"/>
      <c r="C29" s="47" t="s">
        <v>8</v>
      </c>
      <c r="D29" s="332"/>
      <c r="E29" s="444"/>
      <c r="F29" s="444"/>
      <c r="G29" s="397"/>
    </row>
    <row r="30" spans="1:7" ht="78.75" customHeight="1" thickBot="1">
      <c r="A30" s="795"/>
      <c r="B30" s="707"/>
      <c r="C30" s="48" t="s">
        <v>10</v>
      </c>
      <c r="D30" s="265"/>
      <c r="E30" s="331"/>
      <c r="F30" s="315"/>
      <c r="G30" s="361"/>
    </row>
    <row r="31" spans="1:7" ht="78.75" customHeight="1">
      <c r="A31" s="778" t="s">
        <v>4</v>
      </c>
      <c r="B31" s="734">
        <f>B26+1</f>
        <v>45828</v>
      </c>
      <c r="C31" s="105" t="s">
        <v>5</v>
      </c>
      <c r="D31" s="289"/>
      <c r="E31" s="290"/>
      <c r="F31" s="446"/>
      <c r="G31" s="441"/>
    </row>
    <row r="32" spans="1:7" ht="78.75" customHeight="1">
      <c r="A32" s="781"/>
      <c r="B32" s="731"/>
      <c r="C32" s="106" t="s">
        <v>6</v>
      </c>
      <c r="D32" s="257"/>
      <c r="E32" s="287"/>
      <c r="F32" s="259"/>
      <c r="G32" s="286"/>
    </row>
    <row r="33" spans="1:7" ht="78.75" customHeight="1">
      <c r="A33" s="781"/>
      <c r="B33" s="731"/>
      <c r="C33" s="106" t="s">
        <v>7</v>
      </c>
      <c r="D33" s="257"/>
      <c r="E33" s="287"/>
      <c r="F33" s="333"/>
      <c r="G33" s="286"/>
    </row>
    <row r="34" spans="1:7" ht="88.5" customHeight="1">
      <c r="A34" s="781"/>
      <c r="B34" s="731"/>
      <c r="C34" s="106" t="s">
        <v>8</v>
      </c>
      <c r="D34" s="257"/>
      <c r="E34" s="285"/>
      <c r="F34" s="333"/>
      <c r="G34" s="248"/>
    </row>
    <row r="35" spans="1:7" ht="78.75" customHeight="1" thickBot="1">
      <c r="A35" s="782"/>
      <c r="B35" s="731"/>
      <c r="C35" s="107" t="s">
        <v>10</v>
      </c>
      <c r="D35" s="265"/>
      <c r="E35" s="363"/>
      <c r="F35" s="315"/>
      <c r="G35" s="445"/>
    </row>
    <row r="36" spans="1:7" ht="50.25" customHeight="1">
      <c r="A36" s="731" t="s">
        <v>18</v>
      </c>
      <c r="B36" s="734">
        <f>B31+1</f>
        <v>45829</v>
      </c>
      <c r="C36" s="97" t="s">
        <v>5</v>
      </c>
      <c r="D36" s="368"/>
      <c r="E36" s="328"/>
      <c r="F36" s="252"/>
      <c r="G36" s="252"/>
    </row>
    <row r="37" spans="1:7" ht="50.25" customHeight="1">
      <c r="A37" s="731"/>
      <c r="B37" s="731"/>
      <c r="C37" s="98" t="s">
        <v>6</v>
      </c>
      <c r="D37" s="368"/>
      <c r="E37" s="250"/>
      <c r="F37" s="251"/>
      <c r="G37" s="252"/>
    </row>
    <row r="38" spans="1:7" ht="50.25" customHeight="1">
      <c r="A38" s="731"/>
      <c r="B38" s="731"/>
      <c r="C38" s="98" t="s">
        <v>7</v>
      </c>
      <c r="D38" s="327"/>
      <c r="E38" s="250"/>
      <c r="F38" s="251"/>
      <c r="G38" s="250"/>
    </row>
    <row r="39" spans="1:7" ht="50.25" customHeight="1">
      <c r="A39" s="731"/>
      <c r="B39" s="731"/>
      <c r="C39" s="98" t="s">
        <v>8</v>
      </c>
      <c r="D39" s="253"/>
      <c r="E39" s="253"/>
      <c r="F39" s="253"/>
      <c r="G39" s="253"/>
    </row>
    <row r="40" spans="1:7" ht="50.25" customHeight="1" thickBot="1">
      <c r="A40" s="777"/>
      <c r="B40" s="777"/>
      <c r="C40" s="99" t="s">
        <v>10</v>
      </c>
      <c r="D40" s="249"/>
      <c r="E40" s="249"/>
      <c r="F40" s="249"/>
      <c r="G40" s="249"/>
    </row>
    <row r="41" spans="1:7" ht="30.75">
      <c r="A41" s="91"/>
      <c r="B41" s="91"/>
      <c r="C41" s="91"/>
      <c r="D41" s="213" t="s">
        <v>120</v>
      </c>
      <c r="E41" s="91"/>
      <c r="F41" s="91"/>
      <c r="G41" s="91"/>
    </row>
    <row r="42" spans="1:7">
      <c r="A42" s="91"/>
      <c r="B42" s="69"/>
      <c r="C42" s="115" t="str">
        <f>'01.09'!C42</f>
        <v>*Л. Речевое общение в профессиональной деятельности*</v>
      </c>
      <c r="D42" s="116">
        <f>'09.06'!D42+COUNTIF(D$11:D$40,$C42)</f>
        <v>5</v>
      </c>
      <c r="E42" s="116">
        <f>'09.06'!E42+COUNTIF(E$11:E$40,$C42)</f>
        <v>5</v>
      </c>
      <c r="F42" s="116">
        <f>'09.06'!F42+COUNTIF(F$11:F$40,$C42)</f>
        <v>5</v>
      </c>
      <c r="G42" s="116">
        <f>'09.06'!G42+COUNTIF(G$11:G$40,$C42)</f>
        <v>5</v>
      </c>
    </row>
    <row r="43" spans="1:7">
      <c r="A43" s="91"/>
      <c r="B43" s="69"/>
      <c r="C43" s="115" t="str">
        <f>'01.09'!C43</f>
        <v>*Пр. Речевое общение в профессиональной деятельности*</v>
      </c>
      <c r="D43" s="116">
        <f>'09.06'!D43+COUNTIF(D$11:D$40,$C43)</f>
        <v>4</v>
      </c>
      <c r="E43" s="116">
        <f>'09.06'!E43+COUNTIF(E$11:E$40,$C43)</f>
        <v>4</v>
      </c>
      <c r="F43" s="116">
        <f>'09.06'!F43+COUNTIF(F$11:F$40,$C43)</f>
        <v>4</v>
      </c>
      <c r="G43" s="116">
        <f>'09.06'!G43+COUNTIF(G$11:G$40,$C43)</f>
        <v>4</v>
      </c>
    </row>
    <row r="44" spans="1:7">
      <c r="A44" s="91"/>
      <c r="B44" s="69"/>
      <c r="C44" s="115" t="str">
        <f>'01.09'!C44</f>
        <v>*Л. Физическая культура и спорт*</v>
      </c>
      <c r="D44" s="116">
        <f>'09.06'!D44+COUNTIF(D$11:D$40,$C44)</f>
        <v>5</v>
      </c>
      <c r="E44" s="116">
        <f>'09.06'!E44+COUNTIF(E$11:E$40,$C44)</f>
        <v>5</v>
      </c>
      <c r="F44" s="116">
        <f>'09.06'!F44+COUNTIF(F$11:F$40,$C44)</f>
        <v>5</v>
      </c>
      <c r="G44" s="116">
        <f>'09.06'!G44+COUNTIF(G$11:G$40,$C44)</f>
        <v>5</v>
      </c>
    </row>
    <row r="45" spans="1:7">
      <c r="A45" s="91"/>
      <c r="B45" s="69"/>
      <c r="C45" s="115" t="str">
        <f>'01.09'!C45</f>
        <v>*Пр. Физическая культура и спорт*</v>
      </c>
      <c r="D45" s="116">
        <f>'09.06'!D45+COUNTIF(D$11:D$40,$C45)</f>
        <v>5</v>
      </c>
      <c r="E45" s="116">
        <f>'09.06'!E45+COUNTIF(E$11:E$40,$C45)</f>
        <v>5</v>
      </c>
      <c r="F45" s="116">
        <f>'09.06'!F45+COUNTIF(F$11:F$40,$C45)</f>
        <v>5</v>
      </c>
      <c r="G45" s="116">
        <f>'09.06'!G45+COUNTIF(G$11:G$40,$C45)</f>
        <v>5</v>
      </c>
    </row>
    <row r="46" spans="1:7">
      <c r="A46" s="91"/>
      <c r="B46" s="69"/>
      <c r="C46" s="115" t="str">
        <f>'01.09'!C46</f>
        <v>*Л. Анатомия*</v>
      </c>
      <c r="D46" s="116">
        <f>'09.06'!D46+COUNTIF(D$11:D$40,$C46)</f>
        <v>4</v>
      </c>
      <c r="E46" s="116">
        <f>'09.06'!E46+COUNTIF(E$11:E$40,$C46)</f>
        <v>4</v>
      </c>
      <c r="F46" s="116">
        <f>'09.06'!F46+COUNTIF(F$11:F$40,$C46)</f>
        <v>4</v>
      </c>
      <c r="G46" s="116">
        <f>'09.06'!G46+COUNTIF(G$11:G$40,$C46)</f>
        <v>4</v>
      </c>
    </row>
    <row r="47" spans="1:7">
      <c r="A47" s="91"/>
      <c r="B47" s="69"/>
      <c r="C47" s="115" t="str">
        <f>'01.09'!C47</f>
        <v>*Пр. Анатомия*</v>
      </c>
      <c r="D47" s="116">
        <f>'09.06'!D47+COUNTIF(D$11:D$40,$C47)</f>
        <v>4</v>
      </c>
      <c r="E47" s="116">
        <f>'09.06'!E47+COUNTIF(E$11:E$40,$C47)</f>
        <v>4</v>
      </c>
      <c r="F47" s="116">
        <f>'09.06'!F47+COUNTIF(F$11:F$40,$C47)</f>
        <v>4</v>
      </c>
      <c r="G47" s="116">
        <f>'09.06'!G47+COUNTIF(G$11:G$40,$C47)</f>
        <v>4</v>
      </c>
    </row>
    <row r="48" spans="1:7">
      <c r="A48" s="91"/>
      <c r="B48" s="69"/>
      <c r="C48" s="115" t="str">
        <f>'01.09'!C48</f>
        <v>*Л. Теория и методика*</v>
      </c>
      <c r="D48" s="116">
        <f>'09.06'!D48+COUNTIF(D$11:D$40,$C48)</f>
        <v>5</v>
      </c>
      <c r="E48" s="116">
        <f>'09.06'!E48+COUNTIF(E$11:E$40,$C48)</f>
        <v>5</v>
      </c>
      <c r="F48" s="116">
        <f>'09.06'!F48+COUNTIF(F$11:F$40,$C48)</f>
        <v>5</v>
      </c>
      <c r="G48" s="116">
        <f>'09.06'!G48+COUNTIF(G$11:G$40,$C48)</f>
        <v>5</v>
      </c>
    </row>
    <row r="49" spans="1:7">
      <c r="A49" s="91"/>
      <c r="B49" s="69"/>
      <c r="C49" s="115" t="str">
        <f>'01.09'!C49</f>
        <v>*Пр. Теория и методика*</v>
      </c>
      <c r="D49" s="116">
        <f>'09.06'!D49+COUNTIF(D$11:D$40,$C49)</f>
        <v>24</v>
      </c>
      <c r="E49" s="116">
        <f>'09.06'!E49+COUNTIF(E$11:E$40,$C49)</f>
        <v>25</v>
      </c>
      <c r="F49" s="116">
        <f>'09.06'!F49+COUNTIF(F$11:F$40,$C49)</f>
        <v>25</v>
      </c>
      <c r="G49" s="116">
        <f>'09.06'!G49+COUNTIF(G$11:G$40,$C49)</f>
        <v>25</v>
      </c>
    </row>
    <row r="50" spans="1:7">
      <c r="A50" s="91"/>
      <c r="B50" s="69"/>
      <c r="C50" s="115" t="str">
        <f>'01.09'!C50</f>
        <v>*Л. Информационные технологии*</v>
      </c>
      <c r="D50" s="116">
        <f>'09.06'!D50+COUNTIF(D$11:D$40,$C50)</f>
        <v>2</v>
      </c>
      <c r="E50" s="116">
        <f>'09.06'!E50+COUNTIF(E$11:E$40,$C50)</f>
        <v>2</v>
      </c>
      <c r="F50" s="116">
        <f>'09.06'!F50+COUNTIF(F$11:F$40,$C50)</f>
        <v>2</v>
      </c>
      <c r="G50" s="116">
        <f>'09.06'!G50+COUNTIF(G$11:G$40,$C50)</f>
        <v>2</v>
      </c>
    </row>
    <row r="51" spans="1:7">
      <c r="A51" s="91"/>
      <c r="B51" s="69"/>
      <c r="C51" s="115" t="str">
        <f>'01.09'!C51</f>
        <v>*Пр. Информационные технологии*</v>
      </c>
      <c r="D51" s="116">
        <f>'09.06'!D51+COUNTIF(D$11:D$40,$C51)</f>
        <v>8</v>
      </c>
      <c r="E51" s="116">
        <f>'09.06'!E51+COUNTIF(E$11:E$40,$C51)</f>
        <v>8</v>
      </c>
      <c r="F51" s="116">
        <f>'09.06'!F51+COUNTIF(F$11:F$40,$C51)</f>
        <v>8</v>
      </c>
      <c r="G51" s="116">
        <f>'09.06'!G51+COUNTIF(G$11:G$40,$C51)</f>
        <v>8</v>
      </c>
    </row>
    <row r="52" spans="1:7">
      <c r="A52" s="91"/>
      <c r="C52" s="115" t="str">
        <f>'01.09'!C53</f>
        <v>*Пр. Гимнастика*</v>
      </c>
      <c r="D52" s="116">
        <f>'09.06'!D52+COUNTIF(D$11:D$40,$C52)</f>
        <v>3</v>
      </c>
      <c r="E52" s="116">
        <f>'09.06'!E52+COUNTIF(E$11:E$40,$C52)</f>
        <v>3</v>
      </c>
      <c r="F52" s="116">
        <f>'09.06'!F52+COUNTIF(F$11:F$40,$C52)</f>
        <v>3</v>
      </c>
      <c r="G52" s="116">
        <f>'09.06'!G52+COUNTIF(G$11:G$40,$C52)</f>
        <v>3</v>
      </c>
    </row>
    <row r="53" spans="1:7">
      <c r="A53" s="91"/>
      <c r="B53" s="69"/>
      <c r="C53" s="115" t="str">
        <f>'01.09'!C54</f>
        <v>*Л. Элективные дисциплины по ФКиС: Подвижные игры*</v>
      </c>
      <c r="D53" s="116">
        <f>'09.06'!D53+COUNTIF(D$11:D$40,$C53)</f>
        <v>13</v>
      </c>
      <c r="E53" s="116">
        <f>'09.06'!E53+COUNTIF(E$11:E$40,$C53)</f>
        <v>12</v>
      </c>
      <c r="F53" s="116">
        <f>'09.06'!F53+COUNTIF(F$11:F$40,$C53)</f>
        <v>12</v>
      </c>
      <c r="G53" s="116">
        <f>'09.06'!G53+COUNTIF(G$11:G$40,$C53)</f>
        <v>12</v>
      </c>
    </row>
    <row r="54" spans="1:7">
      <c r="A54" s="91"/>
      <c r="B54" s="69"/>
      <c r="C54" s="115" t="str">
        <f>'01.09'!C55</f>
        <v>*Пр. Элективные дисциплины по ФКиС: Подвижные игры*</v>
      </c>
      <c r="D54" s="116">
        <f>'09.06'!D54+COUNTIF(D$11:D$40,$C54)</f>
        <v>1</v>
      </c>
      <c r="E54" s="116">
        <f>'09.06'!E54+COUNTIF(E$11:E$40,$C54)</f>
        <v>1</v>
      </c>
      <c r="F54" s="116">
        <f>'09.06'!F54+COUNTIF(F$11:F$40,$C54)</f>
        <v>1</v>
      </c>
      <c r="G54" s="116">
        <f>'09.06'!G54+COUNTIF(G$11:G$40,$C54)</f>
        <v>1</v>
      </c>
    </row>
    <row r="55" spans="1:7">
      <c r="A55" s="91"/>
      <c r="B55" s="69"/>
      <c r="C55" s="115" t="str">
        <f>'01.09'!C56</f>
        <v>*Л. Волейбол*</v>
      </c>
      <c r="D55" s="116">
        <f>'09.06'!D55+COUNTIF(D$11:D$40,$C55)</f>
        <v>8</v>
      </c>
      <c r="E55" s="116">
        <f>'09.06'!E55+COUNTIF(E$11:E$40,$C55)</f>
        <v>8</v>
      </c>
      <c r="F55" s="116">
        <f>'09.06'!F55+COUNTIF(F$11:F$40,$C55)</f>
        <v>9</v>
      </c>
      <c r="G55" s="116">
        <f>'09.06'!G55+COUNTIF(G$11:G$40,$C55)</f>
        <v>9</v>
      </c>
    </row>
    <row r="56" spans="1:7">
      <c r="A56" s="91"/>
      <c r="C56" s="115" t="str">
        <f>'01.09'!C57</f>
        <v>*Пр. Волейбол*</v>
      </c>
      <c r="D56" s="116">
        <f>'09.06'!D56+COUNTIF(D$11:D$40,$C56)</f>
        <v>1</v>
      </c>
      <c r="E56" s="116">
        <f>'09.06'!E56+COUNTIF(E$11:E$40,$C56)</f>
        <v>1</v>
      </c>
      <c r="F56" s="116">
        <f>'09.06'!F56+COUNTIF(F$11:F$40,$C56)</f>
        <v>1</v>
      </c>
      <c r="G56" s="116">
        <f>'09.06'!G56+COUNTIF(G$11:G$40,$C56)</f>
        <v>1</v>
      </c>
    </row>
    <row r="57" spans="1:7">
      <c r="A57" s="91"/>
      <c r="C57" s="115" t="str">
        <f>'01.09'!C58</f>
        <v>*Л. Лыжные гонки*</v>
      </c>
      <c r="D57" s="116">
        <f>'09.06'!D57+COUNTIF(D$11:D$40,$C57)</f>
        <v>16</v>
      </c>
      <c r="E57" s="116">
        <f>'09.06'!E57+COUNTIF(E$11:E$40,$C57)</f>
        <v>16</v>
      </c>
      <c r="F57" s="116">
        <f>'09.06'!F57+COUNTIF(F$11:F$40,$C57)</f>
        <v>16</v>
      </c>
      <c r="G57" s="116">
        <f>'09.06'!G57+COUNTIF(G$11:G$40,$C57)</f>
        <v>16</v>
      </c>
    </row>
    <row r="58" spans="1:7">
      <c r="A58" s="91"/>
      <c r="C58" s="115" t="str">
        <f>'01.09'!C59</f>
        <v>*Пр. Лыжные гонки*</v>
      </c>
      <c r="D58" s="116">
        <f>'09.06'!D58+COUNTIF(D$11:D$40,$C58)</f>
        <v>0</v>
      </c>
      <c r="E58" s="116">
        <f>'09.06'!E58+COUNTIF(E$11:E$40,$C58)</f>
        <v>0</v>
      </c>
      <c r="F58" s="116">
        <f>'09.06'!F58+COUNTIF(F$11:F$40,$C58)</f>
        <v>0</v>
      </c>
      <c r="G58" s="116">
        <f>'09.06'!G58+COUNTIF(G$11:G$40,$C58)</f>
        <v>0</v>
      </c>
    </row>
    <row r="59" spans="1:7">
      <c r="A59" s="91"/>
      <c r="B59" s="217"/>
      <c r="C59" s="115" t="str">
        <f>'01.09'!C60</f>
        <v>*Л. Использование электронной*</v>
      </c>
      <c r="D59" s="116">
        <f>'09.06'!D59+COUNTIF(D$11:D$40,$C59)</f>
        <v>0</v>
      </c>
      <c r="E59" s="116">
        <f>'09.06'!E59+COUNTIF(E$11:E$40,$C59)</f>
        <v>0</v>
      </c>
      <c r="F59" s="116">
        <f>'09.06'!F59+COUNTIF(F$11:F$40,$C59)</f>
        <v>0</v>
      </c>
      <c r="G59" s="116">
        <f>'09.06'!G59+COUNTIF(G$11:G$40,$C59)</f>
        <v>0</v>
      </c>
    </row>
    <row r="60" spans="1:7">
      <c r="A60" s="91"/>
      <c r="C60" s="115" t="str">
        <f>'01.09'!C61</f>
        <v>*Пр. Использование электронной*</v>
      </c>
      <c r="D60" s="116">
        <f>'09.06'!D60+COUNTIF(D$11:D$40,$C60)</f>
        <v>1</v>
      </c>
      <c r="E60" s="116">
        <f>'09.06'!E60+COUNTIF(E$11:E$40,$C60)</f>
        <v>0</v>
      </c>
      <c r="F60" s="116">
        <f>'09.06'!F60+COUNTIF(F$11:F$40,$C60)</f>
        <v>0</v>
      </c>
      <c r="G60" s="116">
        <f>'09.06'!G60+COUNTIF(G$11:G$40,$C60)</f>
        <v>0</v>
      </c>
    </row>
    <row r="61" spans="1:7">
      <c r="A61" s="91"/>
      <c r="B61" s="91"/>
      <c r="C61" s="115" t="str">
        <f>'01.09'!C62</f>
        <v>*Пр. Иностранный*</v>
      </c>
      <c r="D61" s="116">
        <f>'09.06'!D61+COUNTIF(D$11:D$40,$C61)</f>
        <v>2</v>
      </c>
      <c r="E61" s="116">
        <f>'09.06'!E61+COUNTIF(E$11:E$40,$C61)</f>
        <v>2</v>
      </c>
      <c r="F61" s="116">
        <f>'09.06'!F61+COUNTIF(F$11:F$40,$C61)</f>
        <v>2</v>
      </c>
      <c r="G61" s="116">
        <f>'09.06'!G61+COUNTIF(G$11:G$40,$C61)</f>
        <v>2</v>
      </c>
    </row>
    <row r="62" spans="1:7">
      <c r="A62" s="91"/>
      <c r="C62" s="115" t="e">
        <f>'01.09'!#REF!</f>
        <v>#REF!</v>
      </c>
      <c r="D62" s="116">
        <f>'09.06'!D62+COUNTIF(D$11:D$40,$C62)</f>
        <v>8</v>
      </c>
      <c r="E62" s="116">
        <f>'09.06'!E62+COUNTIF(E$11:E$40,$C62)</f>
        <v>8</v>
      </c>
      <c r="F62" s="116">
        <f>'09.06'!F62+COUNTIF(F$11:F$40,$C62)</f>
        <v>8</v>
      </c>
      <c r="G62" s="116">
        <f>'09.06'!G62+COUNTIF(G$11:G$40,$C62)</f>
        <v>8</v>
      </c>
    </row>
    <row r="63" spans="1:7">
      <c r="A63" s="91"/>
      <c r="B63" s="91"/>
      <c r="C63" s="115">
        <f>'01.09'!C63</f>
        <v>0</v>
      </c>
      <c r="D63" s="116">
        <f>'09.06'!D63+COUNTIF(D$11:D$40,$C63)</f>
        <v>0</v>
      </c>
      <c r="E63" s="116">
        <f>'09.06'!E63+COUNTIF(E$11:E$40,$C63)</f>
        <v>0</v>
      </c>
      <c r="F63" s="116">
        <f>'09.06'!F63+COUNTIF(F$11:F$40,$C63)</f>
        <v>0</v>
      </c>
      <c r="G63" s="116">
        <f>'09.06'!G63+COUNTIF(G$11:G$40,$C63)</f>
        <v>0</v>
      </c>
    </row>
    <row r="64" spans="1:7">
      <c r="A64" s="91"/>
      <c r="B64" s="91"/>
      <c r="C64" s="115">
        <f>'01.09'!C64</f>
        <v>0</v>
      </c>
      <c r="D64" s="116">
        <f>'09.06'!D64+COUNTIF(D$11:D$40,$C64)</f>
        <v>0</v>
      </c>
      <c r="E64" s="116">
        <f>'09.06'!E64+COUNTIF(E$11:E$40,$C64)</f>
        <v>0</v>
      </c>
      <c r="F64" s="116">
        <f>'09.06'!F64+COUNTIF(F$11:F$40,$C64)</f>
        <v>0</v>
      </c>
      <c r="G64" s="116">
        <f>'09.06'!G64+COUNTIF(G$11:G$40,$C64)</f>
        <v>0</v>
      </c>
    </row>
    <row r="65" spans="1:7">
      <c r="A65" s="91"/>
      <c r="B65" s="91"/>
      <c r="C65" s="115">
        <f>'01.09'!C65</f>
        <v>0</v>
      </c>
      <c r="D65" s="116">
        <f>'09.06'!D65+COUNTIF(D$11:D$40,$C65)</f>
        <v>0</v>
      </c>
      <c r="E65" s="116">
        <f>'09.06'!E65+COUNTIF(E$11:E$40,$C65)</f>
        <v>0</v>
      </c>
      <c r="F65" s="116">
        <f>'09.06'!F65+COUNTIF(F$11:F$40,$C65)</f>
        <v>0</v>
      </c>
      <c r="G65" s="116">
        <f>'09.06'!G65+COUNTIF(G$11:G$40,$C65)</f>
        <v>0</v>
      </c>
    </row>
    <row r="66" spans="1:7">
      <c r="A66" s="91"/>
      <c r="B66" s="91"/>
      <c r="C66" s="115">
        <f>'01.09'!C66</f>
        <v>0</v>
      </c>
      <c r="D66" s="116">
        <f>'09.06'!D66+COUNTIF(D$11:D$40,$C66)</f>
        <v>0</v>
      </c>
      <c r="E66" s="116">
        <f>'09.06'!E66+COUNTIF(E$11:E$40,$C66)</f>
        <v>0</v>
      </c>
      <c r="F66" s="116">
        <f>'09.06'!F66+COUNTIF(F$11:F$40,$C66)</f>
        <v>0</v>
      </c>
      <c r="G66" s="116">
        <f>'09.06'!G66+COUNTIF(G$11:G$40,$C66)</f>
        <v>0</v>
      </c>
    </row>
    <row r="67" spans="1:7">
      <c r="A67" s="91"/>
      <c r="B67" s="91"/>
      <c r="C67" s="115">
        <f>'01.09'!C67</f>
        <v>0</v>
      </c>
      <c r="D67" s="116">
        <f>'09.06'!D67+COUNTIF(D$11:D$40,$C67)</f>
        <v>0</v>
      </c>
      <c r="E67" s="116">
        <f>'09.06'!E67+COUNTIF(E$11:E$40,$C67)</f>
        <v>0</v>
      </c>
      <c r="F67" s="116">
        <f>'09.06'!F67+COUNTIF(F$11:F$40,$C67)</f>
        <v>0</v>
      </c>
      <c r="G67" s="116">
        <f>'09.06'!G67+COUNTIF(G$11:G$40,$C67)</f>
        <v>0</v>
      </c>
    </row>
    <row r="68" spans="1:7">
      <c r="A68" s="69"/>
      <c r="B68" s="69"/>
      <c r="C68" s="69"/>
      <c r="D68" s="69"/>
      <c r="E68" s="69"/>
      <c r="F68" s="69"/>
      <c r="G68" s="69"/>
    </row>
    <row r="69" spans="1:7">
      <c r="A69" s="69"/>
      <c r="B69" s="69"/>
      <c r="C69" s="69"/>
      <c r="D69" s="69"/>
      <c r="E69" s="69"/>
      <c r="F69" s="69"/>
      <c r="G69" s="69"/>
    </row>
    <row r="70" spans="1:7">
      <c r="A70" s="69"/>
      <c r="B70" s="69"/>
      <c r="C70" s="69"/>
      <c r="D70" s="69"/>
      <c r="E70" s="69"/>
      <c r="F70" s="69"/>
      <c r="G70" s="69"/>
    </row>
    <row r="71" spans="1:7">
      <c r="A71" s="69"/>
      <c r="B71" s="69"/>
      <c r="C71" s="69"/>
      <c r="D71" s="69"/>
      <c r="E71" s="69"/>
      <c r="F71" s="69"/>
      <c r="G71" s="69"/>
    </row>
    <row r="72" spans="1:7">
      <c r="A72" s="69"/>
      <c r="B72" s="69"/>
      <c r="C72" s="69"/>
      <c r="D72" s="69"/>
      <c r="E72" s="69"/>
      <c r="F72" s="69"/>
      <c r="G72" s="69"/>
    </row>
    <row r="73" spans="1:7">
      <c r="A73" s="69"/>
      <c r="B73" s="69"/>
      <c r="C73" s="69"/>
      <c r="D73" s="69"/>
      <c r="E73" s="69"/>
      <c r="F73" s="69"/>
      <c r="G73" s="69"/>
    </row>
    <row r="74" spans="1:7">
      <c r="A74" s="69"/>
      <c r="B74" s="69"/>
      <c r="C74" s="69"/>
      <c r="D74" s="69"/>
      <c r="E74" s="69"/>
      <c r="F74" s="69"/>
      <c r="G74" s="69"/>
    </row>
    <row r="75" spans="1:7">
      <c r="A75" s="69"/>
      <c r="B75" s="69"/>
      <c r="C75" s="69"/>
      <c r="D75" s="69"/>
      <c r="E75" s="69"/>
      <c r="F75" s="69"/>
      <c r="G75" s="69"/>
    </row>
    <row r="76" spans="1:7">
      <c r="A76" s="69"/>
      <c r="B76" s="69"/>
      <c r="C76" s="69"/>
      <c r="D76" s="69"/>
      <c r="E76" s="69"/>
      <c r="F76" s="69"/>
      <c r="G76" s="69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4:G4"/>
    <mergeCell ref="B6:G6"/>
    <mergeCell ref="B7:G7"/>
    <mergeCell ref="B2:G2"/>
    <mergeCell ref="A3:G3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topLeftCell="A28" zoomScale="50" zoomScaleNormal="50" zoomScaleSheetLayoutView="50" zoomScalePageLayoutView="40" workbookViewId="0">
      <selection activeCell="E11" sqref="E11:E12"/>
    </sheetView>
  </sheetViews>
  <sheetFormatPr defaultRowHeight="26.25"/>
  <cols>
    <col min="1" max="1" width="4.42578125" style="84" customWidth="1"/>
    <col min="2" max="2" width="6.140625" style="84" customWidth="1"/>
    <col min="3" max="3" width="43" style="84" customWidth="1"/>
    <col min="4" max="9" width="44" style="84" customWidth="1"/>
    <col min="10" max="16384" width="9.140625" style="84"/>
  </cols>
  <sheetData>
    <row r="1" spans="1:9" ht="30">
      <c r="C1" s="85"/>
      <c r="D1" s="85"/>
      <c r="E1" s="85"/>
      <c r="F1" s="51" t="s">
        <v>89</v>
      </c>
      <c r="G1" s="85"/>
      <c r="H1" s="85"/>
    </row>
    <row r="2" spans="1:9" ht="30.75">
      <c r="A2" s="86"/>
      <c r="B2" s="86"/>
      <c r="C2" s="85"/>
      <c r="D2" s="85"/>
      <c r="E2" s="85"/>
      <c r="F2" s="51" t="s">
        <v>97</v>
      </c>
      <c r="G2" s="85"/>
      <c r="H2" s="85"/>
    </row>
    <row r="3" spans="1:9" ht="30.75">
      <c r="A3" s="86"/>
      <c r="B3" s="86"/>
      <c r="C3" s="85"/>
      <c r="D3" s="85"/>
      <c r="E3" s="85"/>
      <c r="F3" s="51" t="s">
        <v>98</v>
      </c>
      <c r="G3" s="85"/>
      <c r="H3" s="85"/>
    </row>
    <row r="4" spans="1:9" ht="30">
      <c r="A4" s="86"/>
      <c r="B4" s="86"/>
      <c r="C4" s="85"/>
      <c r="D4" s="85"/>
      <c r="E4" s="85"/>
      <c r="F4" s="51" t="s">
        <v>90</v>
      </c>
      <c r="G4" s="85"/>
      <c r="H4" s="85"/>
    </row>
    <row r="5" spans="1:9" ht="30">
      <c r="A5" s="87"/>
      <c r="B5" s="87"/>
      <c r="C5" s="88"/>
      <c r="D5" s="88"/>
      <c r="E5" s="88"/>
      <c r="F5" s="103" t="s">
        <v>99</v>
      </c>
      <c r="G5" s="88"/>
      <c r="H5" s="88"/>
    </row>
    <row r="6" spans="1:9" ht="18.75" customHeight="1" thickBot="1">
      <c r="A6" s="89"/>
      <c r="B6" s="89"/>
      <c r="C6" s="89"/>
      <c r="D6" s="89"/>
      <c r="E6" s="89"/>
      <c r="F6" s="89"/>
      <c r="G6" s="89"/>
      <c r="H6" s="89"/>
    </row>
    <row r="7" spans="1:9" ht="51.75" customHeight="1" thickBot="1">
      <c r="A7" s="789" t="s">
        <v>76</v>
      </c>
      <c r="B7" s="789" t="s">
        <v>9</v>
      </c>
      <c r="C7" s="791" t="s">
        <v>77</v>
      </c>
      <c r="D7" s="93" t="s">
        <v>11</v>
      </c>
      <c r="E7" s="94" t="s">
        <v>12</v>
      </c>
      <c r="F7" s="95" t="s">
        <v>13</v>
      </c>
      <c r="G7" s="93" t="s">
        <v>14</v>
      </c>
      <c r="H7" s="95" t="s">
        <v>15</v>
      </c>
      <c r="I7" s="94" t="s">
        <v>16</v>
      </c>
    </row>
    <row r="8" spans="1:9" ht="135.75" customHeight="1" thickBot="1">
      <c r="A8" s="790"/>
      <c r="B8" s="790"/>
      <c r="C8" s="792"/>
      <c r="D8" s="96" t="s">
        <v>95</v>
      </c>
      <c r="E8" s="96" t="s">
        <v>82</v>
      </c>
      <c r="F8" s="96" t="s">
        <v>96</v>
      </c>
      <c r="G8" s="96" t="s">
        <v>83</v>
      </c>
      <c r="H8" s="96" t="s">
        <v>94</v>
      </c>
      <c r="I8" s="96" t="s">
        <v>17</v>
      </c>
    </row>
    <row r="9" spans="1:9" ht="80.25" customHeight="1">
      <c r="A9" s="778" t="s">
        <v>0</v>
      </c>
      <c r="B9" s="737">
        <v>43836</v>
      </c>
      <c r="C9" s="144" t="s">
        <v>5</v>
      </c>
      <c r="D9" s="145"/>
      <c r="E9" s="146"/>
      <c r="F9" s="145"/>
      <c r="G9" s="146"/>
      <c r="H9" s="145"/>
      <c r="I9" s="146"/>
    </row>
    <row r="10" spans="1:9" ht="80.25" customHeight="1">
      <c r="A10" s="781"/>
      <c r="B10" s="731"/>
      <c r="C10" s="147" t="s">
        <v>6</v>
      </c>
      <c r="D10" s="148"/>
      <c r="E10" s="149"/>
      <c r="F10" s="150"/>
      <c r="G10" s="151"/>
      <c r="H10" s="148"/>
      <c r="I10" s="149"/>
    </row>
    <row r="11" spans="1:9" ht="80.25" customHeight="1">
      <c r="A11" s="781"/>
      <c r="B11" s="731"/>
      <c r="C11" s="147" t="s">
        <v>7</v>
      </c>
      <c r="D11" s="152"/>
      <c r="E11" s="153"/>
      <c r="F11" s="154"/>
      <c r="G11" s="151"/>
      <c r="H11" s="150"/>
      <c r="I11" s="153"/>
    </row>
    <row r="12" spans="1:9" ht="80.25" customHeight="1">
      <c r="A12" s="781"/>
      <c r="B12" s="731"/>
      <c r="C12" s="147" t="s">
        <v>8</v>
      </c>
      <c r="D12" s="149"/>
      <c r="E12" s="149"/>
      <c r="F12" s="149"/>
      <c r="G12" s="149"/>
      <c r="H12" s="148"/>
      <c r="I12" s="149"/>
    </row>
    <row r="13" spans="1:9" ht="80.25" customHeight="1" thickBot="1">
      <c r="A13" s="781"/>
      <c r="B13" s="731"/>
      <c r="C13" s="155" t="s">
        <v>10</v>
      </c>
      <c r="D13" s="156"/>
      <c r="E13" s="149"/>
      <c r="F13" s="154"/>
      <c r="G13" s="157"/>
      <c r="H13" s="157"/>
      <c r="I13" s="158"/>
    </row>
    <row r="14" spans="1:9" ht="80.25" customHeight="1">
      <c r="A14" s="778" t="s">
        <v>1</v>
      </c>
      <c r="B14" s="734">
        <f>B9+1</f>
        <v>43837</v>
      </c>
      <c r="C14" s="144" t="s">
        <v>5</v>
      </c>
      <c r="D14" s="159"/>
      <c r="E14" s="146"/>
      <c r="F14" s="159"/>
      <c r="G14" s="146"/>
      <c r="H14" s="146"/>
      <c r="I14" s="159"/>
    </row>
    <row r="15" spans="1:9" ht="80.25" customHeight="1">
      <c r="A15" s="781"/>
      <c r="B15" s="731"/>
      <c r="C15" s="147" t="s">
        <v>6</v>
      </c>
      <c r="D15" s="149"/>
      <c r="E15" s="149"/>
      <c r="F15" s="149"/>
      <c r="G15" s="149"/>
      <c r="H15" s="160"/>
      <c r="I15" s="161"/>
    </row>
    <row r="16" spans="1:9" ht="80.25" customHeight="1">
      <c r="A16" s="781"/>
      <c r="B16" s="731"/>
      <c r="C16" s="147" t="s">
        <v>7</v>
      </c>
      <c r="D16" s="149"/>
      <c r="E16" s="149"/>
      <c r="F16" s="153"/>
      <c r="G16" s="149"/>
      <c r="H16" s="149"/>
      <c r="I16" s="161"/>
    </row>
    <row r="17" spans="1:9" ht="80.25" customHeight="1">
      <c r="A17" s="781"/>
      <c r="B17" s="731"/>
      <c r="C17" s="147" t="s">
        <v>8</v>
      </c>
      <c r="D17" s="149"/>
      <c r="E17" s="149"/>
      <c r="F17" s="149"/>
      <c r="G17" s="149"/>
      <c r="H17" s="149"/>
      <c r="I17" s="161"/>
    </row>
    <row r="18" spans="1:9" ht="80.25" customHeight="1" thickBot="1">
      <c r="A18" s="782"/>
      <c r="B18" s="731"/>
      <c r="C18" s="155" t="s">
        <v>10</v>
      </c>
      <c r="D18" s="162"/>
      <c r="E18" s="157"/>
      <c r="F18" s="157"/>
      <c r="G18" s="157"/>
      <c r="H18" s="162"/>
      <c r="I18" s="163"/>
    </row>
    <row r="19" spans="1:9" ht="80.25" customHeight="1">
      <c r="A19" s="778" t="s">
        <v>2</v>
      </c>
      <c r="B19" s="734">
        <f>B14+1</f>
        <v>43838</v>
      </c>
      <c r="C19" s="144" t="s">
        <v>5</v>
      </c>
      <c r="D19" s="164"/>
      <c r="E19" s="146"/>
      <c r="F19" s="150"/>
      <c r="G19" s="159"/>
      <c r="H19" s="160"/>
      <c r="I19" s="164"/>
    </row>
    <row r="20" spans="1:9" ht="80.25" customHeight="1">
      <c r="A20" s="781"/>
      <c r="B20" s="731"/>
      <c r="C20" s="147" t="s">
        <v>6</v>
      </c>
      <c r="D20" s="165"/>
      <c r="E20" s="149"/>
      <c r="F20" s="148"/>
      <c r="G20" s="149"/>
      <c r="H20" s="161"/>
      <c r="I20" s="165"/>
    </row>
    <row r="21" spans="1:9" ht="80.25" customHeight="1">
      <c r="A21" s="781"/>
      <c r="B21" s="731"/>
      <c r="C21" s="147" t="s">
        <v>7</v>
      </c>
      <c r="D21" s="149"/>
      <c r="E21" s="149"/>
      <c r="F21" s="149"/>
      <c r="G21" s="151"/>
      <c r="H21" s="149"/>
      <c r="I21" s="149"/>
    </row>
    <row r="22" spans="1:9" ht="80.25" customHeight="1">
      <c r="A22" s="781"/>
      <c r="B22" s="731"/>
      <c r="C22" s="147" t="s">
        <v>8</v>
      </c>
      <c r="D22" s="166"/>
      <c r="E22" s="167"/>
      <c r="F22" s="166"/>
      <c r="G22" s="166"/>
      <c r="H22" s="166"/>
      <c r="I22" s="168"/>
    </row>
    <row r="23" spans="1:9" ht="80.25" customHeight="1" thickBot="1">
      <c r="A23" s="782"/>
      <c r="B23" s="731"/>
      <c r="C23" s="155" t="s">
        <v>10</v>
      </c>
      <c r="D23" s="169"/>
      <c r="E23" s="170"/>
      <c r="F23" s="171"/>
      <c r="G23" s="169"/>
      <c r="H23" s="169"/>
      <c r="I23" s="172"/>
    </row>
    <row r="24" spans="1:9" ht="80.25" customHeight="1">
      <c r="A24" s="778" t="s">
        <v>3</v>
      </c>
      <c r="B24" s="734">
        <f>B19+1</f>
        <v>43839</v>
      </c>
      <c r="C24" s="43" t="s">
        <v>5</v>
      </c>
      <c r="D24" s="132"/>
      <c r="E24" s="133"/>
      <c r="F24" s="133"/>
      <c r="G24" s="134"/>
      <c r="H24" s="134"/>
      <c r="I24" s="135"/>
    </row>
    <row r="25" spans="1:9" ht="80.25" customHeight="1">
      <c r="A25" s="779"/>
      <c r="B25" s="731"/>
      <c r="C25" s="44" t="s">
        <v>6</v>
      </c>
      <c r="D25" s="128"/>
      <c r="E25" s="128"/>
      <c r="F25" s="128"/>
      <c r="G25" s="129"/>
      <c r="H25" s="136"/>
      <c r="I25" s="128"/>
    </row>
    <row r="26" spans="1:9" ht="80.25" customHeight="1">
      <c r="A26" s="779"/>
      <c r="B26" s="731"/>
      <c r="C26" s="44" t="s">
        <v>7</v>
      </c>
      <c r="D26" s="129"/>
      <c r="E26" s="136"/>
      <c r="F26" s="128"/>
      <c r="G26" s="129"/>
      <c r="H26" s="136"/>
      <c r="I26" s="128"/>
    </row>
    <row r="27" spans="1:9" ht="80.25" customHeight="1">
      <c r="A27" s="779"/>
      <c r="B27" s="731"/>
      <c r="C27" s="44" t="s">
        <v>8</v>
      </c>
      <c r="D27" s="128"/>
      <c r="E27" s="137"/>
      <c r="F27" s="129"/>
      <c r="G27" s="138"/>
      <c r="H27" s="136"/>
      <c r="I27" s="128"/>
    </row>
    <row r="28" spans="1:9" ht="80.25" customHeight="1" thickBot="1">
      <c r="A28" s="780"/>
      <c r="B28" s="731"/>
      <c r="C28" s="45" t="s">
        <v>10</v>
      </c>
      <c r="D28" s="74"/>
      <c r="E28" s="139"/>
      <c r="F28" s="131"/>
      <c r="G28" s="140"/>
      <c r="H28" s="131"/>
      <c r="I28" s="141"/>
    </row>
    <row r="29" spans="1:9" ht="80.25" customHeight="1">
      <c r="A29" s="778" t="s">
        <v>4</v>
      </c>
      <c r="B29" s="734">
        <f>B24+1</f>
        <v>43840</v>
      </c>
      <c r="C29" s="43" t="s">
        <v>5</v>
      </c>
      <c r="D29" s="142"/>
      <c r="E29" s="120"/>
      <c r="F29" s="143"/>
      <c r="G29" s="120"/>
      <c r="H29" s="120"/>
      <c r="I29" s="120"/>
    </row>
    <row r="30" spans="1:9" ht="80.25" customHeight="1">
      <c r="A30" s="781"/>
      <c r="B30" s="731"/>
      <c r="C30" s="44" t="s">
        <v>6</v>
      </c>
      <c r="D30" s="35"/>
      <c r="E30" s="38"/>
      <c r="F30" s="36"/>
      <c r="G30" s="36"/>
      <c r="H30" s="38"/>
      <c r="I30" s="37"/>
    </row>
    <row r="31" spans="1:9" ht="80.25" customHeight="1">
      <c r="A31" s="781"/>
      <c r="B31" s="731"/>
      <c r="C31" s="44" t="s">
        <v>7</v>
      </c>
      <c r="D31" s="35"/>
      <c r="E31" s="36"/>
      <c r="F31" s="36"/>
      <c r="G31" s="36"/>
      <c r="H31" s="53"/>
      <c r="I31" s="36"/>
    </row>
    <row r="32" spans="1:9" ht="80.25" customHeight="1">
      <c r="A32" s="781"/>
      <c r="B32" s="731"/>
      <c r="C32" s="44" t="s">
        <v>8</v>
      </c>
      <c r="D32" s="129"/>
      <c r="E32" s="136"/>
      <c r="F32" s="128"/>
      <c r="G32" s="129"/>
      <c r="H32" s="36"/>
      <c r="I32" s="130"/>
    </row>
    <row r="33" spans="1:9" ht="80.25" customHeight="1" thickBot="1">
      <c r="A33" s="782"/>
      <c r="B33" s="731"/>
      <c r="C33" s="45" t="s">
        <v>10</v>
      </c>
      <c r="D33" s="73"/>
      <c r="E33" s="74"/>
      <c r="F33" s="74"/>
      <c r="G33" s="74"/>
      <c r="H33" s="73"/>
      <c r="I33" s="74"/>
    </row>
    <row r="34" spans="1:9" ht="80.25" customHeight="1">
      <c r="A34" s="731" t="s">
        <v>18</v>
      </c>
      <c r="B34" s="734">
        <f>B29+1</f>
        <v>43841</v>
      </c>
      <c r="C34" s="43" t="s">
        <v>5</v>
      </c>
      <c r="D34" s="82"/>
      <c r="E34" s="122"/>
      <c r="F34" s="36"/>
      <c r="G34" s="120"/>
      <c r="H34" s="120"/>
      <c r="I34" s="122"/>
    </row>
    <row r="35" spans="1:9" ht="80.25" customHeight="1">
      <c r="A35" s="731"/>
      <c r="B35" s="731"/>
      <c r="C35" s="44" t="s">
        <v>6</v>
      </c>
      <c r="D35" s="72"/>
      <c r="E35" s="36"/>
      <c r="F35" s="52"/>
      <c r="G35" s="38"/>
      <c r="H35" s="38"/>
      <c r="I35" s="36"/>
    </row>
    <row r="36" spans="1:9" ht="80.25" customHeight="1">
      <c r="A36" s="731"/>
      <c r="B36" s="731"/>
      <c r="C36" s="44" t="s">
        <v>7</v>
      </c>
      <c r="D36" s="52"/>
      <c r="E36" s="36"/>
      <c r="F36" s="52"/>
      <c r="G36" s="36"/>
      <c r="H36" s="36"/>
      <c r="I36" s="36"/>
    </row>
    <row r="37" spans="1:9" ht="80.25" customHeight="1">
      <c r="A37" s="731"/>
      <c r="B37" s="731"/>
      <c r="C37" s="44" t="s">
        <v>8</v>
      </c>
      <c r="D37" s="128"/>
      <c r="E37" s="128"/>
      <c r="F37" s="128"/>
      <c r="G37" s="128"/>
      <c r="H37" s="128"/>
      <c r="I37" s="130"/>
    </row>
    <row r="38" spans="1:9" ht="80.25" customHeight="1" thickBot="1">
      <c r="A38" s="777"/>
      <c r="B38" s="777"/>
      <c r="C38" s="45" t="s">
        <v>10</v>
      </c>
      <c r="D38" s="74"/>
      <c r="E38" s="74"/>
      <c r="F38" s="74"/>
      <c r="G38" s="74"/>
      <c r="H38" s="74"/>
      <c r="I38" s="75"/>
    </row>
    <row r="39" spans="1:9">
      <c r="A39" s="91"/>
      <c r="B39" s="91"/>
      <c r="C39" s="91"/>
      <c r="D39" s="91"/>
      <c r="E39" s="91"/>
      <c r="F39" s="91"/>
      <c r="G39" s="91"/>
      <c r="H39" s="91"/>
      <c r="I39" s="91"/>
    </row>
    <row r="40" spans="1:9">
      <c r="A40" s="91"/>
      <c r="B40" s="118">
        <v>2</v>
      </c>
      <c r="C40" s="115" t="str">
        <f>'01.09'!C42</f>
        <v>*Л. Речевое общение в профессиональной деятельности*</v>
      </c>
      <c r="D40" s="116">
        <f>'21.12'!D42+COUNTIF(D$9:D$38,$C40)</f>
        <v>5</v>
      </c>
      <c r="E40" s="116">
        <f>'21.12'!E42+COUNTIF(E$9:E$38,$C40)</f>
        <v>5</v>
      </c>
      <c r="F40" s="116">
        <f>'21.12'!F42+COUNTIF(F$9:F$38,$C40)</f>
        <v>5</v>
      </c>
      <c r="G40" s="116">
        <f>'21.12'!G42+COUNTIF(G$9:G$38,$C40)</f>
        <v>5</v>
      </c>
      <c r="H40" s="116" t="e">
        <f>'21.12'!#REF!+COUNTIF(H$9:H$38,$C40)</f>
        <v>#REF!</v>
      </c>
      <c r="I40" s="116" t="e">
        <f>'21.12'!#REF!+COUNTIF(I$9:I$38,$C40)</f>
        <v>#REF!</v>
      </c>
    </row>
    <row r="41" spans="1:9">
      <c r="A41" s="91"/>
      <c r="B41" s="118">
        <v>14</v>
      </c>
      <c r="C41" s="115" t="str">
        <f>'01.09'!C43</f>
        <v>*Пр. Речевое общение в профессиональной деятельности*</v>
      </c>
      <c r="D41" s="116">
        <f>'21.12'!D43+COUNTIF(D$9:D$38,$C41)</f>
        <v>4</v>
      </c>
      <c r="E41" s="116">
        <f>'21.12'!E43+COUNTIF(E$9:E$38,$C41)</f>
        <v>4</v>
      </c>
      <c r="F41" s="116">
        <f>'21.12'!F43+COUNTIF(F$9:F$38,$C41)</f>
        <v>4</v>
      </c>
      <c r="G41" s="116">
        <f>'21.12'!G43+COUNTIF(G$9:G$38,$C41)</f>
        <v>4</v>
      </c>
      <c r="H41" s="116" t="e">
        <f>'21.12'!#REF!+COUNTIF(H$9:H$38,$C41)</f>
        <v>#REF!</v>
      </c>
      <c r="I41" s="116" t="e">
        <f>'21.12'!#REF!+COUNTIF(I$9:I$38,$C41)</f>
        <v>#REF!</v>
      </c>
    </row>
    <row r="42" spans="1:9">
      <c r="A42" s="91"/>
      <c r="B42" s="118">
        <v>5</v>
      </c>
      <c r="C42" s="115" t="str">
        <f>'01.09'!C44</f>
        <v>*Л. Физическая культура и спорт*</v>
      </c>
      <c r="D42" s="116">
        <f>'21.12'!D44+COUNTIF(D$9:D$38,$C42)</f>
        <v>5</v>
      </c>
      <c r="E42" s="116">
        <f>'21.12'!E44+COUNTIF(E$9:E$38,$C42)</f>
        <v>5</v>
      </c>
      <c r="F42" s="116">
        <f>'21.12'!F44+COUNTIF(F$9:F$38,$C42)</f>
        <v>5</v>
      </c>
      <c r="G42" s="116">
        <f>'21.12'!G44+COUNTIF(G$9:G$38,$C42)</f>
        <v>5</v>
      </c>
      <c r="H42" s="116" t="e">
        <f>'21.12'!#REF!+COUNTIF(H$9:H$38,$C42)</f>
        <v>#REF!</v>
      </c>
      <c r="I42" s="116" t="e">
        <f>'21.12'!#REF!+COUNTIF(I$9:I$38,$C42)</f>
        <v>#REF!</v>
      </c>
    </row>
    <row r="43" spans="1:9">
      <c r="A43" s="91"/>
      <c r="B43" s="118">
        <v>11</v>
      </c>
      <c r="C43" s="115" t="str">
        <f>'01.09'!C45</f>
        <v>*Пр. Физическая культура и спорт*</v>
      </c>
      <c r="D43" s="116">
        <f>'21.12'!D45+COUNTIF(D$9:D$38,$C43)</f>
        <v>5</v>
      </c>
      <c r="E43" s="116">
        <f>'21.12'!E45+COUNTIF(E$9:E$38,$C43)</f>
        <v>5</v>
      </c>
      <c r="F43" s="116">
        <f>'21.12'!F45+COUNTIF(F$9:F$38,$C43)</f>
        <v>5</v>
      </c>
      <c r="G43" s="116">
        <f>'21.12'!G45+COUNTIF(G$9:G$38,$C43)</f>
        <v>5</v>
      </c>
      <c r="H43" s="116" t="e">
        <f>'21.12'!#REF!+COUNTIF(H$9:H$38,$C43)</f>
        <v>#REF!</v>
      </c>
      <c r="I43" s="116" t="e">
        <f>'21.12'!#REF!+COUNTIF(I$9:I$38,$C43)</f>
        <v>#REF!</v>
      </c>
    </row>
    <row r="44" spans="1:9">
      <c r="A44" s="91"/>
      <c r="B44" s="118">
        <v>7</v>
      </c>
      <c r="C44" s="115" t="str">
        <f>'01.09'!C46</f>
        <v>*Л. Анатомия*</v>
      </c>
      <c r="D44" s="116">
        <f>'21.12'!D46+COUNTIF(D$9:D$38,$C44)</f>
        <v>4</v>
      </c>
      <c r="E44" s="116">
        <f>'21.12'!E46+COUNTIF(E$9:E$38,$C44)</f>
        <v>4</v>
      </c>
      <c r="F44" s="116">
        <f>'21.12'!F46+COUNTIF(F$9:F$38,$C44)</f>
        <v>4</v>
      </c>
      <c r="G44" s="116">
        <f>'21.12'!G46+COUNTIF(G$9:G$38,$C44)</f>
        <v>4</v>
      </c>
      <c r="H44" s="116" t="e">
        <f>'21.12'!#REF!+COUNTIF(H$9:H$38,$C44)</f>
        <v>#REF!</v>
      </c>
      <c r="I44" s="116" t="e">
        <f>'21.12'!#REF!+COUNTIF(I$9:I$38,$C44)</f>
        <v>#REF!</v>
      </c>
    </row>
    <row r="45" spans="1:9">
      <c r="A45" s="91"/>
      <c r="B45" s="118">
        <v>17</v>
      </c>
      <c r="C45" s="115" t="str">
        <f>'01.09'!C47</f>
        <v>*Пр. Анатомия*</v>
      </c>
      <c r="D45" s="116">
        <f>'21.12'!D47+COUNTIF(D$9:D$38,$C45)</f>
        <v>4</v>
      </c>
      <c r="E45" s="116">
        <f>'21.12'!E47+COUNTIF(E$9:E$38,$C45)</f>
        <v>4</v>
      </c>
      <c r="F45" s="116">
        <f>'21.12'!F47+COUNTIF(F$9:F$38,$C45)</f>
        <v>4</v>
      </c>
      <c r="G45" s="116">
        <f>'21.12'!G47+COUNTIF(G$9:G$38,$C45)</f>
        <v>4</v>
      </c>
      <c r="H45" s="116" t="e">
        <f>'21.12'!#REF!+COUNTIF(H$9:H$38,$C45)</f>
        <v>#REF!</v>
      </c>
      <c r="I45" s="116" t="e">
        <f>'21.12'!#REF!+COUNTIF(I$9:I$38,$C45)</f>
        <v>#REF!</v>
      </c>
    </row>
    <row r="46" spans="1:9">
      <c r="A46" s="91"/>
      <c r="B46" s="118">
        <v>5</v>
      </c>
      <c r="C46" s="115" t="str">
        <f>'01.09'!C48</f>
        <v>*Л. Теория и методика*</v>
      </c>
      <c r="D46" s="116">
        <f>'21.12'!D48+COUNTIF(D$9:D$38,$C46)</f>
        <v>5</v>
      </c>
      <c r="E46" s="116">
        <f>'21.12'!E48+COUNTIF(E$9:E$38,$C46)</f>
        <v>5</v>
      </c>
      <c r="F46" s="116">
        <f>'21.12'!F48+COUNTIF(F$9:F$38,$C46)</f>
        <v>5</v>
      </c>
      <c r="G46" s="116">
        <f>'21.12'!G48+COUNTIF(G$9:G$38,$C46)</f>
        <v>5</v>
      </c>
      <c r="H46" s="116" t="e">
        <f>'21.12'!#REF!+COUNTIF(H$9:H$38,$C46)</f>
        <v>#REF!</v>
      </c>
      <c r="I46" s="116" t="e">
        <f>'21.12'!#REF!+COUNTIF(I$9:I$38,$C46)</f>
        <v>#REF!</v>
      </c>
    </row>
    <row r="47" spans="1:9">
      <c r="A47" s="91"/>
      <c r="B47" s="118">
        <v>45</v>
      </c>
      <c r="C47" s="115" t="str">
        <f>'01.09'!C49</f>
        <v>*Пр. Теория и методика*</v>
      </c>
      <c r="D47" s="116">
        <f>'21.12'!D49+COUNTIF(D$9:D$38,$C47)</f>
        <v>24</v>
      </c>
      <c r="E47" s="116">
        <f>'21.12'!E49+COUNTIF(E$9:E$38,$C47)</f>
        <v>25</v>
      </c>
      <c r="F47" s="116">
        <f>'21.12'!F49+COUNTIF(F$9:F$38,$C47)</f>
        <v>25</v>
      </c>
      <c r="G47" s="116">
        <f>'21.12'!G49+COUNTIF(G$9:G$38,$C47)</f>
        <v>25</v>
      </c>
      <c r="H47" s="116" t="e">
        <f>'21.12'!#REF!+COUNTIF(H$9:H$38,$C47)</f>
        <v>#REF!</v>
      </c>
      <c r="I47" s="116" t="e">
        <f>'21.12'!#REF!+COUNTIF(I$9:I$38,$C47)</f>
        <v>#REF!</v>
      </c>
    </row>
    <row r="48" spans="1:9">
      <c r="A48" s="91"/>
      <c r="B48" s="118">
        <v>1</v>
      </c>
      <c r="C48" s="115" t="str">
        <f>'01.09'!C50</f>
        <v>*Л. Информационные технологии*</v>
      </c>
      <c r="D48" s="116">
        <f>'21.12'!D50+COUNTIF(D$9:D$38,$C48)</f>
        <v>2</v>
      </c>
      <c r="E48" s="116">
        <f>'21.12'!E50+COUNTIF(E$9:E$38,$C48)</f>
        <v>2</v>
      </c>
      <c r="F48" s="116">
        <f>'21.12'!F50+COUNTIF(F$9:F$38,$C48)</f>
        <v>2</v>
      </c>
      <c r="G48" s="116">
        <f>'21.12'!G50+COUNTIF(G$9:G$38,$C48)</f>
        <v>2</v>
      </c>
      <c r="H48" s="116" t="e">
        <f>'21.12'!#REF!+COUNTIF(H$9:H$38,$C48)</f>
        <v>#REF!</v>
      </c>
      <c r="I48" s="116" t="e">
        <f>'21.12'!#REF!+COUNTIF(I$9:I$38,$C48)</f>
        <v>#REF!</v>
      </c>
    </row>
    <row r="49" spans="1:9">
      <c r="A49" s="91"/>
      <c r="B49" s="118">
        <v>23</v>
      </c>
      <c r="C49" s="115" t="str">
        <f>'01.09'!C51</f>
        <v>*Пр. Информационные технологии*</v>
      </c>
      <c r="D49" s="116">
        <f>'21.12'!D51+COUNTIF(D$9:D$38,$C49)</f>
        <v>8</v>
      </c>
      <c r="E49" s="116">
        <f>'21.12'!E51+COUNTIF(E$9:E$38,$C49)</f>
        <v>8</v>
      </c>
      <c r="F49" s="116">
        <f>'21.12'!F51+COUNTIF(F$9:F$38,$C49)</f>
        <v>8</v>
      </c>
      <c r="G49" s="116">
        <f>'21.12'!G51+COUNTIF(G$9:G$38,$C49)</f>
        <v>8</v>
      </c>
      <c r="H49" s="116" t="e">
        <f>'21.12'!#REF!+COUNTIF(H$9:H$38,$C49)</f>
        <v>#REF!</v>
      </c>
      <c r="I49" s="116" t="e">
        <f>'21.12'!#REF!+COUNTIF(I$9:I$38,$C49)</f>
        <v>#REF!</v>
      </c>
    </row>
    <row r="50" spans="1:9">
      <c r="A50" s="91"/>
      <c r="B50" s="118">
        <v>1</v>
      </c>
      <c r="C50" s="115" t="str">
        <f>'01.09'!C53</f>
        <v>*Пр. Гимнастика*</v>
      </c>
      <c r="D50" s="116">
        <f>'21.12'!D52+COUNTIF(D$9:D$38,$C50)</f>
        <v>3</v>
      </c>
      <c r="E50" s="116">
        <f>'21.12'!E52+COUNTIF(E$9:E$38,$C50)</f>
        <v>3</v>
      </c>
      <c r="F50" s="116">
        <f>'21.12'!F52+COUNTIF(F$9:F$38,$C50)</f>
        <v>3</v>
      </c>
      <c r="G50" s="116">
        <f>'21.12'!G52+COUNTIF(G$9:G$38,$C50)</f>
        <v>3</v>
      </c>
      <c r="H50" s="116" t="e">
        <f>'21.12'!#REF!+COUNTIF(H$9:H$38,$C50)</f>
        <v>#REF!</v>
      </c>
      <c r="I50" s="116" t="e">
        <f>'21.12'!#REF!+COUNTIF(I$9:I$38,$C50)</f>
        <v>#REF!</v>
      </c>
    </row>
    <row r="51" spans="1:9">
      <c r="A51" s="91"/>
      <c r="B51" s="118">
        <v>23</v>
      </c>
      <c r="C51" s="115" t="str">
        <f>'01.09'!C54</f>
        <v>*Л. Элективные дисциплины по ФКиС: Подвижные игры*</v>
      </c>
      <c r="D51" s="116">
        <f>'21.12'!D53+COUNTIF(D$9:D$38,$C51)</f>
        <v>13</v>
      </c>
      <c r="E51" s="116">
        <f>'21.12'!E53+COUNTIF(E$9:E$38,$C51)</f>
        <v>12</v>
      </c>
      <c r="F51" s="116">
        <f>'21.12'!F53+COUNTIF(F$9:F$38,$C51)</f>
        <v>12</v>
      </c>
      <c r="G51" s="116">
        <f>'21.12'!G53+COUNTIF(G$9:G$38,$C51)</f>
        <v>12</v>
      </c>
      <c r="H51" s="116" t="e">
        <f>'21.12'!#REF!+COUNTIF(H$9:H$38,$C51)</f>
        <v>#REF!</v>
      </c>
      <c r="I51" s="116" t="e">
        <f>'21.12'!#REF!+COUNTIF(I$9:I$38,$C51)</f>
        <v>#REF!</v>
      </c>
    </row>
    <row r="52" spans="1:9">
      <c r="A52" s="91"/>
      <c r="B52" s="118">
        <v>3</v>
      </c>
      <c r="C52" s="115" t="str">
        <f>'01.09'!C55</f>
        <v>*Пр. Элективные дисциплины по ФКиС: Подвижные игры*</v>
      </c>
      <c r="D52" s="116">
        <f>'21.12'!D54+COUNTIF(D$9:D$38,$C52)</f>
        <v>1</v>
      </c>
      <c r="E52" s="116">
        <f>'21.12'!E54+COUNTIF(E$9:E$38,$C52)</f>
        <v>1</v>
      </c>
      <c r="F52" s="116">
        <f>'21.12'!F54+COUNTIF(F$9:F$38,$C52)</f>
        <v>1</v>
      </c>
      <c r="G52" s="116">
        <f>'21.12'!G54+COUNTIF(G$9:G$38,$C52)</f>
        <v>1</v>
      </c>
      <c r="H52" s="116" t="e">
        <f>'21.12'!#REF!+COUNTIF(H$9:H$38,$C52)</f>
        <v>#REF!</v>
      </c>
      <c r="I52" s="116" t="e">
        <f>'21.12'!#REF!+COUNTIF(I$9:I$38,$C52)</f>
        <v>#REF!</v>
      </c>
    </row>
    <row r="53" spans="1:9">
      <c r="A53" s="91"/>
      <c r="B53" s="118">
        <v>3</v>
      </c>
      <c r="C53" s="115" t="str">
        <f>'01.09'!C56</f>
        <v>*Л. Волейбол*</v>
      </c>
      <c r="D53" s="116">
        <f>'21.12'!D55+COUNTIF(D$9:D$38,$C53)</f>
        <v>8</v>
      </c>
      <c r="E53" s="116">
        <f>'21.12'!E55+COUNTIF(E$9:E$38,$C53)</f>
        <v>8</v>
      </c>
      <c r="F53" s="116">
        <f>'21.12'!F55+COUNTIF(F$9:F$38,$C53)</f>
        <v>9</v>
      </c>
      <c r="G53" s="116">
        <f>'21.12'!G55+COUNTIF(G$9:G$38,$C53)</f>
        <v>9</v>
      </c>
      <c r="H53" s="116" t="e">
        <f>'21.12'!#REF!+COUNTIF(H$9:H$38,$C53)</f>
        <v>#REF!</v>
      </c>
      <c r="I53" s="116" t="e">
        <f>'21.12'!#REF!+COUNTIF(I$9:I$38,$C53)</f>
        <v>#REF!</v>
      </c>
    </row>
    <row r="54" spans="1:9">
      <c r="A54" s="91"/>
      <c r="B54" s="118">
        <v>3</v>
      </c>
      <c r="C54" s="115" t="str">
        <f>'01.09'!C57</f>
        <v>*Пр. Волейбол*</v>
      </c>
      <c r="D54" s="116">
        <f>'21.12'!D56+COUNTIF(D$9:D$38,$C54)</f>
        <v>1</v>
      </c>
      <c r="E54" s="116">
        <f>'21.12'!E56+COUNTIF(E$9:E$38,$C54)</f>
        <v>1</v>
      </c>
      <c r="F54" s="116">
        <f>'21.12'!F56+COUNTIF(F$9:F$38,$C54)</f>
        <v>1</v>
      </c>
      <c r="G54" s="116">
        <f>'21.12'!G56+COUNTIF(G$9:G$38,$C54)</f>
        <v>1</v>
      </c>
      <c r="H54" s="116" t="e">
        <f>'21.12'!#REF!+COUNTIF(H$9:H$38,$C54)</f>
        <v>#REF!</v>
      </c>
      <c r="I54" s="116" t="e">
        <f>'21.12'!#REF!+COUNTIF(I$9:I$38,$C54)</f>
        <v>#REF!</v>
      </c>
    </row>
    <row r="55" spans="1:9">
      <c r="A55" s="91"/>
      <c r="B55" s="118">
        <v>21</v>
      </c>
      <c r="C55" s="115" t="str">
        <f>'01.09'!C58</f>
        <v>*Л. Лыжные гонки*</v>
      </c>
      <c r="D55" s="116">
        <f>'21.12'!D57+COUNTIF(D$9:D$38,$C55)</f>
        <v>16</v>
      </c>
      <c r="E55" s="116">
        <f>'21.12'!E57+COUNTIF(E$9:E$38,$C55)</f>
        <v>16</v>
      </c>
      <c r="F55" s="116">
        <f>'21.12'!F57+COUNTIF(F$9:F$38,$C55)</f>
        <v>16</v>
      </c>
      <c r="G55" s="116">
        <f>'21.12'!G57+COUNTIF(G$9:G$38,$C55)</f>
        <v>16</v>
      </c>
      <c r="H55" s="116" t="e">
        <f>'21.12'!#REF!+COUNTIF(H$9:H$38,$C55)</f>
        <v>#REF!</v>
      </c>
      <c r="I55" s="116" t="e">
        <f>'21.12'!#REF!+COUNTIF(I$9:I$38,$C55)</f>
        <v>#REF!</v>
      </c>
    </row>
    <row r="56" spans="1:9">
      <c r="A56" s="91"/>
      <c r="B56" s="118">
        <v>16</v>
      </c>
      <c r="C56" s="115" t="str">
        <f>'01.09'!C59</f>
        <v>*Пр. Лыжные гонки*</v>
      </c>
      <c r="D56" s="116">
        <f>'21.12'!D58+COUNTIF(D$9:D$38,$C56)</f>
        <v>0</v>
      </c>
      <c r="E56" s="116">
        <f>'21.12'!E58+COUNTIF(E$9:E$38,$C56)</f>
        <v>0</v>
      </c>
      <c r="F56" s="116">
        <f>'21.12'!F58+COUNTIF(F$9:F$38,$C56)</f>
        <v>0</v>
      </c>
      <c r="G56" s="116">
        <f>'21.12'!G58+COUNTIF(G$9:G$38,$C56)</f>
        <v>0</v>
      </c>
      <c r="H56" s="116" t="e">
        <f>'21.12'!#REF!+COUNTIF(H$9:H$38,$C56)</f>
        <v>#REF!</v>
      </c>
      <c r="I56" s="116" t="e">
        <f>'21.12'!#REF!+COUNTIF(I$9:I$38,$C56)</f>
        <v>#REF!</v>
      </c>
    </row>
    <row r="57" spans="1:9">
      <c r="A57" s="91"/>
      <c r="B57" s="118">
        <v>1</v>
      </c>
      <c r="C57" s="115" t="str">
        <f>'01.09'!C60</f>
        <v>*Л. Использование электронной*</v>
      </c>
      <c r="D57" s="116">
        <f>'21.12'!D59+COUNTIF(D$9:D$38,$C57)</f>
        <v>0</v>
      </c>
      <c r="E57" s="116">
        <f>'21.12'!E59+COUNTIF(E$9:E$38,$C57)</f>
        <v>0</v>
      </c>
      <c r="F57" s="116">
        <f>'21.12'!F59+COUNTIF(F$9:F$38,$C57)</f>
        <v>0</v>
      </c>
      <c r="G57" s="116">
        <f>'21.12'!G59+COUNTIF(G$9:G$38,$C57)</f>
        <v>0</v>
      </c>
      <c r="H57" s="116" t="e">
        <f>'21.12'!#REF!+COUNTIF(H$9:H$38,$C57)</f>
        <v>#REF!</v>
      </c>
      <c r="I57" s="116" t="e">
        <f>'21.12'!#REF!+COUNTIF(I$9:I$38,$C57)</f>
        <v>#REF!</v>
      </c>
    </row>
    <row r="58" spans="1:9">
      <c r="A58" s="91"/>
      <c r="B58" s="118">
        <v>9</v>
      </c>
      <c r="C58" s="115" t="str">
        <f>'01.09'!C61</f>
        <v>*Пр. Использование электронной*</v>
      </c>
      <c r="D58" s="116">
        <f>'21.12'!D60+COUNTIF(D$9:D$38,$C58)</f>
        <v>1</v>
      </c>
      <c r="E58" s="116">
        <f>'21.12'!E60+COUNTIF(E$9:E$38,$C58)</f>
        <v>0</v>
      </c>
      <c r="F58" s="116">
        <f>'21.12'!F60+COUNTIF(F$9:F$38,$C58)</f>
        <v>0</v>
      </c>
      <c r="G58" s="116">
        <f>'21.12'!G60+COUNTIF(G$9:G$38,$C58)</f>
        <v>0</v>
      </c>
      <c r="H58" s="116" t="e">
        <f>'21.12'!#REF!+COUNTIF(H$9:H$38,$C58)</f>
        <v>#REF!</v>
      </c>
      <c r="I58" s="116" t="e">
        <f>'21.12'!#REF!+COUNTIF(I$9:I$38,$C58)</f>
        <v>#REF!</v>
      </c>
    </row>
    <row r="59" spans="1:9">
      <c r="A59" s="91"/>
      <c r="B59" s="118">
        <v>5</v>
      </c>
      <c r="C59" s="115" t="str">
        <f>'01.09'!C62</f>
        <v>*Пр. Иностранный*</v>
      </c>
      <c r="D59" s="116">
        <f>'21.12'!D61+COUNTIF(D$9:D$38,$C59)</f>
        <v>2</v>
      </c>
      <c r="E59" s="116">
        <f>'21.12'!E61+COUNTIF(E$9:E$38,$C59)</f>
        <v>2</v>
      </c>
      <c r="F59" s="116">
        <f>'21.12'!F61+COUNTIF(F$9:F$38,$C59)</f>
        <v>2</v>
      </c>
      <c r="G59" s="116">
        <f>'21.12'!G61+COUNTIF(G$9:G$38,$C59)</f>
        <v>2</v>
      </c>
      <c r="H59" s="116" t="e">
        <f>'21.12'!#REF!+COUNTIF(H$9:H$38,$C59)</f>
        <v>#REF!</v>
      </c>
      <c r="I59" s="116" t="e">
        <f>'21.12'!#REF!+COUNTIF(I$9:I$38,$C59)</f>
        <v>#REF!</v>
      </c>
    </row>
    <row r="60" spans="1:9">
      <c r="A60" s="91"/>
      <c r="B60" s="118">
        <v>11</v>
      </c>
      <c r="C60" s="115" t="e">
        <f>'01.09'!#REF!</f>
        <v>#REF!</v>
      </c>
      <c r="D60" s="116">
        <f>'21.12'!D62+COUNTIF(D$9:D$38,$C60)</f>
        <v>8</v>
      </c>
      <c r="E60" s="116">
        <f>'21.12'!E62+COUNTIF(E$9:E$38,$C60)</f>
        <v>8</v>
      </c>
      <c r="F60" s="116">
        <f>'21.12'!F62+COUNTIF(F$9:F$38,$C60)</f>
        <v>8</v>
      </c>
      <c r="G60" s="116">
        <f>'21.12'!G62+COUNTIF(G$9:G$38,$C60)</f>
        <v>8</v>
      </c>
      <c r="H60" s="116" t="e">
        <f>'21.12'!#REF!+COUNTIF(H$9:H$38,$C60)</f>
        <v>#REF!</v>
      </c>
      <c r="I60" s="116" t="e">
        <f>'21.12'!#REF!+COUNTIF(I$9:I$38,$C60)</f>
        <v>#REF!</v>
      </c>
    </row>
    <row r="61" spans="1:9">
      <c r="A61" s="91"/>
      <c r="B61" s="91"/>
      <c r="C61" s="115">
        <f>'01.09'!C63</f>
        <v>0</v>
      </c>
      <c r="D61" s="116">
        <f>'21.12'!D63+COUNTIF(D$9:D$38,$C61)</f>
        <v>0</v>
      </c>
      <c r="E61" s="116">
        <f>'21.12'!E63+COUNTIF(E$9:E$38,$C61)</f>
        <v>0</v>
      </c>
      <c r="F61" s="116">
        <f>'21.12'!F63+COUNTIF(F$9:F$38,$C61)</f>
        <v>0</v>
      </c>
      <c r="G61" s="116">
        <f>'21.12'!G63+COUNTIF(G$9:G$38,$C61)</f>
        <v>0</v>
      </c>
      <c r="H61" s="116" t="e">
        <f>'21.12'!#REF!+COUNTIF(H$9:H$38,$C61)</f>
        <v>#REF!</v>
      </c>
      <c r="I61" s="116" t="e">
        <f>'21.12'!#REF!+COUNTIF(I$9:I$38,$C61)</f>
        <v>#REF!</v>
      </c>
    </row>
    <row r="62" spans="1:9">
      <c r="A62" s="91"/>
      <c r="B62" s="91"/>
      <c r="C62" s="115">
        <f>'01.09'!C64</f>
        <v>0</v>
      </c>
      <c r="D62" s="116">
        <f>'21.12'!D64+COUNTIF(D$9:D$38,$C62)</f>
        <v>0</v>
      </c>
      <c r="E62" s="116">
        <f>'21.12'!E64+COUNTIF(E$9:E$38,$C62)</f>
        <v>0</v>
      </c>
      <c r="F62" s="116">
        <f>'21.12'!F64+COUNTIF(F$9:F$38,$C62)</f>
        <v>0</v>
      </c>
      <c r="G62" s="116">
        <f>'21.12'!G64+COUNTIF(G$9:G$38,$C62)</f>
        <v>0</v>
      </c>
      <c r="H62" s="116" t="e">
        <f>'21.12'!#REF!+COUNTIF(H$9:H$38,$C62)</f>
        <v>#REF!</v>
      </c>
      <c r="I62" s="116" t="e">
        <f>'21.12'!#REF!+COUNTIF(I$9:I$38,$C62)</f>
        <v>#REF!</v>
      </c>
    </row>
    <row r="63" spans="1:9">
      <c r="A63" s="91"/>
      <c r="B63" s="91"/>
      <c r="C63" s="115">
        <f>'01.09'!C65</f>
        <v>0</v>
      </c>
      <c r="D63" s="116">
        <f>'21.12'!D65+COUNTIF(D$9:D$38,$C63)</f>
        <v>0</v>
      </c>
      <c r="E63" s="116">
        <f>'21.12'!E65+COUNTIF(E$9:E$38,$C63)</f>
        <v>0</v>
      </c>
      <c r="F63" s="116">
        <f>'21.12'!F65+COUNTIF(F$9:F$38,$C63)</f>
        <v>0</v>
      </c>
      <c r="G63" s="116">
        <f>'21.12'!G65+COUNTIF(G$9:G$38,$C63)</f>
        <v>0</v>
      </c>
      <c r="H63" s="116" t="e">
        <f>'21.12'!#REF!+COUNTIF(H$9:H$38,$C63)</f>
        <v>#REF!</v>
      </c>
      <c r="I63" s="116" t="e">
        <f>'21.12'!#REF!+COUNTIF(I$9:I$38,$C63)</f>
        <v>#REF!</v>
      </c>
    </row>
    <row r="64" spans="1:9">
      <c r="A64" s="91"/>
      <c r="B64" s="91"/>
      <c r="C64" s="115">
        <f>'01.09'!C66</f>
        <v>0</v>
      </c>
      <c r="D64" s="116">
        <f>'21.12'!D66+COUNTIF(D$9:D$38,$C64)</f>
        <v>0</v>
      </c>
      <c r="E64" s="116">
        <f>'21.12'!E66+COUNTIF(E$9:E$38,$C64)</f>
        <v>0</v>
      </c>
      <c r="F64" s="116">
        <f>'21.12'!F66+COUNTIF(F$9:F$38,$C64)</f>
        <v>0</v>
      </c>
      <c r="G64" s="116">
        <f>'21.12'!G66+COUNTIF(G$9:G$38,$C64)</f>
        <v>0</v>
      </c>
      <c r="H64" s="116" t="e">
        <f>'21.12'!#REF!+COUNTIF(H$9:H$38,$C64)</f>
        <v>#REF!</v>
      </c>
      <c r="I64" s="116" t="e">
        <f>'21.12'!#REF!+COUNTIF(I$9:I$38,$C64)</f>
        <v>#REF!</v>
      </c>
    </row>
    <row r="65" spans="1:9">
      <c r="A65" s="91"/>
      <c r="B65" s="91"/>
      <c r="C65" s="115">
        <f>'01.09'!C67</f>
        <v>0</v>
      </c>
      <c r="D65" s="116">
        <f>'21.12'!D67+COUNTIF(D$9:D$38,$C65)</f>
        <v>0</v>
      </c>
      <c r="E65" s="116">
        <f>'21.12'!E67+COUNTIF(E$9:E$38,$C65)</f>
        <v>0</v>
      </c>
      <c r="F65" s="116">
        <f>'21.12'!F67+COUNTIF(F$9:F$38,$C65)</f>
        <v>0</v>
      </c>
      <c r="G65" s="116">
        <f>'21.12'!G67+COUNTIF(G$9:G$38,$C65)</f>
        <v>0</v>
      </c>
      <c r="H65" s="116" t="e">
        <f>'21.12'!#REF!+COUNTIF(H$9:H$38,$C65)</f>
        <v>#REF!</v>
      </c>
      <c r="I65" s="116" t="e">
        <f>'21.12'!#REF!+COUNTIF(I$9:I$38,$C65)</f>
        <v>#REF!</v>
      </c>
    </row>
    <row r="66" spans="1:9">
      <c r="A66" s="69"/>
      <c r="B66" s="69"/>
      <c r="C66" s="69"/>
      <c r="D66" s="69"/>
      <c r="E66" s="69"/>
      <c r="F66" s="69"/>
      <c r="G66" s="69"/>
      <c r="H66" s="69"/>
    </row>
    <row r="67" spans="1:9">
      <c r="A67" s="69"/>
      <c r="B67" s="69"/>
      <c r="C67" s="69"/>
      <c r="D67" s="69"/>
      <c r="E67" s="69"/>
      <c r="F67" s="69"/>
      <c r="G67" s="69"/>
      <c r="H67" s="69"/>
    </row>
    <row r="68" spans="1:9">
      <c r="A68" s="69"/>
      <c r="B68" s="69"/>
      <c r="C68" s="69"/>
      <c r="D68" s="69"/>
      <c r="E68" s="69"/>
      <c r="F68" s="69"/>
      <c r="G68" s="69"/>
      <c r="H68" s="69"/>
    </row>
    <row r="69" spans="1:9">
      <c r="A69" s="69"/>
      <c r="B69" s="69"/>
      <c r="C69" s="69"/>
      <c r="D69" s="69"/>
      <c r="E69" s="69"/>
      <c r="F69" s="69"/>
      <c r="G69" s="69"/>
      <c r="H69" s="69"/>
    </row>
    <row r="70" spans="1:9">
      <c r="A70" s="69"/>
      <c r="B70" s="69"/>
      <c r="C70" s="69"/>
      <c r="D70" s="69"/>
      <c r="E70" s="69"/>
      <c r="F70" s="69"/>
      <c r="G70" s="69"/>
      <c r="H70" s="69"/>
    </row>
    <row r="71" spans="1:9">
      <c r="A71" s="69"/>
      <c r="B71" s="69"/>
      <c r="C71" s="69"/>
      <c r="D71" s="69"/>
      <c r="E71" s="69"/>
      <c r="F71" s="69"/>
      <c r="G71" s="69"/>
      <c r="H71" s="69"/>
    </row>
    <row r="72" spans="1:9">
      <c r="A72" s="69"/>
      <c r="B72" s="69"/>
      <c r="C72" s="69"/>
      <c r="D72" s="69"/>
      <c r="E72" s="69"/>
      <c r="F72" s="69"/>
      <c r="G72" s="69"/>
      <c r="H72" s="69"/>
    </row>
    <row r="73" spans="1:9">
      <c r="A73" s="69"/>
      <c r="B73" s="69"/>
      <c r="C73" s="69"/>
      <c r="D73" s="69"/>
      <c r="E73" s="69"/>
      <c r="F73" s="69"/>
      <c r="G73" s="69"/>
      <c r="H73" s="69"/>
    </row>
    <row r="74" spans="1:9">
      <c r="A74" s="69"/>
      <c r="B74" s="69"/>
      <c r="C74" s="69"/>
      <c r="D74" s="69"/>
      <c r="E74" s="69"/>
      <c r="F74" s="69"/>
      <c r="G74" s="69"/>
      <c r="H74" s="69"/>
    </row>
  </sheetData>
  <mergeCells count="15">
    <mergeCell ref="A34:A38"/>
    <mergeCell ref="B34:B38"/>
    <mergeCell ref="A19:A23"/>
    <mergeCell ref="B19:B23"/>
    <mergeCell ref="A24:A28"/>
    <mergeCell ref="B24:B28"/>
    <mergeCell ref="A29:A33"/>
    <mergeCell ref="B29:B33"/>
    <mergeCell ref="A14:A18"/>
    <mergeCell ref="B14:B18"/>
    <mergeCell ref="A7:A8"/>
    <mergeCell ref="B7:B8"/>
    <mergeCell ref="C7:C8"/>
    <mergeCell ref="A9:A13"/>
    <mergeCell ref="B9:B13"/>
  </mergeCells>
  <conditionalFormatting sqref="D40:I40">
    <cfRule type="cellIs" dxfId="41" priority="21" operator="lessThan">
      <formula>2</formula>
    </cfRule>
  </conditionalFormatting>
  <conditionalFormatting sqref="D41:I41">
    <cfRule type="cellIs" dxfId="40" priority="20" operator="lessThan">
      <formula>14</formula>
    </cfRule>
  </conditionalFormatting>
  <conditionalFormatting sqref="D42:I42">
    <cfRule type="cellIs" dxfId="39" priority="19" operator="lessThan">
      <formula>5</formula>
    </cfRule>
  </conditionalFormatting>
  <conditionalFormatting sqref="D43:I43">
    <cfRule type="cellIs" dxfId="38" priority="18" operator="lessThan">
      <formula>11</formula>
    </cfRule>
  </conditionalFormatting>
  <conditionalFormatting sqref="D44:I44">
    <cfRule type="cellIs" dxfId="37" priority="17" operator="lessThan">
      <formula>7</formula>
    </cfRule>
  </conditionalFormatting>
  <conditionalFormatting sqref="D45:I45">
    <cfRule type="cellIs" dxfId="36" priority="16" operator="lessThan">
      <formula>17</formula>
    </cfRule>
  </conditionalFormatting>
  <conditionalFormatting sqref="D46:I46">
    <cfRule type="cellIs" dxfId="35" priority="15" operator="lessThan">
      <formula>5</formula>
    </cfRule>
  </conditionalFormatting>
  <conditionalFormatting sqref="D47:I47">
    <cfRule type="cellIs" dxfId="34" priority="14" operator="lessThan">
      <formula>45</formula>
    </cfRule>
  </conditionalFormatting>
  <conditionalFormatting sqref="D48:I48">
    <cfRule type="cellIs" dxfId="33" priority="13" operator="lessThan">
      <formula>1</formula>
    </cfRule>
  </conditionalFormatting>
  <conditionalFormatting sqref="D49:I49">
    <cfRule type="cellIs" dxfId="32" priority="12" operator="lessThan">
      <formula>23</formula>
    </cfRule>
  </conditionalFormatting>
  <conditionalFormatting sqref="D50:I50">
    <cfRule type="cellIs" dxfId="31" priority="11" operator="lessThan">
      <formula>1</formula>
    </cfRule>
  </conditionalFormatting>
  <conditionalFormatting sqref="D51:I51">
    <cfRule type="cellIs" dxfId="30" priority="10" operator="lessThan">
      <formula>23</formula>
    </cfRule>
  </conditionalFormatting>
  <conditionalFormatting sqref="D52:I52">
    <cfRule type="cellIs" dxfId="29" priority="9" operator="lessThan">
      <formula>3</formula>
    </cfRule>
  </conditionalFormatting>
  <conditionalFormatting sqref="D53:I53">
    <cfRule type="cellIs" dxfId="28" priority="8" operator="lessThan">
      <formula>3</formula>
    </cfRule>
  </conditionalFormatting>
  <conditionalFormatting sqref="D54:I54">
    <cfRule type="cellIs" dxfId="27" priority="7" operator="lessThan">
      <formula>3</formula>
    </cfRule>
  </conditionalFormatting>
  <conditionalFormatting sqref="D55:I55">
    <cfRule type="cellIs" dxfId="26" priority="6" operator="lessThan">
      <formula>21</formula>
    </cfRule>
  </conditionalFormatting>
  <conditionalFormatting sqref="D56:I56">
    <cfRule type="cellIs" dxfId="25" priority="5" operator="lessThan">
      <formula>16</formula>
    </cfRule>
  </conditionalFormatting>
  <conditionalFormatting sqref="D57:I57">
    <cfRule type="cellIs" dxfId="24" priority="4" operator="lessThan">
      <formula>1</formula>
    </cfRule>
  </conditionalFormatting>
  <conditionalFormatting sqref="D58:I58">
    <cfRule type="cellIs" dxfId="23" priority="3" operator="lessThan">
      <formula>7</formula>
    </cfRule>
  </conditionalFormatting>
  <conditionalFormatting sqref="D59:I59">
    <cfRule type="cellIs" dxfId="22" priority="2" operator="lessThan">
      <formula>5</formula>
    </cfRule>
  </conditionalFormatting>
  <conditionalFormatting sqref="D60:I60">
    <cfRule type="cellIs" dxfId="21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zoomScale="50" zoomScaleNormal="50" zoomScaleSheetLayoutView="50" zoomScalePageLayoutView="40" workbookViewId="0">
      <selection activeCell="F12" sqref="F12"/>
    </sheetView>
  </sheetViews>
  <sheetFormatPr defaultRowHeight="26.25"/>
  <cols>
    <col min="1" max="1" width="4.42578125" style="84" customWidth="1"/>
    <col min="2" max="2" width="6.140625" style="84" customWidth="1"/>
    <col min="3" max="3" width="43" style="84" customWidth="1"/>
    <col min="4" max="9" width="44" style="84" customWidth="1"/>
    <col min="10" max="16384" width="9.140625" style="84"/>
  </cols>
  <sheetData>
    <row r="1" spans="1:9" ht="30">
      <c r="C1" s="85"/>
      <c r="D1" s="85"/>
      <c r="E1" s="85"/>
      <c r="F1" s="51" t="s">
        <v>89</v>
      </c>
      <c r="G1" s="85"/>
      <c r="H1" s="85"/>
    </row>
    <row r="2" spans="1:9" ht="30.75">
      <c r="A2" s="86"/>
      <c r="B2" s="86"/>
      <c r="C2" s="85"/>
      <c r="D2" s="85"/>
      <c r="E2" s="85"/>
      <c r="F2" s="51" t="s">
        <v>97</v>
      </c>
      <c r="G2" s="85"/>
      <c r="H2" s="85"/>
    </row>
    <row r="3" spans="1:9" ht="30.75">
      <c r="A3" s="86"/>
      <c r="B3" s="86"/>
      <c r="C3" s="85"/>
      <c r="D3" s="85"/>
      <c r="E3" s="85"/>
      <c r="F3" s="51" t="s">
        <v>98</v>
      </c>
      <c r="G3" s="85"/>
      <c r="H3" s="85"/>
    </row>
    <row r="4" spans="1:9" ht="30">
      <c r="A4" s="86"/>
      <c r="B4" s="86"/>
      <c r="C4" s="85"/>
      <c r="D4" s="85"/>
      <c r="E4" s="85"/>
      <c r="F4" s="51" t="s">
        <v>90</v>
      </c>
      <c r="G4" s="85"/>
      <c r="H4" s="85"/>
    </row>
    <row r="5" spans="1:9" ht="30">
      <c r="A5" s="87"/>
      <c r="B5" s="87"/>
      <c r="C5" s="88"/>
      <c r="D5" s="88"/>
      <c r="E5" s="88"/>
      <c r="F5" s="103" t="s">
        <v>99</v>
      </c>
      <c r="G5" s="88"/>
      <c r="H5" s="88"/>
    </row>
    <row r="6" spans="1:9" ht="18.75" customHeight="1" thickBot="1">
      <c r="A6" s="89"/>
      <c r="B6" s="89"/>
      <c r="C6" s="89"/>
      <c r="D6" s="89"/>
      <c r="E6" s="89"/>
      <c r="F6" s="89"/>
      <c r="G6" s="89"/>
      <c r="H6" s="89"/>
    </row>
    <row r="7" spans="1:9" ht="51.75" customHeight="1" thickBot="1">
      <c r="A7" s="789" t="s">
        <v>76</v>
      </c>
      <c r="B7" s="789" t="s">
        <v>9</v>
      </c>
      <c r="C7" s="791" t="s">
        <v>77</v>
      </c>
      <c r="D7" s="93" t="s">
        <v>11</v>
      </c>
      <c r="E7" s="94" t="s">
        <v>12</v>
      </c>
      <c r="F7" s="95" t="s">
        <v>13</v>
      </c>
      <c r="G7" s="93" t="s">
        <v>14</v>
      </c>
      <c r="H7" s="95" t="s">
        <v>15</v>
      </c>
      <c r="I7" s="94" t="s">
        <v>16</v>
      </c>
    </row>
    <row r="8" spans="1:9" ht="135.75" customHeight="1" thickBot="1">
      <c r="A8" s="790"/>
      <c r="B8" s="790"/>
      <c r="C8" s="792"/>
      <c r="D8" s="96" t="s">
        <v>95</v>
      </c>
      <c r="E8" s="96" t="s">
        <v>82</v>
      </c>
      <c r="F8" s="96" t="s">
        <v>96</v>
      </c>
      <c r="G8" s="96" t="s">
        <v>83</v>
      </c>
      <c r="H8" s="96" t="s">
        <v>94</v>
      </c>
      <c r="I8" s="96" t="s">
        <v>17</v>
      </c>
    </row>
    <row r="9" spans="1:9" ht="80.25" customHeight="1">
      <c r="A9" s="778" t="s">
        <v>0</v>
      </c>
      <c r="B9" s="737">
        <v>43843</v>
      </c>
      <c r="C9" s="43" t="s">
        <v>5</v>
      </c>
      <c r="D9" s="124"/>
      <c r="E9" s="120"/>
      <c r="F9" s="124"/>
      <c r="G9" s="120"/>
      <c r="H9" s="124"/>
      <c r="I9" s="120"/>
    </row>
    <row r="10" spans="1:9" ht="80.25" customHeight="1">
      <c r="A10" s="781"/>
      <c r="B10" s="731"/>
      <c r="C10" s="44" t="s">
        <v>6</v>
      </c>
      <c r="D10" s="125"/>
      <c r="E10" s="36"/>
      <c r="F10" s="52"/>
      <c r="G10" s="37"/>
      <c r="H10" s="125"/>
      <c r="I10" s="36"/>
    </row>
    <row r="11" spans="1:9" ht="80.25" customHeight="1">
      <c r="A11" s="781"/>
      <c r="B11" s="731"/>
      <c r="C11" s="44" t="s">
        <v>7</v>
      </c>
      <c r="D11" s="35"/>
      <c r="E11" s="38"/>
      <c r="F11" s="72"/>
      <c r="G11" s="37"/>
      <c r="H11" s="52"/>
      <c r="I11" s="38"/>
    </row>
    <row r="12" spans="1:9" ht="80.25" customHeight="1">
      <c r="A12" s="781"/>
      <c r="B12" s="731"/>
      <c r="C12" s="44" t="s">
        <v>8</v>
      </c>
      <c r="D12" s="36"/>
      <c r="E12" s="36"/>
      <c r="F12" s="36"/>
      <c r="G12" s="36"/>
      <c r="H12" s="125"/>
      <c r="I12" s="36"/>
    </row>
    <row r="13" spans="1:9" ht="80.25" customHeight="1" thickBot="1">
      <c r="A13" s="781"/>
      <c r="B13" s="731"/>
      <c r="C13" s="45" t="s">
        <v>10</v>
      </c>
      <c r="D13" s="126"/>
      <c r="E13" s="36"/>
      <c r="F13" s="72"/>
      <c r="G13" s="121"/>
      <c r="H13" s="121"/>
      <c r="I13" s="123"/>
    </row>
    <row r="14" spans="1:9" ht="80.25" customHeight="1">
      <c r="A14" s="778" t="s">
        <v>1</v>
      </c>
      <c r="B14" s="734">
        <f>B9+1</f>
        <v>43844</v>
      </c>
      <c r="C14" s="43" t="s">
        <v>5</v>
      </c>
      <c r="D14" s="122"/>
      <c r="E14" s="120"/>
      <c r="F14" s="122"/>
      <c r="G14" s="120"/>
      <c r="H14" s="120"/>
      <c r="I14" s="122"/>
    </row>
    <row r="15" spans="1:9" ht="80.25" customHeight="1">
      <c r="A15" s="781"/>
      <c r="B15" s="731"/>
      <c r="C15" s="44" t="s">
        <v>6</v>
      </c>
      <c r="D15" s="36"/>
      <c r="E15" s="36"/>
      <c r="F15" s="36"/>
      <c r="G15" s="36"/>
      <c r="H15" s="127"/>
      <c r="I15" s="39"/>
    </row>
    <row r="16" spans="1:9" ht="80.25" customHeight="1">
      <c r="A16" s="781"/>
      <c r="B16" s="731"/>
      <c r="C16" s="44" t="s">
        <v>7</v>
      </c>
      <c r="D16" s="36"/>
      <c r="E16" s="36"/>
      <c r="F16" s="38"/>
      <c r="G16" s="36"/>
      <c r="H16" s="36"/>
      <c r="I16" s="39"/>
    </row>
    <row r="17" spans="1:9" ht="80.25" customHeight="1">
      <c r="A17" s="781"/>
      <c r="B17" s="731"/>
      <c r="C17" s="44" t="s">
        <v>8</v>
      </c>
      <c r="D17" s="36"/>
      <c r="E17" s="36"/>
      <c r="F17" s="36"/>
      <c r="G17" s="36"/>
      <c r="H17" s="36"/>
      <c r="I17" s="39"/>
    </row>
    <row r="18" spans="1:9" ht="80.25" customHeight="1" thickBot="1">
      <c r="A18" s="782"/>
      <c r="B18" s="731"/>
      <c r="C18" s="45" t="s">
        <v>10</v>
      </c>
      <c r="D18" s="81"/>
      <c r="E18" s="121"/>
      <c r="F18" s="121"/>
      <c r="G18" s="121"/>
      <c r="H18" s="81"/>
      <c r="I18" s="68"/>
    </row>
    <row r="19" spans="1:9" ht="80.25" customHeight="1">
      <c r="A19" s="778" t="s">
        <v>2</v>
      </c>
      <c r="B19" s="734">
        <f>B14+1</f>
        <v>43845</v>
      </c>
      <c r="C19" s="43" t="s">
        <v>5</v>
      </c>
      <c r="D19" s="67"/>
      <c r="E19" s="120"/>
      <c r="F19" s="52"/>
      <c r="G19" s="122"/>
      <c r="H19" s="127"/>
      <c r="I19" s="67"/>
    </row>
    <row r="20" spans="1:9" ht="80.25" customHeight="1">
      <c r="A20" s="781"/>
      <c r="B20" s="731"/>
      <c r="C20" s="44" t="s">
        <v>6</v>
      </c>
      <c r="D20" s="61"/>
      <c r="E20" s="36"/>
      <c r="F20" s="125"/>
      <c r="G20" s="36"/>
      <c r="H20" s="39"/>
      <c r="I20" s="61"/>
    </row>
    <row r="21" spans="1:9" ht="80.25" customHeight="1">
      <c r="A21" s="781"/>
      <c r="B21" s="731"/>
      <c r="C21" s="44" t="s">
        <v>7</v>
      </c>
      <c r="D21" s="36"/>
      <c r="E21" s="36"/>
      <c r="F21" s="36"/>
      <c r="G21" s="37"/>
      <c r="H21" s="36"/>
      <c r="I21" s="36"/>
    </row>
    <row r="22" spans="1:9" ht="80.25" customHeight="1">
      <c r="A22" s="781"/>
      <c r="B22" s="731"/>
      <c r="C22" s="44" t="s">
        <v>8</v>
      </c>
      <c r="D22" s="128"/>
      <c r="E22" s="129"/>
      <c r="F22" s="128"/>
      <c r="G22" s="128"/>
      <c r="H22" s="128"/>
      <c r="I22" s="130"/>
    </row>
    <row r="23" spans="1:9" ht="80.25" customHeight="1" thickBot="1">
      <c r="A23" s="782"/>
      <c r="B23" s="731"/>
      <c r="C23" s="45" t="s">
        <v>10</v>
      </c>
      <c r="D23" s="74"/>
      <c r="E23" s="73"/>
      <c r="F23" s="131"/>
      <c r="G23" s="74"/>
      <c r="H23" s="74"/>
      <c r="I23" s="75"/>
    </row>
    <row r="24" spans="1:9" ht="80.25" customHeight="1">
      <c r="A24" s="778" t="s">
        <v>3</v>
      </c>
      <c r="B24" s="734">
        <f>B19+1</f>
        <v>43846</v>
      </c>
      <c r="C24" s="43" t="s">
        <v>5</v>
      </c>
      <c r="D24" s="132"/>
      <c r="E24" s="133"/>
      <c r="F24" s="133"/>
      <c r="G24" s="134"/>
      <c r="H24" s="134"/>
      <c r="I24" s="135"/>
    </row>
    <row r="25" spans="1:9" ht="80.25" customHeight="1">
      <c r="A25" s="779"/>
      <c r="B25" s="731"/>
      <c r="C25" s="44" t="s">
        <v>6</v>
      </c>
      <c r="D25" s="128"/>
      <c r="E25" s="128"/>
      <c r="F25" s="128"/>
      <c r="G25" s="129"/>
      <c r="H25" s="136"/>
      <c r="I25" s="128"/>
    </row>
    <row r="26" spans="1:9" ht="80.25" customHeight="1">
      <c r="A26" s="779"/>
      <c r="B26" s="731"/>
      <c r="C26" s="44" t="s">
        <v>7</v>
      </c>
      <c r="D26" s="129"/>
      <c r="E26" s="136"/>
      <c r="F26" s="128"/>
      <c r="G26" s="129"/>
      <c r="H26" s="136"/>
      <c r="I26" s="128"/>
    </row>
    <row r="27" spans="1:9" ht="80.25" customHeight="1">
      <c r="A27" s="779"/>
      <c r="B27" s="731"/>
      <c r="C27" s="44" t="s">
        <v>8</v>
      </c>
      <c r="D27" s="128"/>
      <c r="E27" s="137"/>
      <c r="F27" s="129"/>
      <c r="G27" s="138"/>
      <c r="H27" s="136"/>
      <c r="I27" s="128"/>
    </row>
    <row r="28" spans="1:9" ht="80.25" customHeight="1" thickBot="1">
      <c r="A28" s="780"/>
      <c r="B28" s="731"/>
      <c r="C28" s="45" t="s">
        <v>10</v>
      </c>
      <c r="D28" s="74"/>
      <c r="E28" s="139"/>
      <c r="F28" s="131"/>
      <c r="G28" s="140"/>
      <c r="H28" s="131"/>
      <c r="I28" s="141"/>
    </row>
    <row r="29" spans="1:9" ht="80.25" customHeight="1">
      <c r="A29" s="778" t="s">
        <v>4</v>
      </c>
      <c r="B29" s="734">
        <f>B24+1</f>
        <v>43847</v>
      </c>
      <c r="C29" s="43" t="s">
        <v>5</v>
      </c>
      <c r="D29" s="142"/>
      <c r="E29" s="120"/>
      <c r="F29" s="143"/>
      <c r="G29" s="120"/>
      <c r="H29" s="120"/>
      <c r="I29" s="120"/>
    </row>
    <row r="30" spans="1:9" ht="80.25" customHeight="1">
      <c r="A30" s="781"/>
      <c r="B30" s="731"/>
      <c r="C30" s="44" t="s">
        <v>6</v>
      </c>
      <c r="D30" s="35"/>
      <c r="E30" s="38"/>
      <c r="F30" s="36"/>
      <c r="G30" s="36"/>
      <c r="H30" s="38"/>
      <c r="I30" s="37"/>
    </row>
    <row r="31" spans="1:9" ht="80.25" customHeight="1">
      <c r="A31" s="781"/>
      <c r="B31" s="731"/>
      <c r="C31" s="44" t="s">
        <v>7</v>
      </c>
      <c r="D31" s="35"/>
      <c r="E31" s="36"/>
      <c r="F31" s="36"/>
      <c r="G31" s="36"/>
      <c r="H31" s="53"/>
      <c r="I31" s="36"/>
    </row>
    <row r="32" spans="1:9" ht="80.25" customHeight="1">
      <c r="A32" s="781"/>
      <c r="B32" s="731"/>
      <c r="C32" s="44" t="s">
        <v>8</v>
      </c>
      <c r="D32" s="129"/>
      <c r="E32" s="136"/>
      <c r="F32" s="128"/>
      <c r="G32" s="129"/>
      <c r="H32" s="36"/>
      <c r="I32" s="130"/>
    </row>
    <row r="33" spans="1:9" ht="80.25" customHeight="1" thickBot="1">
      <c r="A33" s="782"/>
      <c r="B33" s="731"/>
      <c r="C33" s="45" t="s">
        <v>10</v>
      </c>
      <c r="D33" s="73"/>
      <c r="E33" s="74"/>
      <c r="F33" s="74"/>
      <c r="G33" s="74"/>
      <c r="H33" s="73"/>
      <c r="I33" s="74"/>
    </row>
    <row r="34" spans="1:9" ht="80.25" customHeight="1">
      <c r="A34" s="731" t="s">
        <v>18</v>
      </c>
      <c r="B34" s="734">
        <f>B29+1</f>
        <v>43848</v>
      </c>
      <c r="C34" s="43" t="s">
        <v>5</v>
      </c>
      <c r="D34" s="82"/>
      <c r="E34" s="122"/>
      <c r="F34" s="36"/>
      <c r="G34" s="120"/>
      <c r="H34" s="120"/>
      <c r="I34" s="122"/>
    </row>
    <row r="35" spans="1:9" ht="80.25" customHeight="1">
      <c r="A35" s="731"/>
      <c r="B35" s="731"/>
      <c r="C35" s="44" t="s">
        <v>6</v>
      </c>
      <c r="D35" s="72"/>
      <c r="E35" s="36"/>
      <c r="F35" s="52"/>
      <c r="G35" s="38"/>
      <c r="H35" s="38"/>
      <c r="I35" s="36"/>
    </row>
    <row r="36" spans="1:9" ht="80.25" customHeight="1">
      <c r="A36" s="731"/>
      <c r="B36" s="731"/>
      <c r="C36" s="44" t="s">
        <v>7</v>
      </c>
      <c r="D36" s="52"/>
      <c r="E36" s="36"/>
      <c r="F36" s="52"/>
      <c r="G36" s="36"/>
      <c r="H36" s="36"/>
      <c r="I36" s="36"/>
    </row>
    <row r="37" spans="1:9" ht="80.25" customHeight="1">
      <c r="A37" s="731"/>
      <c r="B37" s="731"/>
      <c r="C37" s="44" t="s">
        <v>8</v>
      </c>
      <c r="D37" s="128"/>
      <c r="E37" s="128"/>
      <c r="F37" s="128"/>
      <c r="G37" s="128"/>
      <c r="H37" s="128"/>
      <c r="I37" s="130"/>
    </row>
    <row r="38" spans="1:9" ht="80.25" customHeight="1" thickBot="1">
      <c r="A38" s="777"/>
      <c r="B38" s="777"/>
      <c r="C38" s="45" t="s">
        <v>10</v>
      </c>
      <c r="D38" s="74"/>
      <c r="E38" s="74"/>
      <c r="F38" s="74"/>
      <c r="G38" s="74"/>
      <c r="H38" s="74"/>
      <c r="I38" s="75"/>
    </row>
    <row r="39" spans="1:9">
      <c r="A39" s="91"/>
      <c r="B39" s="91"/>
      <c r="C39" s="91"/>
      <c r="D39" s="91"/>
      <c r="E39" s="91"/>
      <c r="F39" s="91"/>
      <c r="G39" s="91"/>
      <c r="H39" s="91"/>
      <c r="I39" s="91"/>
    </row>
    <row r="40" spans="1:9">
      <c r="A40" s="91"/>
      <c r="B40" s="118">
        <v>2</v>
      </c>
      <c r="C40" s="115" t="str">
        <f>'01.09'!C42</f>
        <v>*Л. Речевое общение в профессиональной деятельности*</v>
      </c>
      <c r="D40" s="116">
        <f>'21.12'!D42+COUNTIF(D$9:D$38,$C40)</f>
        <v>5</v>
      </c>
      <c r="E40" s="116">
        <f>'21.12'!E42+COUNTIF(E$9:E$38,$C40)</f>
        <v>5</v>
      </c>
      <c r="F40" s="116">
        <f>'21.12'!F42+COUNTIF(F$9:F$38,$C40)</f>
        <v>5</v>
      </c>
      <c r="G40" s="116">
        <f>'21.12'!G42+COUNTIF(G$9:G$38,$C40)</f>
        <v>5</v>
      </c>
      <c r="H40" s="116" t="e">
        <f>'21.12'!#REF!+COUNTIF(H$9:H$38,$C40)</f>
        <v>#REF!</v>
      </c>
      <c r="I40" s="116" t="e">
        <f>'21.12'!#REF!+COUNTIF(I$9:I$38,$C40)</f>
        <v>#REF!</v>
      </c>
    </row>
    <row r="41" spans="1:9">
      <c r="A41" s="91"/>
      <c r="B41" s="118">
        <v>14</v>
      </c>
      <c r="C41" s="115" t="str">
        <f>'01.09'!C43</f>
        <v>*Пр. Речевое общение в профессиональной деятельности*</v>
      </c>
      <c r="D41" s="116">
        <f>'21.12'!D43+COUNTIF(D$9:D$38,$C41)</f>
        <v>4</v>
      </c>
      <c r="E41" s="116">
        <f>'21.12'!E43+COUNTIF(E$9:E$38,$C41)</f>
        <v>4</v>
      </c>
      <c r="F41" s="116">
        <f>'21.12'!F43+COUNTIF(F$9:F$38,$C41)</f>
        <v>4</v>
      </c>
      <c r="G41" s="116">
        <f>'21.12'!G43+COUNTIF(G$9:G$38,$C41)</f>
        <v>4</v>
      </c>
      <c r="H41" s="116" t="e">
        <f>'21.12'!#REF!+COUNTIF(H$9:H$38,$C41)</f>
        <v>#REF!</v>
      </c>
      <c r="I41" s="116" t="e">
        <f>'21.12'!#REF!+COUNTIF(I$9:I$38,$C41)</f>
        <v>#REF!</v>
      </c>
    </row>
    <row r="42" spans="1:9">
      <c r="A42" s="91"/>
      <c r="B42" s="118">
        <v>5</v>
      </c>
      <c r="C42" s="115" t="str">
        <f>'01.09'!C44</f>
        <v>*Л. Физическая культура и спорт*</v>
      </c>
      <c r="D42" s="116">
        <f>'21.12'!D44+COUNTIF(D$9:D$38,$C42)</f>
        <v>5</v>
      </c>
      <c r="E42" s="116">
        <f>'21.12'!E44+COUNTIF(E$9:E$38,$C42)</f>
        <v>5</v>
      </c>
      <c r="F42" s="116">
        <f>'21.12'!F44+COUNTIF(F$9:F$38,$C42)</f>
        <v>5</v>
      </c>
      <c r="G42" s="116">
        <f>'21.12'!G44+COUNTIF(G$9:G$38,$C42)</f>
        <v>5</v>
      </c>
      <c r="H42" s="116" t="e">
        <f>'21.12'!#REF!+COUNTIF(H$9:H$38,$C42)</f>
        <v>#REF!</v>
      </c>
      <c r="I42" s="116" t="e">
        <f>'21.12'!#REF!+COUNTIF(I$9:I$38,$C42)</f>
        <v>#REF!</v>
      </c>
    </row>
    <row r="43" spans="1:9">
      <c r="A43" s="91"/>
      <c r="B43" s="118">
        <v>11</v>
      </c>
      <c r="C43" s="115" t="str">
        <f>'01.09'!C45</f>
        <v>*Пр. Физическая культура и спорт*</v>
      </c>
      <c r="D43" s="116">
        <f>'21.12'!D45+COUNTIF(D$9:D$38,$C43)</f>
        <v>5</v>
      </c>
      <c r="E43" s="116">
        <f>'21.12'!E45+COUNTIF(E$9:E$38,$C43)</f>
        <v>5</v>
      </c>
      <c r="F43" s="116">
        <f>'21.12'!F45+COUNTIF(F$9:F$38,$C43)</f>
        <v>5</v>
      </c>
      <c r="G43" s="116">
        <f>'21.12'!G45+COUNTIF(G$9:G$38,$C43)</f>
        <v>5</v>
      </c>
      <c r="H43" s="116" t="e">
        <f>'21.12'!#REF!+COUNTIF(H$9:H$38,$C43)</f>
        <v>#REF!</v>
      </c>
      <c r="I43" s="116" t="e">
        <f>'21.12'!#REF!+COUNTIF(I$9:I$38,$C43)</f>
        <v>#REF!</v>
      </c>
    </row>
    <row r="44" spans="1:9">
      <c r="A44" s="91"/>
      <c r="B44" s="118">
        <v>7</v>
      </c>
      <c r="C44" s="115" t="str">
        <f>'01.09'!C46</f>
        <v>*Л. Анатомия*</v>
      </c>
      <c r="D44" s="116">
        <f>'21.12'!D46+COUNTIF(D$9:D$38,$C44)</f>
        <v>4</v>
      </c>
      <c r="E44" s="116">
        <f>'21.12'!E46+COUNTIF(E$9:E$38,$C44)</f>
        <v>4</v>
      </c>
      <c r="F44" s="116">
        <f>'21.12'!F46+COUNTIF(F$9:F$38,$C44)</f>
        <v>4</v>
      </c>
      <c r="G44" s="116">
        <f>'21.12'!G46+COUNTIF(G$9:G$38,$C44)</f>
        <v>4</v>
      </c>
      <c r="H44" s="116" t="e">
        <f>'21.12'!#REF!+COUNTIF(H$9:H$38,$C44)</f>
        <v>#REF!</v>
      </c>
      <c r="I44" s="116" t="e">
        <f>'21.12'!#REF!+COUNTIF(I$9:I$38,$C44)</f>
        <v>#REF!</v>
      </c>
    </row>
    <row r="45" spans="1:9">
      <c r="A45" s="91"/>
      <c r="B45" s="118">
        <v>17</v>
      </c>
      <c r="C45" s="115" t="str">
        <f>'01.09'!C47</f>
        <v>*Пр. Анатомия*</v>
      </c>
      <c r="D45" s="116">
        <f>'21.12'!D47+COUNTIF(D$9:D$38,$C45)</f>
        <v>4</v>
      </c>
      <c r="E45" s="116">
        <f>'21.12'!E47+COUNTIF(E$9:E$38,$C45)</f>
        <v>4</v>
      </c>
      <c r="F45" s="116">
        <f>'21.12'!F47+COUNTIF(F$9:F$38,$C45)</f>
        <v>4</v>
      </c>
      <c r="G45" s="116">
        <f>'21.12'!G47+COUNTIF(G$9:G$38,$C45)</f>
        <v>4</v>
      </c>
      <c r="H45" s="116" t="e">
        <f>'21.12'!#REF!+COUNTIF(H$9:H$38,$C45)</f>
        <v>#REF!</v>
      </c>
      <c r="I45" s="116" t="e">
        <f>'21.12'!#REF!+COUNTIF(I$9:I$38,$C45)</f>
        <v>#REF!</v>
      </c>
    </row>
    <row r="46" spans="1:9">
      <c r="A46" s="91"/>
      <c r="B46" s="118">
        <v>5</v>
      </c>
      <c r="C46" s="115" t="str">
        <f>'01.09'!C48</f>
        <v>*Л. Теория и методика*</v>
      </c>
      <c r="D46" s="116">
        <f>'21.12'!D48+COUNTIF(D$9:D$38,$C46)</f>
        <v>5</v>
      </c>
      <c r="E46" s="116">
        <f>'21.12'!E48+COUNTIF(E$9:E$38,$C46)</f>
        <v>5</v>
      </c>
      <c r="F46" s="116">
        <f>'21.12'!F48+COUNTIF(F$9:F$38,$C46)</f>
        <v>5</v>
      </c>
      <c r="G46" s="116">
        <f>'21.12'!G48+COUNTIF(G$9:G$38,$C46)</f>
        <v>5</v>
      </c>
      <c r="H46" s="116" t="e">
        <f>'21.12'!#REF!+COUNTIF(H$9:H$38,$C46)</f>
        <v>#REF!</v>
      </c>
      <c r="I46" s="116" t="e">
        <f>'21.12'!#REF!+COUNTIF(I$9:I$38,$C46)</f>
        <v>#REF!</v>
      </c>
    </row>
    <row r="47" spans="1:9">
      <c r="A47" s="91"/>
      <c r="B47" s="118">
        <v>45</v>
      </c>
      <c r="C47" s="115" t="str">
        <f>'01.09'!C49</f>
        <v>*Пр. Теория и методика*</v>
      </c>
      <c r="D47" s="116">
        <f>'21.12'!D49+COUNTIF(D$9:D$38,$C47)</f>
        <v>24</v>
      </c>
      <c r="E47" s="116">
        <f>'21.12'!E49+COUNTIF(E$9:E$38,$C47)</f>
        <v>25</v>
      </c>
      <c r="F47" s="116">
        <f>'21.12'!F49+COUNTIF(F$9:F$38,$C47)</f>
        <v>25</v>
      </c>
      <c r="G47" s="116">
        <f>'21.12'!G49+COUNTIF(G$9:G$38,$C47)</f>
        <v>25</v>
      </c>
      <c r="H47" s="116" t="e">
        <f>'21.12'!#REF!+COUNTIF(H$9:H$38,$C47)</f>
        <v>#REF!</v>
      </c>
      <c r="I47" s="116" t="e">
        <f>'21.12'!#REF!+COUNTIF(I$9:I$38,$C47)</f>
        <v>#REF!</v>
      </c>
    </row>
    <row r="48" spans="1:9">
      <c r="A48" s="91"/>
      <c r="B48" s="118">
        <v>1</v>
      </c>
      <c r="C48" s="115" t="str">
        <f>'01.09'!C50</f>
        <v>*Л. Информационные технологии*</v>
      </c>
      <c r="D48" s="116">
        <f>'21.12'!D50+COUNTIF(D$9:D$38,$C48)</f>
        <v>2</v>
      </c>
      <c r="E48" s="116">
        <f>'21.12'!E50+COUNTIF(E$9:E$38,$C48)</f>
        <v>2</v>
      </c>
      <c r="F48" s="116">
        <f>'21.12'!F50+COUNTIF(F$9:F$38,$C48)</f>
        <v>2</v>
      </c>
      <c r="G48" s="116">
        <f>'21.12'!G50+COUNTIF(G$9:G$38,$C48)</f>
        <v>2</v>
      </c>
      <c r="H48" s="116" t="e">
        <f>'21.12'!#REF!+COUNTIF(H$9:H$38,$C48)</f>
        <v>#REF!</v>
      </c>
      <c r="I48" s="116" t="e">
        <f>'21.12'!#REF!+COUNTIF(I$9:I$38,$C48)</f>
        <v>#REF!</v>
      </c>
    </row>
    <row r="49" spans="1:9">
      <c r="A49" s="91"/>
      <c r="B49" s="118">
        <v>23</v>
      </c>
      <c r="C49" s="115" t="str">
        <f>'01.09'!C51</f>
        <v>*Пр. Информационные технологии*</v>
      </c>
      <c r="D49" s="116">
        <f>'21.12'!D51+COUNTIF(D$9:D$38,$C49)</f>
        <v>8</v>
      </c>
      <c r="E49" s="116">
        <f>'21.12'!E51+COUNTIF(E$9:E$38,$C49)</f>
        <v>8</v>
      </c>
      <c r="F49" s="116">
        <f>'21.12'!F51+COUNTIF(F$9:F$38,$C49)</f>
        <v>8</v>
      </c>
      <c r="G49" s="116">
        <f>'21.12'!G51+COUNTIF(G$9:G$38,$C49)</f>
        <v>8</v>
      </c>
      <c r="H49" s="116" t="e">
        <f>'21.12'!#REF!+COUNTIF(H$9:H$38,$C49)</f>
        <v>#REF!</v>
      </c>
      <c r="I49" s="116" t="e">
        <f>'21.12'!#REF!+COUNTIF(I$9:I$38,$C49)</f>
        <v>#REF!</v>
      </c>
    </row>
    <row r="50" spans="1:9">
      <c r="A50" s="91"/>
      <c r="B50" s="118">
        <v>1</v>
      </c>
      <c r="C50" s="115" t="str">
        <f>'01.09'!C53</f>
        <v>*Пр. Гимнастика*</v>
      </c>
      <c r="D50" s="116">
        <f>'21.12'!D52+COUNTIF(D$9:D$38,$C50)</f>
        <v>3</v>
      </c>
      <c r="E50" s="116">
        <f>'21.12'!E52+COUNTIF(E$9:E$38,$C50)</f>
        <v>3</v>
      </c>
      <c r="F50" s="116">
        <f>'21.12'!F52+COUNTIF(F$9:F$38,$C50)</f>
        <v>3</v>
      </c>
      <c r="G50" s="116">
        <f>'21.12'!G52+COUNTIF(G$9:G$38,$C50)</f>
        <v>3</v>
      </c>
      <c r="H50" s="116" t="e">
        <f>'21.12'!#REF!+COUNTIF(H$9:H$38,$C50)</f>
        <v>#REF!</v>
      </c>
      <c r="I50" s="116" t="e">
        <f>'21.12'!#REF!+COUNTIF(I$9:I$38,$C50)</f>
        <v>#REF!</v>
      </c>
    </row>
    <row r="51" spans="1:9">
      <c r="A51" s="91"/>
      <c r="B51" s="118">
        <v>23</v>
      </c>
      <c r="C51" s="115" t="str">
        <f>'01.09'!C54</f>
        <v>*Л. Элективные дисциплины по ФКиС: Подвижные игры*</v>
      </c>
      <c r="D51" s="116">
        <f>'21.12'!D53+COUNTIF(D$9:D$38,$C51)</f>
        <v>13</v>
      </c>
      <c r="E51" s="116">
        <f>'21.12'!E53+COUNTIF(E$9:E$38,$C51)</f>
        <v>12</v>
      </c>
      <c r="F51" s="116">
        <f>'21.12'!F53+COUNTIF(F$9:F$38,$C51)</f>
        <v>12</v>
      </c>
      <c r="G51" s="116">
        <f>'21.12'!G53+COUNTIF(G$9:G$38,$C51)</f>
        <v>12</v>
      </c>
      <c r="H51" s="116" t="e">
        <f>'21.12'!#REF!+COUNTIF(H$9:H$38,$C51)</f>
        <v>#REF!</v>
      </c>
      <c r="I51" s="116" t="e">
        <f>'21.12'!#REF!+COUNTIF(I$9:I$38,$C51)</f>
        <v>#REF!</v>
      </c>
    </row>
    <row r="52" spans="1:9">
      <c r="A52" s="91"/>
      <c r="B52" s="118">
        <v>3</v>
      </c>
      <c r="C52" s="115" t="str">
        <f>'01.09'!C55</f>
        <v>*Пр. Элективные дисциплины по ФКиС: Подвижные игры*</v>
      </c>
      <c r="D52" s="116">
        <f>'21.12'!D54+COUNTIF(D$9:D$38,$C52)</f>
        <v>1</v>
      </c>
      <c r="E52" s="116">
        <f>'21.12'!E54+COUNTIF(E$9:E$38,$C52)</f>
        <v>1</v>
      </c>
      <c r="F52" s="116">
        <f>'21.12'!F54+COUNTIF(F$9:F$38,$C52)</f>
        <v>1</v>
      </c>
      <c r="G52" s="116">
        <f>'21.12'!G54+COUNTIF(G$9:G$38,$C52)</f>
        <v>1</v>
      </c>
      <c r="H52" s="116" t="e">
        <f>'21.12'!#REF!+COUNTIF(H$9:H$38,$C52)</f>
        <v>#REF!</v>
      </c>
      <c r="I52" s="116" t="e">
        <f>'21.12'!#REF!+COUNTIF(I$9:I$38,$C52)</f>
        <v>#REF!</v>
      </c>
    </row>
    <row r="53" spans="1:9">
      <c r="A53" s="91"/>
      <c r="B53" s="118">
        <v>3</v>
      </c>
      <c r="C53" s="115" t="str">
        <f>'01.09'!C56</f>
        <v>*Л. Волейбол*</v>
      </c>
      <c r="D53" s="116">
        <f>'21.12'!D55+COUNTIF(D$9:D$38,$C53)</f>
        <v>8</v>
      </c>
      <c r="E53" s="116">
        <f>'21.12'!E55+COUNTIF(E$9:E$38,$C53)</f>
        <v>8</v>
      </c>
      <c r="F53" s="116">
        <f>'21.12'!F55+COUNTIF(F$9:F$38,$C53)</f>
        <v>9</v>
      </c>
      <c r="G53" s="116">
        <f>'21.12'!G55+COUNTIF(G$9:G$38,$C53)</f>
        <v>9</v>
      </c>
      <c r="H53" s="116" t="e">
        <f>'21.12'!#REF!+COUNTIF(H$9:H$38,$C53)</f>
        <v>#REF!</v>
      </c>
      <c r="I53" s="116" t="e">
        <f>'21.12'!#REF!+COUNTIF(I$9:I$38,$C53)</f>
        <v>#REF!</v>
      </c>
    </row>
    <row r="54" spans="1:9">
      <c r="A54" s="91"/>
      <c r="B54" s="118">
        <v>3</v>
      </c>
      <c r="C54" s="115" t="str">
        <f>'01.09'!C57</f>
        <v>*Пр. Волейбол*</v>
      </c>
      <c r="D54" s="116">
        <f>'21.12'!D56+COUNTIF(D$9:D$38,$C54)</f>
        <v>1</v>
      </c>
      <c r="E54" s="116">
        <f>'21.12'!E56+COUNTIF(E$9:E$38,$C54)</f>
        <v>1</v>
      </c>
      <c r="F54" s="116">
        <f>'21.12'!F56+COUNTIF(F$9:F$38,$C54)</f>
        <v>1</v>
      </c>
      <c r="G54" s="116">
        <f>'21.12'!G56+COUNTIF(G$9:G$38,$C54)</f>
        <v>1</v>
      </c>
      <c r="H54" s="116" t="e">
        <f>'21.12'!#REF!+COUNTIF(H$9:H$38,$C54)</f>
        <v>#REF!</v>
      </c>
      <c r="I54" s="116" t="e">
        <f>'21.12'!#REF!+COUNTIF(I$9:I$38,$C54)</f>
        <v>#REF!</v>
      </c>
    </row>
    <row r="55" spans="1:9">
      <c r="A55" s="91"/>
      <c r="B55" s="118">
        <v>21</v>
      </c>
      <c r="C55" s="115" t="str">
        <f>'01.09'!C58</f>
        <v>*Л. Лыжные гонки*</v>
      </c>
      <c r="D55" s="116">
        <f>'21.12'!D57+COUNTIF(D$9:D$38,$C55)</f>
        <v>16</v>
      </c>
      <c r="E55" s="116">
        <f>'21.12'!E57+COUNTIF(E$9:E$38,$C55)</f>
        <v>16</v>
      </c>
      <c r="F55" s="116">
        <f>'21.12'!F57+COUNTIF(F$9:F$38,$C55)</f>
        <v>16</v>
      </c>
      <c r="G55" s="116">
        <f>'21.12'!G57+COUNTIF(G$9:G$38,$C55)</f>
        <v>16</v>
      </c>
      <c r="H55" s="116" t="e">
        <f>'21.12'!#REF!+COUNTIF(H$9:H$38,$C55)</f>
        <v>#REF!</v>
      </c>
      <c r="I55" s="116" t="e">
        <f>'21.12'!#REF!+COUNTIF(I$9:I$38,$C55)</f>
        <v>#REF!</v>
      </c>
    </row>
    <row r="56" spans="1:9">
      <c r="A56" s="91"/>
      <c r="B56" s="118">
        <v>16</v>
      </c>
      <c r="C56" s="115" t="str">
        <f>'01.09'!C59</f>
        <v>*Пр. Лыжные гонки*</v>
      </c>
      <c r="D56" s="116">
        <f>'21.12'!D58+COUNTIF(D$9:D$38,$C56)</f>
        <v>0</v>
      </c>
      <c r="E56" s="116">
        <f>'21.12'!E58+COUNTIF(E$9:E$38,$C56)</f>
        <v>0</v>
      </c>
      <c r="F56" s="116">
        <f>'21.12'!F58+COUNTIF(F$9:F$38,$C56)</f>
        <v>0</v>
      </c>
      <c r="G56" s="116">
        <f>'21.12'!G58+COUNTIF(G$9:G$38,$C56)</f>
        <v>0</v>
      </c>
      <c r="H56" s="116" t="e">
        <f>'21.12'!#REF!+COUNTIF(H$9:H$38,$C56)</f>
        <v>#REF!</v>
      </c>
      <c r="I56" s="116" t="e">
        <f>'21.12'!#REF!+COUNTIF(I$9:I$38,$C56)</f>
        <v>#REF!</v>
      </c>
    </row>
    <row r="57" spans="1:9">
      <c r="A57" s="91"/>
      <c r="B57" s="118">
        <v>1</v>
      </c>
      <c r="C57" s="115" t="str">
        <f>'01.09'!C60</f>
        <v>*Л. Использование электронной*</v>
      </c>
      <c r="D57" s="116">
        <f>'21.12'!D59+COUNTIF(D$9:D$38,$C57)</f>
        <v>0</v>
      </c>
      <c r="E57" s="116">
        <f>'21.12'!E59+COUNTIF(E$9:E$38,$C57)</f>
        <v>0</v>
      </c>
      <c r="F57" s="116">
        <f>'21.12'!F59+COUNTIF(F$9:F$38,$C57)</f>
        <v>0</v>
      </c>
      <c r="G57" s="116">
        <f>'21.12'!G59+COUNTIF(G$9:G$38,$C57)</f>
        <v>0</v>
      </c>
      <c r="H57" s="116" t="e">
        <f>'21.12'!#REF!+COUNTIF(H$9:H$38,$C57)</f>
        <v>#REF!</v>
      </c>
      <c r="I57" s="116" t="e">
        <f>'21.12'!#REF!+COUNTIF(I$9:I$38,$C57)</f>
        <v>#REF!</v>
      </c>
    </row>
    <row r="58" spans="1:9">
      <c r="A58" s="91"/>
      <c r="B58" s="118">
        <v>9</v>
      </c>
      <c r="C58" s="115" t="str">
        <f>'01.09'!C61</f>
        <v>*Пр. Использование электронной*</v>
      </c>
      <c r="D58" s="116">
        <f>'21.12'!D60+COUNTIF(D$9:D$38,$C58)</f>
        <v>1</v>
      </c>
      <c r="E58" s="116">
        <f>'21.12'!E60+COUNTIF(E$9:E$38,$C58)</f>
        <v>0</v>
      </c>
      <c r="F58" s="116">
        <f>'21.12'!F60+COUNTIF(F$9:F$38,$C58)</f>
        <v>0</v>
      </c>
      <c r="G58" s="116">
        <f>'21.12'!G60+COUNTIF(G$9:G$38,$C58)</f>
        <v>0</v>
      </c>
      <c r="H58" s="116" t="e">
        <f>'21.12'!#REF!+COUNTIF(H$9:H$38,$C58)</f>
        <v>#REF!</v>
      </c>
      <c r="I58" s="116" t="e">
        <f>'21.12'!#REF!+COUNTIF(I$9:I$38,$C58)</f>
        <v>#REF!</v>
      </c>
    </row>
    <row r="59" spans="1:9">
      <c r="A59" s="91"/>
      <c r="B59" s="118">
        <v>5</v>
      </c>
      <c r="C59" s="115" t="str">
        <f>'01.09'!C62</f>
        <v>*Пр. Иностранный*</v>
      </c>
      <c r="D59" s="116">
        <f>'21.12'!D61+COUNTIF(D$9:D$38,$C59)</f>
        <v>2</v>
      </c>
      <c r="E59" s="116">
        <f>'21.12'!E61+COUNTIF(E$9:E$38,$C59)</f>
        <v>2</v>
      </c>
      <c r="F59" s="116">
        <f>'21.12'!F61+COUNTIF(F$9:F$38,$C59)</f>
        <v>2</v>
      </c>
      <c r="G59" s="116">
        <f>'21.12'!G61+COUNTIF(G$9:G$38,$C59)</f>
        <v>2</v>
      </c>
      <c r="H59" s="116" t="e">
        <f>'21.12'!#REF!+COUNTIF(H$9:H$38,$C59)</f>
        <v>#REF!</v>
      </c>
      <c r="I59" s="116" t="e">
        <f>'21.12'!#REF!+COUNTIF(I$9:I$38,$C59)</f>
        <v>#REF!</v>
      </c>
    </row>
    <row r="60" spans="1:9">
      <c r="A60" s="91"/>
      <c r="B60" s="118">
        <v>11</v>
      </c>
      <c r="C60" s="115" t="e">
        <f>'01.09'!#REF!</f>
        <v>#REF!</v>
      </c>
      <c r="D60" s="116">
        <f>'21.12'!D62+COUNTIF(D$9:D$38,$C60)</f>
        <v>8</v>
      </c>
      <c r="E60" s="116">
        <f>'21.12'!E62+COUNTIF(E$9:E$38,$C60)</f>
        <v>8</v>
      </c>
      <c r="F60" s="116">
        <f>'21.12'!F62+COUNTIF(F$9:F$38,$C60)</f>
        <v>8</v>
      </c>
      <c r="G60" s="116">
        <f>'21.12'!G62+COUNTIF(G$9:G$38,$C60)</f>
        <v>8</v>
      </c>
      <c r="H60" s="116" t="e">
        <f>'21.12'!#REF!+COUNTIF(H$9:H$38,$C60)</f>
        <v>#REF!</v>
      </c>
      <c r="I60" s="116" t="e">
        <f>'21.12'!#REF!+COUNTIF(I$9:I$38,$C60)</f>
        <v>#REF!</v>
      </c>
    </row>
    <row r="61" spans="1:9">
      <c r="A61" s="91"/>
      <c r="B61" s="91"/>
      <c r="C61" s="115">
        <f>'01.09'!C63</f>
        <v>0</v>
      </c>
      <c r="D61" s="116">
        <f>'21.12'!D63+COUNTIF(D$9:D$38,$C61)</f>
        <v>0</v>
      </c>
      <c r="E61" s="116">
        <f>'21.12'!E63+COUNTIF(E$9:E$38,$C61)</f>
        <v>0</v>
      </c>
      <c r="F61" s="116">
        <f>'21.12'!F63+COUNTIF(F$9:F$38,$C61)</f>
        <v>0</v>
      </c>
      <c r="G61" s="116">
        <f>'21.12'!G63+COUNTIF(G$9:G$38,$C61)</f>
        <v>0</v>
      </c>
      <c r="H61" s="116" t="e">
        <f>'21.12'!#REF!+COUNTIF(H$9:H$38,$C61)</f>
        <v>#REF!</v>
      </c>
      <c r="I61" s="116" t="e">
        <f>'21.12'!#REF!+COUNTIF(I$9:I$38,$C61)</f>
        <v>#REF!</v>
      </c>
    </row>
    <row r="62" spans="1:9">
      <c r="A62" s="91"/>
      <c r="B62" s="91"/>
      <c r="C62" s="115">
        <f>'01.09'!C64</f>
        <v>0</v>
      </c>
      <c r="D62" s="116">
        <f>'21.12'!D64+COUNTIF(D$9:D$38,$C62)</f>
        <v>0</v>
      </c>
      <c r="E62" s="116">
        <f>'21.12'!E64+COUNTIF(E$9:E$38,$C62)</f>
        <v>0</v>
      </c>
      <c r="F62" s="116">
        <f>'21.12'!F64+COUNTIF(F$9:F$38,$C62)</f>
        <v>0</v>
      </c>
      <c r="G62" s="116">
        <f>'21.12'!G64+COUNTIF(G$9:G$38,$C62)</f>
        <v>0</v>
      </c>
      <c r="H62" s="116" t="e">
        <f>'21.12'!#REF!+COUNTIF(H$9:H$38,$C62)</f>
        <v>#REF!</v>
      </c>
      <c r="I62" s="116" t="e">
        <f>'21.12'!#REF!+COUNTIF(I$9:I$38,$C62)</f>
        <v>#REF!</v>
      </c>
    </row>
    <row r="63" spans="1:9">
      <c r="A63" s="91"/>
      <c r="B63" s="91"/>
      <c r="C63" s="115">
        <f>'01.09'!C65</f>
        <v>0</v>
      </c>
      <c r="D63" s="116">
        <f>'21.12'!D65+COUNTIF(D$9:D$38,$C63)</f>
        <v>0</v>
      </c>
      <c r="E63" s="116">
        <f>'21.12'!E65+COUNTIF(E$9:E$38,$C63)</f>
        <v>0</v>
      </c>
      <c r="F63" s="116">
        <f>'21.12'!F65+COUNTIF(F$9:F$38,$C63)</f>
        <v>0</v>
      </c>
      <c r="G63" s="116">
        <f>'21.12'!G65+COUNTIF(G$9:G$38,$C63)</f>
        <v>0</v>
      </c>
      <c r="H63" s="116" t="e">
        <f>'21.12'!#REF!+COUNTIF(H$9:H$38,$C63)</f>
        <v>#REF!</v>
      </c>
      <c r="I63" s="116" t="e">
        <f>'21.12'!#REF!+COUNTIF(I$9:I$38,$C63)</f>
        <v>#REF!</v>
      </c>
    </row>
    <row r="64" spans="1:9">
      <c r="A64" s="91"/>
      <c r="B64" s="91"/>
      <c r="C64" s="115">
        <f>'01.09'!C66</f>
        <v>0</v>
      </c>
      <c r="D64" s="116">
        <f>'21.12'!D66+COUNTIF(D$9:D$38,$C64)</f>
        <v>0</v>
      </c>
      <c r="E64" s="116">
        <f>'21.12'!E66+COUNTIF(E$9:E$38,$C64)</f>
        <v>0</v>
      </c>
      <c r="F64" s="116">
        <f>'21.12'!F66+COUNTIF(F$9:F$38,$C64)</f>
        <v>0</v>
      </c>
      <c r="G64" s="116">
        <f>'21.12'!G66+COUNTIF(G$9:G$38,$C64)</f>
        <v>0</v>
      </c>
      <c r="H64" s="116" t="e">
        <f>'21.12'!#REF!+COUNTIF(H$9:H$38,$C64)</f>
        <v>#REF!</v>
      </c>
      <c r="I64" s="116" t="e">
        <f>'21.12'!#REF!+COUNTIF(I$9:I$38,$C64)</f>
        <v>#REF!</v>
      </c>
    </row>
    <row r="65" spans="1:9">
      <c r="A65" s="91"/>
      <c r="B65" s="91"/>
      <c r="C65" s="115">
        <f>'01.09'!C67</f>
        <v>0</v>
      </c>
      <c r="D65" s="116">
        <f>'21.12'!D67+COUNTIF(D$9:D$38,$C65)</f>
        <v>0</v>
      </c>
      <c r="E65" s="116">
        <f>'21.12'!E67+COUNTIF(E$9:E$38,$C65)</f>
        <v>0</v>
      </c>
      <c r="F65" s="116">
        <f>'21.12'!F67+COUNTIF(F$9:F$38,$C65)</f>
        <v>0</v>
      </c>
      <c r="G65" s="116">
        <f>'21.12'!G67+COUNTIF(G$9:G$38,$C65)</f>
        <v>0</v>
      </c>
      <c r="H65" s="116" t="e">
        <f>'21.12'!#REF!+COUNTIF(H$9:H$38,$C65)</f>
        <v>#REF!</v>
      </c>
      <c r="I65" s="116" t="e">
        <f>'21.12'!#REF!+COUNTIF(I$9:I$38,$C65)</f>
        <v>#REF!</v>
      </c>
    </row>
    <row r="66" spans="1:9">
      <c r="A66" s="69"/>
      <c r="B66" s="69"/>
      <c r="C66" s="69"/>
      <c r="D66" s="69"/>
      <c r="E66" s="69"/>
      <c r="F66" s="69"/>
      <c r="G66" s="69"/>
      <c r="H66" s="69"/>
    </row>
    <row r="67" spans="1:9">
      <c r="A67" s="69"/>
      <c r="B67" s="69"/>
      <c r="C67" s="69"/>
      <c r="D67" s="69"/>
      <c r="E67" s="69"/>
      <c r="F67" s="69"/>
      <c r="G67" s="69"/>
      <c r="H67" s="69"/>
    </row>
    <row r="68" spans="1:9">
      <c r="A68" s="69"/>
      <c r="B68" s="69"/>
      <c r="C68" s="69"/>
      <c r="D68" s="69"/>
      <c r="E68" s="69"/>
      <c r="F68" s="69"/>
      <c r="G68" s="69"/>
      <c r="H68" s="69"/>
    </row>
    <row r="69" spans="1:9">
      <c r="A69" s="69"/>
      <c r="B69" s="69"/>
      <c r="C69" s="69"/>
      <c r="D69" s="69"/>
      <c r="E69" s="69"/>
      <c r="F69" s="69"/>
      <c r="G69" s="69"/>
      <c r="H69" s="69"/>
    </row>
    <row r="70" spans="1:9">
      <c r="A70" s="69"/>
      <c r="B70" s="69"/>
      <c r="C70" s="69"/>
      <c r="D70" s="69"/>
      <c r="E70" s="69"/>
      <c r="F70" s="69"/>
      <c r="G70" s="69"/>
      <c r="H70" s="69"/>
    </row>
    <row r="71" spans="1:9">
      <c r="A71" s="69"/>
      <c r="B71" s="69"/>
      <c r="C71" s="69"/>
      <c r="D71" s="69"/>
      <c r="E71" s="69"/>
      <c r="F71" s="69"/>
      <c r="G71" s="69"/>
      <c r="H71" s="69"/>
    </row>
    <row r="72" spans="1:9">
      <c r="A72" s="69"/>
      <c r="B72" s="69"/>
      <c r="C72" s="69"/>
      <c r="D72" s="69"/>
      <c r="E72" s="69"/>
      <c r="F72" s="69"/>
      <c r="G72" s="69"/>
      <c r="H72" s="69"/>
    </row>
    <row r="73" spans="1:9">
      <c r="A73" s="69"/>
      <c r="B73" s="69"/>
      <c r="C73" s="69"/>
      <c r="D73" s="69"/>
      <c r="E73" s="69"/>
      <c r="F73" s="69"/>
      <c r="G73" s="69"/>
      <c r="H73" s="69"/>
    </row>
    <row r="74" spans="1:9">
      <c r="A74" s="69"/>
      <c r="B74" s="69"/>
      <c r="C74" s="69"/>
      <c r="D74" s="69"/>
      <c r="E74" s="69"/>
      <c r="F74" s="69"/>
      <c r="G74" s="69"/>
      <c r="H74" s="69"/>
    </row>
  </sheetData>
  <mergeCells count="15">
    <mergeCell ref="A34:A38"/>
    <mergeCell ref="B34:B38"/>
    <mergeCell ref="A19:A23"/>
    <mergeCell ref="B19:B23"/>
    <mergeCell ref="A24:A28"/>
    <mergeCell ref="B24:B28"/>
    <mergeCell ref="A29:A33"/>
    <mergeCell ref="B29:B33"/>
    <mergeCell ref="A14:A18"/>
    <mergeCell ref="B14:B18"/>
    <mergeCell ref="A7:A8"/>
    <mergeCell ref="B7:B8"/>
    <mergeCell ref="C7:C8"/>
    <mergeCell ref="A9:A13"/>
    <mergeCell ref="B9:B13"/>
  </mergeCells>
  <conditionalFormatting sqref="D40:I40">
    <cfRule type="cellIs" dxfId="20" priority="21" operator="lessThan">
      <formula>2</formula>
    </cfRule>
  </conditionalFormatting>
  <conditionalFormatting sqref="D41:I41">
    <cfRule type="cellIs" dxfId="19" priority="20" operator="lessThan">
      <formula>14</formula>
    </cfRule>
  </conditionalFormatting>
  <conditionalFormatting sqref="D42:I42">
    <cfRule type="cellIs" dxfId="18" priority="19" operator="lessThan">
      <formula>5</formula>
    </cfRule>
  </conditionalFormatting>
  <conditionalFormatting sqref="D43:I43">
    <cfRule type="cellIs" dxfId="17" priority="18" operator="lessThan">
      <formula>11</formula>
    </cfRule>
  </conditionalFormatting>
  <conditionalFormatting sqref="D44:I44">
    <cfRule type="cellIs" dxfId="16" priority="17" operator="lessThan">
      <formula>7</formula>
    </cfRule>
  </conditionalFormatting>
  <conditionalFormatting sqref="D45:I45">
    <cfRule type="cellIs" dxfId="15" priority="16" operator="lessThan">
      <formula>17</formula>
    </cfRule>
  </conditionalFormatting>
  <conditionalFormatting sqref="D46:I46">
    <cfRule type="cellIs" dxfId="14" priority="15" operator="lessThan">
      <formula>5</formula>
    </cfRule>
  </conditionalFormatting>
  <conditionalFormatting sqref="D47:I47">
    <cfRule type="cellIs" dxfId="13" priority="14" operator="lessThan">
      <formula>45</formula>
    </cfRule>
  </conditionalFormatting>
  <conditionalFormatting sqref="D48:I48">
    <cfRule type="cellIs" dxfId="12" priority="13" operator="lessThan">
      <formula>1</formula>
    </cfRule>
  </conditionalFormatting>
  <conditionalFormatting sqref="D49:I49">
    <cfRule type="cellIs" dxfId="11" priority="12" operator="lessThan">
      <formula>23</formula>
    </cfRule>
  </conditionalFormatting>
  <conditionalFormatting sqref="D50:I50">
    <cfRule type="cellIs" dxfId="10" priority="11" operator="lessThan">
      <formula>1</formula>
    </cfRule>
  </conditionalFormatting>
  <conditionalFormatting sqref="D51:I51">
    <cfRule type="cellIs" dxfId="9" priority="10" operator="lessThan">
      <formula>23</formula>
    </cfRule>
  </conditionalFormatting>
  <conditionalFormatting sqref="D52:I52">
    <cfRule type="cellIs" dxfId="8" priority="9" operator="lessThan">
      <formula>3</formula>
    </cfRule>
  </conditionalFormatting>
  <conditionalFormatting sqref="D53:I53">
    <cfRule type="cellIs" dxfId="7" priority="8" operator="lessThan">
      <formula>3</formula>
    </cfRule>
  </conditionalFormatting>
  <conditionalFormatting sqref="D54:I54">
    <cfRule type="cellIs" dxfId="6" priority="7" operator="lessThan">
      <formula>3</formula>
    </cfRule>
  </conditionalFormatting>
  <conditionalFormatting sqref="D55:I55">
    <cfRule type="cellIs" dxfId="5" priority="6" operator="lessThan">
      <formula>21</formula>
    </cfRule>
  </conditionalFormatting>
  <conditionalFormatting sqref="D56:I56">
    <cfRule type="cellIs" dxfId="4" priority="5" operator="lessThan">
      <formula>16</formula>
    </cfRule>
  </conditionalFormatting>
  <conditionalFormatting sqref="D57:I57">
    <cfRule type="cellIs" dxfId="3" priority="4" operator="lessThan">
      <formula>1</formula>
    </cfRule>
  </conditionalFormatting>
  <conditionalFormatting sqref="D58:I58">
    <cfRule type="cellIs" dxfId="2" priority="3" operator="lessThan">
      <formula>7</formula>
    </cfRule>
  </conditionalFormatting>
  <conditionalFormatting sqref="D59:I59">
    <cfRule type="cellIs" dxfId="1" priority="2" operator="lessThan">
      <formula>5</formula>
    </cfRule>
  </conditionalFormatting>
  <conditionalFormatting sqref="D60:I60">
    <cfRule type="cellIs" dxfId="0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27</vt:i4>
      </vt:variant>
    </vt:vector>
  </HeadingPairs>
  <TitlesOfParts>
    <vt:vector size="57" baseType="lpstr">
      <vt:lpstr>титульный лист</vt:lpstr>
      <vt:lpstr>Титул</vt:lpstr>
      <vt:lpstr>приложение1</vt:lpstr>
      <vt:lpstr>расписание ПСС, ПФС</vt:lpstr>
      <vt:lpstr>Иностр язык (русский язык)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09.01</vt:lpstr>
      <vt:lpstr>09.06</vt:lpstr>
      <vt:lpstr>16.06</vt:lpstr>
      <vt:lpstr>06.01</vt:lpstr>
      <vt:lpstr>13.01</vt:lpstr>
      <vt:lpstr>'01.09'!Область_печати</vt:lpstr>
      <vt:lpstr>'02.11'!Область_печати</vt:lpstr>
      <vt:lpstr>'05.10'!Область_печати</vt:lpstr>
      <vt:lpstr>'06.01'!Область_печати</vt:lpstr>
      <vt:lpstr>'07.09'!Область_печати</vt:lpstr>
      <vt:lpstr>'07.12'!Область_печати</vt:lpstr>
      <vt:lpstr>'08.06'!Область_печати</vt:lpstr>
      <vt:lpstr>'09.01'!Область_печати</vt:lpstr>
      <vt:lpstr>'09.06'!Область_печати</vt:lpstr>
      <vt:lpstr>'09.11'!Область_печати</vt:lpstr>
      <vt:lpstr>'12.10'!Область_печати</vt:lpstr>
      <vt:lpstr>'13.01'!Область_печати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ПСС, ПФС'!Область_печати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2026-10-07T08:22:07Z</cp:lastPrinted>
  <dcterms:created xsi:type="dcterms:W3CDTF">2012-10-29T12:55:48Z</dcterms:created>
  <dcterms:modified xsi:type="dcterms:W3CDTF">2026-10-08T09:47:27Z</dcterms:modified>
</cp:coreProperties>
</file>