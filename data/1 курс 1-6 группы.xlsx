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-2027 уч.год НОВЫЙ\1 полугодие НОВЫЙ\1 полугодие НОВЫЙ\Спорт очное отделение 2026-27уч.год\1 полугодие\1 семестр -Расписание Спорт 2026-2027 г\1 курс\"/>
    </mc:Choice>
  </mc:AlternateContent>
  <bookViews>
    <workbookView xWindow="0" yWindow="780" windowWidth="19440" windowHeight="11520" tabRatio="915" firstSheet="1" activeTab="10"/>
  </bookViews>
  <sheets>
    <sheet name="титульный лист" sheetId="29" state="hidden" r:id="rId1"/>
    <sheet name="Титул" sheetId="36" r:id="rId2"/>
    <sheet name="приложение1" sheetId="26" r:id="rId3"/>
    <sheet name="расписание ПСС" sheetId="32" r:id="rId4"/>
    <sheet name="Иностр язык (русский язык)" sheetId="37" r:id="rId5"/>
    <sheet name="01.09" sheetId="2" r:id="rId6"/>
    <sheet name="07.09" sheetId="5" r:id="rId7"/>
    <sheet name="14.09" sheetId="4" r:id="rId8"/>
    <sheet name="21.09" sheetId="6" r:id="rId9"/>
    <sheet name="28.09" sheetId="7" r:id="rId10"/>
    <sheet name="05.10" sheetId="8" r:id="rId11"/>
    <sheet name="12.10" sheetId="9" r:id="rId12"/>
    <sheet name="19.10" sheetId="10" r:id="rId13"/>
    <sheet name="26.10" sheetId="11" r:id="rId14"/>
    <sheet name="02.11" sheetId="12" r:id="rId15"/>
    <sheet name="09.11" sheetId="13" r:id="rId16"/>
    <sheet name="16.11" sheetId="14" r:id="rId17"/>
    <sheet name="23.11" sheetId="15" r:id="rId18"/>
    <sheet name="30.11" sheetId="16" r:id="rId19"/>
    <sheet name="07.12" sheetId="17" r:id="rId20"/>
    <sheet name="14.12" sheetId="19" r:id="rId21"/>
    <sheet name="21.12" sheetId="18" r:id="rId22"/>
    <sheet name="28.12" sheetId="20" r:id="rId23"/>
    <sheet name="08.06" sheetId="40" state="hidden" r:id="rId24"/>
    <sheet name="15.06" sheetId="41" state="hidden" r:id="rId25"/>
    <sheet name="09.06" sheetId="38" state="hidden" r:id="rId26"/>
    <sheet name="16.06" sheetId="39" state="hidden" r:id="rId27"/>
  </sheets>
  <definedNames>
    <definedName name="SIGN" localSheetId="23">#REF!</definedName>
    <definedName name="SIGN" localSheetId="25">#REF!</definedName>
    <definedName name="SIGN" localSheetId="24">#REF!</definedName>
    <definedName name="SIGN" localSheetId="26">#REF!</definedName>
    <definedName name="SIGN" localSheetId="3">#REF!</definedName>
    <definedName name="SIGN">#REF!</definedName>
    <definedName name="SIGN_D" localSheetId="23">#REF!</definedName>
    <definedName name="SIGN_D" localSheetId="25">#REF!</definedName>
    <definedName name="SIGN_D" localSheetId="24">#REF!</definedName>
    <definedName name="SIGN_D" localSheetId="26">#REF!</definedName>
    <definedName name="SIGN_D" localSheetId="3">#REF!</definedName>
    <definedName name="SIGN_D">#REF!</definedName>
    <definedName name="Sign1" localSheetId="23">#REF!</definedName>
    <definedName name="Sign1" localSheetId="25">#REF!</definedName>
    <definedName name="Sign1" localSheetId="24">#REF!</definedName>
    <definedName name="Sign1" localSheetId="26">#REF!</definedName>
    <definedName name="Sign1" localSheetId="3">#REF!</definedName>
    <definedName name="Sign1">#REF!</definedName>
    <definedName name="и" localSheetId="23">#REF!</definedName>
    <definedName name="и" localSheetId="25">#REF!</definedName>
    <definedName name="и" localSheetId="24">#REF!</definedName>
    <definedName name="и" localSheetId="26">#REF!</definedName>
    <definedName name="и" localSheetId="3">#REF!</definedName>
    <definedName name="и">#REF!</definedName>
    <definedName name="_xlnm.Print_Area" localSheetId="5">'01.09'!$A$1:$I$37</definedName>
    <definedName name="_xlnm.Print_Area" localSheetId="14">'02.11'!$A$1:$I$39</definedName>
    <definedName name="_xlnm.Print_Area" localSheetId="10">'05.10'!$A$1:$I$39</definedName>
    <definedName name="_xlnm.Print_Area" localSheetId="6">'07.09'!$A$1:$I$39</definedName>
    <definedName name="_xlnm.Print_Area" localSheetId="19">'07.12'!$A$1:$I$39</definedName>
    <definedName name="_xlnm.Print_Area" localSheetId="23">'08.06'!$A$1:$H$40</definedName>
    <definedName name="_xlnm.Print_Area" localSheetId="25">'09.06'!$A$1:$H$39</definedName>
    <definedName name="_xlnm.Print_Area" localSheetId="15">'09.11'!$A$1:$I$39</definedName>
    <definedName name="_xlnm.Print_Area" localSheetId="11">'12.10'!$A$1:$I$39</definedName>
    <definedName name="_xlnm.Print_Area" localSheetId="7">'14.09'!$A$1:$I$39</definedName>
    <definedName name="_xlnm.Print_Area" localSheetId="20">'14.12'!$A$1:$I$39</definedName>
    <definedName name="_xlnm.Print_Area" localSheetId="24">'15.06'!$A$1:$H$64</definedName>
    <definedName name="_xlnm.Print_Area" localSheetId="26">'16.06'!$A$1:$H$68</definedName>
    <definedName name="_xlnm.Print_Area" localSheetId="16">'16.11'!$A$1:$I$39</definedName>
    <definedName name="_xlnm.Print_Area" localSheetId="12">'19.10'!$A$1:$I$39</definedName>
    <definedName name="_xlnm.Print_Area" localSheetId="8">'21.09'!$A$1:$I$39</definedName>
    <definedName name="_xlnm.Print_Area" localSheetId="21">'21.12'!$A$1:$I$39</definedName>
    <definedName name="_xlnm.Print_Area" localSheetId="17">'23.11'!$A$1:$I$39</definedName>
    <definedName name="_xlnm.Print_Area" localSheetId="13">'26.10'!$A$1:$I$39</definedName>
    <definedName name="_xlnm.Print_Area" localSheetId="9">'28.09'!$A$1:$I$39</definedName>
    <definedName name="_xlnm.Print_Area" localSheetId="22">'28.12'!$A$1:$I$65</definedName>
    <definedName name="_xlnm.Print_Area" localSheetId="18">'30.11'!$A$1:$I$39</definedName>
    <definedName name="_xlnm.Print_Area" localSheetId="2">приложение1!$A$1:$C$19</definedName>
    <definedName name="_xlnm.Print_Area" localSheetId="3">'расписание ПСС'!$A$1:$H$67</definedName>
    <definedName name="оо" localSheetId="23">#REF!</definedName>
    <definedName name="оо" localSheetId="25">#REF!</definedName>
    <definedName name="оо" localSheetId="24">#REF!</definedName>
    <definedName name="оо" localSheetId="26">#REF!</definedName>
    <definedName name="оо">#REF!</definedName>
    <definedName name="Р1" localSheetId="23">#REF!</definedName>
    <definedName name="Р1" localSheetId="25">#REF!</definedName>
    <definedName name="Р1" localSheetId="24">#REF!</definedName>
    <definedName name="Р1" localSheetId="26">#REF!</definedName>
    <definedName name="Р1" localSheetId="3">#REF!</definedName>
    <definedName name="Р1">#REF!</definedName>
    <definedName name="ыва" localSheetId="23">#REF!</definedName>
    <definedName name="ыва" localSheetId="25">#REF!</definedName>
    <definedName name="ыва" localSheetId="24">#REF!</definedName>
    <definedName name="ыва" localSheetId="26">#REF!</definedName>
    <definedName name="ыва" localSheetId="3">#REF!</definedName>
    <definedName name="ыва">#REF!</definedName>
  </definedNames>
  <calcPr calcId="162913"/>
</workbook>
</file>

<file path=xl/calcChain.xml><?xml version="1.0" encoding="utf-8"?>
<calcChain xmlns="http://schemas.openxmlformats.org/spreadsheetml/2006/main">
  <c r="F67" i="17" l="1"/>
  <c r="F68" i="17"/>
  <c r="F69" i="17"/>
  <c r="F70" i="17"/>
  <c r="F67" i="16"/>
  <c r="F68" i="16"/>
  <c r="F69" i="16"/>
  <c r="F67" i="14"/>
  <c r="F68" i="14"/>
  <c r="F68" i="11"/>
  <c r="F67" i="8"/>
  <c r="F67" i="9" s="1"/>
  <c r="F67" i="10" s="1"/>
  <c r="F67" i="11" s="1"/>
  <c r="F68" i="8"/>
  <c r="F69" i="8"/>
  <c r="F70" i="8"/>
  <c r="E40" i="2"/>
  <c r="F40" i="2"/>
  <c r="F41" i="5" s="1"/>
  <c r="F41" i="4" s="1"/>
  <c r="F41" i="6" s="1"/>
  <c r="F41" i="7" s="1"/>
  <c r="F41" i="8" s="1"/>
  <c r="F41" i="9" s="1"/>
  <c r="F41" i="10" s="1"/>
  <c r="F41" i="11" s="1"/>
  <c r="F41" i="12" s="1"/>
  <c r="F41" i="13" s="1"/>
  <c r="F41" i="14" s="1"/>
  <c r="F41" i="15" s="1"/>
  <c r="F41" i="16" s="1"/>
  <c r="F41" i="17" s="1"/>
  <c r="F41" i="18" s="1"/>
  <c r="F41" i="19" s="1"/>
  <c r="F42" i="20" s="1"/>
  <c r="E41" i="2"/>
  <c r="F41" i="2"/>
  <c r="F42" i="5" s="1"/>
  <c r="F42" i="4" s="1"/>
  <c r="F42" i="6" s="1"/>
  <c r="F42" i="7" s="1"/>
  <c r="F42" i="8" s="1"/>
  <c r="F42" i="9" s="1"/>
  <c r="F42" i="10" s="1"/>
  <c r="F42" i="11" s="1"/>
  <c r="F42" i="12" s="1"/>
  <c r="F42" i="13" s="1"/>
  <c r="F42" i="14" s="1"/>
  <c r="F42" i="15" s="1"/>
  <c r="F42" i="16" s="1"/>
  <c r="F42" i="17" s="1"/>
  <c r="F42" i="18" s="1"/>
  <c r="F42" i="19" s="1"/>
  <c r="F43" i="20" s="1"/>
  <c r="E42" i="2"/>
  <c r="F42" i="2"/>
  <c r="F43" i="5" s="1"/>
  <c r="F43" i="4" s="1"/>
  <c r="F43" i="6" s="1"/>
  <c r="F43" i="7" s="1"/>
  <c r="F43" i="8" s="1"/>
  <c r="F43" i="9" s="1"/>
  <c r="F43" i="10" s="1"/>
  <c r="F43" i="11" s="1"/>
  <c r="F43" i="12" s="1"/>
  <c r="F43" i="13" s="1"/>
  <c r="F43" i="14" s="1"/>
  <c r="F43" i="15" s="1"/>
  <c r="F43" i="16" s="1"/>
  <c r="F43" i="17" s="1"/>
  <c r="F43" i="18" s="1"/>
  <c r="F43" i="19" s="1"/>
  <c r="F44" i="20" s="1"/>
  <c r="E43" i="2"/>
  <c r="F43" i="2"/>
  <c r="F44" i="5" s="1"/>
  <c r="F44" i="4" s="1"/>
  <c r="F44" i="6" s="1"/>
  <c r="F44" i="7" s="1"/>
  <c r="F44" i="8" s="1"/>
  <c r="F44" i="9" s="1"/>
  <c r="F44" i="10" s="1"/>
  <c r="F44" i="11" s="1"/>
  <c r="F44" i="12" s="1"/>
  <c r="F44" i="13" s="1"/>
  <c r="F44" i="14" s="1"/>
  <c r="F44" i="15" s="1"/>
  <c r="F44" i="16" s="1"/>
  <c r="F44" i="17" s="1"/>
  <c r="F44" i="18" s="1"/>
  <c r="F44" i="19" s="1"/>
  <c r="F45" i="20" s="1"/>
  <c r="E44" i="2"/>
  <c r="F44" i="2"/>
  <c r="F45" i="5" s="1"/>
  <c r="F45" i="4" s="1"/>
  <c r="F45" i="6" s="1"/>
  <c r="F45" i="7" s="1"/>
  <c r="F45" i="8" s="1"/>
  <c r="F45" i="9" s="1"/>
  <c r="F45" i="10" s="1"/>
  <c r="F45" i="11" s="1"/>
  <c r="F45" i="12" s="1"/>
  <c r="F45" i="13" s="1"/>
  <c r="F45" i="14" s="1"/>
  <c r="F45" i="15" s="1"/>
  <c r="F45" i="16" s="1"/>
  <c r="F45" i="17" s="1"/>
  <c r="F45" i="18" s="1"/>
  <c r="F45" i="19" s="1"/>
  <c r="F46" i="20" s="1"/>
  <c r="E45" i="2"/>
  <c r="F45" i="2"/>
  <c r="F46" i="5" s="1"/>
  <c r="F46" i="4" s="1"/>
  <c r="F46" i="6" s="1"/>
  <c r="F46" i="7" s="1"/>
  <c r="F46" i="8" s="1"/>
  <c r="F46" i="9" s="1"/>
  <c r="F46" i="10" s="1"/>
  <c r="F46" i="11" s="1"/>
  <c r="F46" i="12" s="1"/>
  <c r="F46" i="13" s="1"/>
  <c r="F46" i="14" s="1"/>
  <c r="F46" i="15" s="1"/>
  <c r="F46" i="16" s="1"/>
  <c r="F46" i="17" s="1"/>
  <c r="F46" i="18" s="1"/>
  <c r="F46" i="19" s="1"/>
  <c r="F47" i="20" s="1"/>
  <c r="E46" i="2"/>
  <c r="F46" i="2"/>
  <c r="F47" i="5" s="1"/>
  <c r="F47" i="4" s="1"/>
  <c r="F47" i="6" s="1"/>
  <c r="F47" i="7" s="1"/>
  <c r="F47" i="8" s="1"/>
  <c r="F47" i="9" s="1"/>
  <c r="F47" i="10" s="1"/>
  <c r="F47" i="11" s="1"/>
  <c r="F47" i="12" s="1"/>
  <c r="F47" i="13" s="1"/>
  <c r="F47" i="14" s="1"/>
  <c r="F47" i="15" s="1"/>
  <c r="F47" i="16" s="1"/>
  <c r="F47" i="17" s="1"/>
  <c r="F47" i="18" s="1"/>
  <c r="F47" i="19" s="1"/>
  <c r="F48" i="20" s="1"/>
  <c r="E47" i="2"/>
  <c r="F47" i="2"/>
  <c r="F48" i="5" s="1"/>
  <c r="F48" i="4" s="1"/>
  <c r="F48" i="6" s="1"/>
  <c r="F48" i="7" s="1"/>
  <c r="F48" i="8" s="1"/>
  <c r="F48" i="9" s="1"/>
  <c r="F48" i="10" s="1"/>
  <c r="F48" i="11" s="1"/>
  <c r="F48" i="12" s="1"/>
  <c r="F48" i="13" s="1"/>
  <c r="F48" i="14" s="1"/>
  <c r="F48" i="15" s="1"/>
  <c r="F48" i="16" s="1"/>
  <c r="F48" i="17" s="1"/>
  <c r="F48" i="18" s="1"/>
  <c r="F48" i="19" s="1"/>
  <c r="F49" i="20" s="1"/>
  <c r="E48" i="2"/>
  <c r="F48" i="2"/>
  <c r="F49" i="5" s="1"/>
  <c r="F49" i="4" s="1"/>
  <c r="F49" i="6" s="1"/>
  <c r="F49" i="7" s="1"/>
  <c r="F49" i="8" s="1"/>
  <c r="F49" i="9" s="1"/>
  <c r="F49" i="10" s="1"/>
  <c r="F49" i="11" s="1"/>
  <c r="F49" i="12" s="1"/>
  <c r="F49" i="13" s="1"/>
  <c r="F49" i="14" s="1"/>
  <c r="F49" i="15" s="1"/>
  <c r="F49" i="16" s="1"/>
  <c r="F49" i="17" s="1"/>
  <c r="F49" i="18" s="1"/>
  <c r="F49" i="19" s="1"/>
  <c r="F50" i="20" s="1"/>
  <c r="E49" i="2"/>
  <c r="F49" i="2"/>
  <c r="F50" i="5" s="1"/>
  <c r="F50" i="4" s="1"/>
  <c r="F50" i="6" s="1"/>
  <c r="F50" i="7" s="1"/>
  <c r="F50" i="8" s="1"/>
  <c r="F50" i="9" s="1"/>
  <c r="F50" i="10" s="1"/>
  <c r="F50" i="11" s="1"/>
  <c r="F50" i="12" s="1"/>
  <c r="F50" i="13" s="1"/>
  <c r="F50" i="14" s="1"/>
  <c r="F50" i="15" s="1"/>
  <c r="F50" i="16" s="1"/>
  <c r="F50" i="17" s="1"/>
  <c r="F50" i="18" s="1"/>
  <c r="F50" i="19" s="1"/>
  <c r="F51" i="20" s="1"/>
  <c r="E50" i="2"/>
  <c r="F50" i="2"/>
  <c r="F51" i="5" s="1"/>
  <c r="F51" i="4" s="1"/>
  <c r="F51" i="6" s="1"/>
  <c r="F51" i="7" s="1"/>
  <c r="F51" i="8" s="1"/>
  <c r="F51" i="9" s="1"/>
  <c r="F51" i="10" s="1"/>
  <c r="F51" i="11" s="1"/>
  <c r="F51" i="12" s="1"/>
  <c r="F51" i="13" s="1"/>
  <c r="F51" i="14" s="1"/>
  <c r="F51" i="15" s="1"/>
  <c r="F51" i="16" s="1"/>
  <c r="F51" i="17" s="1"/>
  <c r="F51" i="18" s="1"/>
  <c r="F51" i="19" s="1"/>
  <c r="F52" i="20" s="1"/>
  <c r="E51" i="2"/>
  <c r="F51" i="2"/>
  <c r="F52" i="5" s="1"/>
  <c r="F52" i="4" s="1"/>
  <c r="F52" i="6" s="1"/>
  <c r="F52" i="7" s="1"/>
  <c r="F52" i="8" s="1"/>
  <c r="F52" i="9" s="1"/>
  <c r="F52" i="10" s="1"/>
  <c r="F52" i="11" s="1"/>
  <c r="F52" i="12" s="1"/>
  <c r="F52" i="13" s="1"/>
  <c r="F52" i="14" s="1"/>
  <c r="F52" i="15" s="1"/>
  <c r="F52" i="16" s="1"/>
  <c r="F52" i="17" s="1"/>
  <c r="F52" i="18" s="1"/>
  <c r="F52" i="19" s="1"/>
  <c r="F53" i="20" s="1"/>
  <c r="E52" i="2"/>
  <c r="F52" i="2"/>
  <c r="F53" i="5" s="1"/>
  <c r="F53" i="4" s="1"/>
  <c r="F53" i="6" s="1"/>
  <c r="F53" i="7" s="1"/>
  <c r="F53" i="8" s="1"/>
  <c r="F53" i="9" s="1"/>
  <c r="F53" i="10" s="1"/>
  <c r="F53" i="11" s="1"/>
  <c r="F53" i="12" s="1"/>
  <c r="F53" i="13" s="1"/>
  <c r="F53" i="14" s="1"/>
  <c r="F53" i="15" s="1"/>
  <c r="F53" i="16" s="1"/>
  <c r="F53" i="17" s="1"/>
  <c r="F53" i="18" s="1"/>
  <c r="F53" i="19" s="1"/>
  <c r="F54" i="20" s="1"/>
  <c r="E53" i="2"/>
  <c r="F53" i="2"/>
  <c r="F54" i="5" s="1"/>
  <c r="F54" i="4" s="1"/>
  <c r="F54" i="6" s="1"/>
  <c r="F54" i="7" s="1"/>
  <c r="F54" i="8" s="1"/>
  <c r="F54" i="9" s="1"/>
  <c r="F54" i="10" s="1"/>
  <c r="F54" i="11" s="1"/>
  <c r="F54" i="12" s="1"/>
  <c r="F54" i="13" s="1"/>
  <c r="F54" i="14" s="1"/>
  <c r="F54" i="15" s="1"/>
  <c r="F54" i="16" s="1"/>
  <c r="F54" i="17" s="1"/>
  <c r="F54" i="18" s="1"/>
  <c r="F54" i="19" s="1"/>
  <c r="F55" i="20" s="1"/>
  <c r="E54" i="2"/>
  <c r="F54" i="2"/>
  <c r="F55" i="5" s="1"/>
  <c r="F55" i="4" s="1"/>
  <c r="F55" i="6" s="1"/>
  <c r="F55" i="7" s="1"/>
  <c r="F55" i="8" s="1"/>
  <c r="F55" i="9" s="1"/>
  <c r="F55" i="10" s="1"/>
  <c r="F55" i="11" s="1"/>
  <c r="F55" i="12" s="1"/>
  <c r="F55" i="13" s="1"/>
  <c r="F55" i="14" s="1"/>
  <c r="F55" i="15" s="1"/>
  <c r="F55" i="16" s="1"/>
  <c r="F55" i="17" s="1"/>
  <c r="F55" i="18" s="1"/>
  <c r="F55" i="19" s="1"/>
  <c r="F56" i="20" s="1"/>
  <c r="E55" i="2"/>
  <c r="F55" i="2"/>
  <c r="F56" i="5" s="1"/>
  <c r="F56" i="4" s="1"/>
  <c r="F56" i="6" s="1"/>
  <c r="F56" i="7" s="1"/>
  <c r="F56" i="8" s="1"/>
  <c r="F56" i="9" s="1"/>
  <c r="F56" i="10" s="1"/>
  <c r="F56" i="11" s="1"/>
  <c r="F56" i="12" s="1"/>
  <c r="F56" i="13" s="1"/>
  <c r="F56" i="14" s="1"/>
  <c r="F56" i="15" s="1"/>
  <c r="F56" i="16" s="1"/>
  <c r="F56" i="17" s="1"/>
  <c r="F56" i="18" s="1"/>
  <c r="F56" i="19" s="1"/>
  <c r="F57" i="20" s="1"/>
  <c r="E56" i="2"/>
  <c r="F56" i="2"/>
  <c r="F57" i="5" s="1"/>
  <c r="F57" i="4" s="1"/>
  <c r="F57" i="6" s="1"/>
  <c r="F57" i="7" s="1"/>
  <c r="F57" i="8" s="1"/>
  <c r="F57" i="9" s="1"/>
  <c r="F57" i="10" s="1"/>
  <c r="F57" i="11" s="1"/>
  <c r="F57" i="12" s="1"/>
  <c r="F57" i="13" s="1"/>
  <c r="F57" i="14" s="1"/>
  <c r="F57" i="15" s="1"/>
  <c r="F57" i="16" s="1"/>
  <c r="F57" i="17" s="1"/>
  <c r="F57" i="18" s="1"/>
  <c r="F57" i="19" s="1"/>
  <c r="F58" i="20" s="1"/>
  <c r="E57" i="2"/>
  <c r="F57" i="2"/>
  <c r="F58" i="5" s="1"/>
  <c r="F58" i="4" s="1"/>
  <c r="F58" i="6" s="1"/>
  <c r="F58" i="7" s="1"/>
  <c r="F58" i="8" s="1"/>
  <c r="F58" i="9" s="1"/>
  <c r="F58" i="10" s="1"/>
  <c r="F58" i="11" s="1"/>
  <c r="F58" i="12" s="1"/>
  <c r="F58" i="13" s="1"/>
  <c r="F58" i="14" s="1"/>
  <c r="F58" i="15" s="1"/>
  <c r="F58" i="16" s="1"/>
  <c r="F58" i="17" s="1"/>
  <c r="F58" i="18" s="1"/>
  <c r="F58" i="19" s="1"/>
  <c r="F59" i="20" s="1"/>
  <c r="E58" i="2"/>
  <c r="F58" i="2"/>
  <c r="F59" i="5" s="1"/>
  <c r="F59" i="4" s="1"/>
  <c r="F59" i="6" s="1"/>
  <c r="F59" i="7" s="1"/>
  <c r="F59" i="8" s="1"/>
  <c r="F59" i="9" s="1"/>
  <c r="F59" i="10" s="1"/>
  <c r="F59" i="11" s="1"/>
  <c r="F59" i="12" s="1"/>
  <c r="F59" i="13" s="1"/>
  <c r="F59" i="14" s="1"/>
  <c r="F59" i="15" s="1"/>
  <c r="F59" i="16" s="1"/>
  <c r="F59" i="17" s="1"/>
  <c r="F59" i="18" s="1"/>
  <c r="F59" i="19" s="1"/>
  <c r="F60" i="20" s="1"/>
  <c r="E59" i="2"/>
  <c r="F59" i="2"/>
  <c r="F60" i="5" s="1"/>
  <c r="F60" i="4" s="1"/>
  <c r="F60" i="6" s="1"/>
  <c r="F60" i="7" s="1"/>
  <c r="F60" i="8" s="1"/>
  <c r="F60" i="9" s="1"/>
  <c r="F60" i="10" s="1"/>
  <c r="F60" i="11" s="1"/>
  <c r="F60" i="12" s="1"/>
  <c r="F60" i="13" s="1"/>
  <c r="F60" i="14" s="1"/>
  <c r="F60" i="15" s="1"/>
  <c r="F60" i="16" s="1"/>
  <c r="F60" i="17" s="1"/>
  <c r="F60" i="18" s="1"/>
  <c r="F60" i="19" s="1"/>
  <c r="F61" i="20" s="1"/>
  <c r="E60" i="2"/>
  <c r="F60" i="2"/>
  <c r="E61" i="2"/>
  <c r="F61" i="2"/>
  <c r="E62" i="2"/>
  <c r="F62" i="2"/>
  <c r="E63" i="2"/>
  <c r="F63" i="2"/>
  <c r="E64" i="2"/>
  <c r="F64" i="2"/>
  <c r="F65" i="5" s="1"/>
  <c r="F65" i="4" s="1"/>
  <c r="F65" i="6" s="1"/>
  <c r="F65" i="7" s="1"/>
  <c r="F65" i="8" s="1"/>
  <c r="F65" i="9" s="1"/>
  <c r="F65" i="10" s="1"/>
  <c r="F65" i="11" s="1"/>
  <c r="F65" i="12" s="1"/>
  <c r="F65" i="13" s="1"/>
  <c r="F65" i="14" s="1"/>
  <c r="F65" i="15" s="1"/>
  <c r="F65" i="16" s="1"/>
  <c r="F65" i="17" s="1"/>
  <c r="F65" i="18" s="1"/>
  <c r="F65" i="19" s="1"/>
  <c r="F66" i="20" s="1"/>
  <c r="E65" i="2"/>
  <c r="F65" i="2"/>
  <c r="F66" i="5" s="1"/>
  <c r="F66" i="4" s="1"/>
  <c r="F66" i="6" s="1"/>
  <c r="F66" i="7" s="1"/>
  <c r="F66" i="8" s="1"/>
  <c r="F66" i="9" s="1"/>
  <c r="F66" i="10" s="1"/>
  <c r="F66" i="11" s="1"/>
  <c r="F66" i="12" s="1"/>
  <c r="F66" i="13" s="1"/>
  <c r="F66" i="14" s="1"/>
  <c r="F66" i="15" s="1"/>
  <c r="F66" i="16" s="1"/>
  <c r="F66" i="17" s="1"/>
  <c r="F66" i="18" s="1"/>
  <c r="F66" i="19" s="1"/>
  <c r="F67" i="20" s="1"/>
  <c r="F39" i="2"/>
  <c r="F40" i="5" s="1"/>
  <c r="F40" i="4" s="1"/>
  <c r="F40" i="6" s="1"/>
  <c r="F40" i="7" s="1"/>
  <c r="F40" i="8" s="1"/>
  <c r="F40" i="9" s="1"/>
  <c r="F40" i="10" s="1"/>
  <c r="F40" i="11" s="1"/>
  <c r="F40" i="12" s="1"/>
  <c r="F40" i="13" s="1"/>
  <c r="F40" i="14" s="1"/>
  <c r="F40" i="15" s="1"/>
  <c r="F40" i="16" s="1"/>
  <c r="F40" i="17" s="1"/>
  <c r="F40" i="18" s="1"/>
  <c r="F40" i="19" s="1"/>
  <c r="F41" i="20" s="1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C67" i="41" l="1"/>
  <c r="C66" i="41"/>
  <c r="C65" i="41"/>
  <c r="C64" i="41"/>
  <c r="C63" i="41"/>
  <c r="C62" i="41"/>
  <c r="C61" i="41"/>
  <c r="C60" i="41"/>
  <c r="C59" i="41"/>
  <c r="C58" i="41"/>
  <c r="C57" i="41"/>
  <c r="C56" i="41"/>
  <c r="C55" i="41"/>
  <c r="C54" i="41"/>
  <c r="C53" i="41"/>
  <c r="C52" i="41"/>
  <c r="C51" i="41"/>
  <c r="C50" i="41"/>
  <c r="C49" i="41"/>
  <c r="C48" i="41"/>
  <c r="C47" i="41"/>
  <c r="C46" i="41"/>
  <c r="C45" i="41"/>
  <c r="C44" i="41"/>
  <c r="C43" i="41"/>
  <c r="C42" i="41"/>
  <c r="C41" i="41"/>
  <c r="B14" i="41"/>
  <c r="B20" i="41" s="1"/>
  <c r="B25" i="41" s="1"/>
  <c r="B30" i="41" s="1"/>
  <c r="B35" i="41" s="1"/>
  <c r="C67" i="40"/>
  <c r="C66" i="40"/>
  <c r="C65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B14" i="40"/>
  <c r="B20" i="40" s="1"/>
  <c r="B25" i="40" s="1"/>
  <c r="B30" i="40" s="1"/>
  <c r="B35" i="40" s="1"/>
  <c r="C67" i="20" l="1"/>
  <c r="C66" i="12"/>
  <c r="C66" i="7"/>
  <c r="C66" i="4"/>
  <c r="D65" i="2"/>
  <c r="C65" i="6" l="1"/>
  <c r="C66" i="6"/>
  <c r="C65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D64" i="2"/>
  <c r="C41" i="9" l="1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3" i="39"/>
  <c r="C64" i="39"/>
  <c r="C65" i="39"/>
  <c r="C66" i="39"/>
  <c r="C67" i="39"/>
  <c r="C68" i="39"/>
  <c r="C69" i="39"/>
  <c r="D69" i="39" s="1"/>
  <c r="C70" i="39"/>
  <c r="F70" i="39" s="1"/>
  <c r="D70" i="39"/>
  <c r="C61" i="38"/>
  <c r="C62" i="38"/>
  <c r="C63" i="38"/>
  <c r="C64" i="38"/>
  <c r="C65" i="38"/>
  <c r="C66" i="38"/>
  <c r="C62" i="20"/>
  <c r="C63" i="20"/>
  <c r="C64" i="20"/>
  <c r="C65" i="20"/>
  <c r="C66" i="20"/>
  <c r="C61" i="19"/>
  <c r="C62" i="19"/>
  <c r="C63" i="19"/>
  <c r="C64" i="19"/>
  <c r="C65" i="19"/>
  <c r="C66" i="19"/>
  <c r="C61" i="18"/>
  <c r="C62" i="18"/>
  <c r="C63" i="18"/>
  <c r="C64" i="18"/>
  <c r="C65" i="18"/>
  <c r="C66" i="18"/>
  <c r="C60" i="17"/>
  <c r="C61" i="17"/>
  <c r="C62" i="17"/>
  <c r="C63" i="17"/>
  <c r="C64" i="17"/>
  <c r="C65" i="17"/>
  <c r="C66" i="17"/>
  <c r="C67" i="17"/>
  <c r="C68" i="17"/>
  <c r="C69" i="17"/>
  <c r="C70" i="17"/>
  <c r="D70" i="17" s="1"/>
  <c r="C60" i="16"/>
  <c r="C61" i="16"/>
  <c r="C62" i="16"/>
  <c r="C63" i="16"/>
  <c r="C64" i="16"/>
  <c r="C65" i="16"/>
  <c r="C66" i="16"/>
  <c r="C67" i="16"/>
  <c r="E67" i="16" s="1"/>
  <c r="C68" i="16"/>
  <c r="D68" i="16" s="1"/>
  <c r="C69" i="16"/>
  <c r="E69" i="16" s="1"/>
  <c r="E69" i="17" s="1"/>
  <c r="C61" i="15"/>
  <c r="C62" i="15"/>
  <c r="C63" i="15"/>
  <c r="C64" i="15"/>
  <c r="C65" i="15"/>
  <c r="C66" i="15"/>
  <c r="C61" i="14"/>
  <c r="C62" i="14"/>
  <c r="C63" i="14"/>
  <c r="C64" i="14"/>
  <c r="C65" i="14"/>
  <c r="C66" i="14"/>
  <c r="C67" i="14"/>
  <c r="D67" i="14" s="1"/>
  <c r="C68" i="14"/>
  <c r="D68" i="14" s="1"/>
  <c r="C61" i="13"/>
  <c r="C62" i="13"/>
  <c r="C63" i="13"/>
  <c r="C64" i="13"/>
  <c r="C65" i="13"/>
  <c r="C66" i="13"/>
  <c r="C62" i="12"/>
  <c r="C63" i="12"/>
  <c r="C64" i="12"/>
  <c r="C65" i="12"/>
  <c r="C61" i="11"/>
  <c r="C62" i="11"/>
  <c r="C63" i="11"/>
  <c r="C64" i="11"/>
  <c r="C65" i="11"/>
  <c r="C66" i="11"/>
  <c r="C67" i="11"/>
  <c r="C68" i="11"/>
  <c r="G68" i="11" s="1"/>
  <c r="C61" i="10"/>
  <c r="C62" i="10"/>
  <c r="C63" i="10"/>
  <c r="C64" i="10"/>
  <c r="C65" i="10"/>
  <c r="C66" i="10"/>
  <c r="C67" i="10"/>
  <c r="C61" i="8"/>
  <c r="C62" i="8"/>
  <c r="C63" i="8"/>
  <c r="C64" i="8"/>
  <c r="C65" i="8"/>
  <c r="C66" i="8"/>
  <c r="C67" i="8"/>
  <c r="D67" i="8" s="1"/>
  <c r="C68" i="8"/>
  <c r="G68" i="8" s="1"/>
  <c r="C69" i="8"/>
  <c r="D69" i="8" s="1"/>
  <c r="C70" i="8"/>
  <c r="G70" i="8" s="1"/>
  <c r="C61" i="7"/>
  <c r="C62" i="7"/>
  <c r="C63" i="7"/>
  <c r="C64" i="7"/>
  <c r="C65" i="7"/>
  <c r="C61" i="6"/>
  <c r="C62" i="6"/>
  <c r="C63" i="6"/>
  <c r="C64" i="6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F61" i="5" s="1"/>
  <c r="F61" i="4" s="1"/>
  <c r="F61" i="6" s="1"/>
  <c r="F61" i="7" s="1"/>
  <c r="F61" i="8" s="1"/>
  <c r="F61" i="9" s="1"/>
  <c r="F61" i="10" s="1"/>
  <c r="F61" i="11" s="1"/>
  <c r="C62" i="5"/>
  <c r="F62" i="5" s="1"/>
  <c r="F62" i="4" s="1"/>
  <c r="F62" i="6" s="1"/>
  <c r="F62" i="7" s="1"/>
  <c r="F62" i="8" s="1"/>
  <c r="F62" i="9" s="1"/>
  <c r="F62" i="10" s="1"/>
  <c r="F62" i="11" s="1"/>
  <c r="F62" i="12" s="1"/>
  <c r="F62" i="13" s="1"/>
  <c r="F62" i="14" s="1"/>
  <c r="F62" i="15" s="1"/>
  <c r="F62" i="16" s="1"/>
  <c r="F62" i="17" s="1"/>
  <c r="F62" i="18" s="1"/>
  <c r="F62" i="19" s="1"/>
  <c r="F63" i="20" s="1"/>
  <c r="C63" i="5"/>
  <c r="F63" i="5" s="1"/>
  <c r="F63" i="4" s="1"/>
  <c r="F63" i="6" s="1"/>
  <c r="F63" i="7" s="1"/>
  <c r="F63" i="8" s="1"/>
  <c r="F63" i="9" s="1"/>
  <c r="F63" i="10" s="1"/>
  <c r="F63" i="11" s="1"/>
  <c r="F63" i="12" s="1"/>
  <c r="F63" i="13" s="1"/>
  <c r="F63" i="14" s="1"/>
  <c r="F63" i="15" s="1"/>
  <c r="F63" i="16" s="1"/>
  <c r="F63" i="17" s="1"/>
  <c r="F63" i="18" s="1"/>
  <c r="F63" i="19" s="1"/>
  <c r="F64" i="20" s="1"/>
  <c r="C64" i="5"/>
  <c r="F64" i="5" s="1"/>
  <c r="F64" i="4" s="1"/>
  <c r="F64" i="6" s="1"/>
  <c r="F64" i="7" s="1"/>
  <c r="F64" i="8" s="1"/>
  <c r="F64" i="9" s="1"/>
  <c r="F64" i="10" s="1"/>
  <c r="F64" i="11" s="1"/>
  <c r="F64" i="12" s="1"/>
  <c r="F64" i="13" s="1"/>
  <c r="F64" i="14" s="1"/>
  <c r="F64" i="15" s="1"/>
  <c r="F64" i="16" s="1"/>
  <c r="F64" i="17" s="1"/>
  <c r="F64" i="18" s="1"/>
  <c r="F64" i="19" s="1"/>
  <c r="F65" i="20" s="1"/>
  <c r="C65" i="5"/>
  <c r="G65" i="5" s="1"/>
  <c r="G65" i="4" s="1"/>
  <c r="G65" i="6" s="1"/>
  <c r="C66" i="5"/>
  <c r="D66" i="5" s="1"/>
  <c r="D66" i="4" s="1"/>
  <c r="D66" i="6" s="1"/>
  <c r="D66" i="7" s="1"/>
  <c r="D61" i="2"/>
  <c r="D62" i="2"/>
  <c r="H63" i="5"/>
  <c r="H63" i="4" s="1"/>
  <c r="D63" i="2"/>
  <c r="H64" i="5"/>
  <c r="H64" i="4" s="1"/>
  <c r="H62" i="5" l="1"/>
  <c r="H62" i="4" s="1"/>
  <c r="H62" i="6" s="1"/>
  <c r="H62" i="7" s="1"/>
  <c r="H62" i="8" s="1"/>
  <c r="H68" i="14"/>
  <c r="I70" i="8"/>
  <c r="I68" i="8"/>
  <c r="E70" i="8"/>
  <c r="E68" i="8"/>
  <c r="G63" i="5"/>
  <c r="G63" i="4" s="1"/>
  <c r="G63" i="6" s="1"/>
  <c r="G63" i="7" s="1"/>
  <c r="G63" i="8" s="1"/>
  <c r="E63" i="5"/>
  <c r="E63" i="4" s="1"/>
  <c r="E63" i="6" s="1"/>
  <c r="E63" i="7" s="1"/>
  <c r="E63" i="8" s="1"/>
  <c r="G62" i="5"/>
  <c r="G62" i="4" s="1"/>
  <c r="G62" i="6" s="1"/>
  <c r="G62" i="7" s="1"/>
  <c r="G62" i="8" s="1"/>
  <c r="G65" i="7"/>
  <c r="G65" i="8" s="1"/>
  <c r="G65" i="9" s="1"/>
  <c r="G65" i="10" s="1"/>
  <c r="G65" i="11" s="1"/>
  <c r="G65" i="12" s="1"/>
  <c r="G65" i="13" s="1"/>
  <c r="G65" i="14" s="1"/>
  <c r="G65" i="15" s="1"/>
  <c r="G65" i="16" s="1"/>
  <c r="G65" i="17" s="1"/>
  <c r="G65" i="18" s="1"/>
  <c r="G65" i="19" s="1"/>
  <c r="G66" i="20" s="1"/>
  <c r="I63" i="5"/>
  <c r="I63" i="4" s="1"/>
  <c r="I63" i="6" s="1"/>
  <c r="I63" i="7" s="1"/>
  <c r="I63" i="8" s="1"/>
  <c r="D63" i="5"/>
  <c r="D63" i="4" s="1"/>
  <c r="D63" i="6" s="1"/>
  <c r="D63" i="7" s="1"/>
  <c r="D63" i="8" s="1"/>
  <c r="H70" i="39"/>
  <c r="H68" i="16"/>
  <c r="H68" i="17" s="1"/>
  <c r="I69" i="16"/>
  <c r="I69" i="17" s="1"/>
  <c r="G68" i="16"/>
  <c r="G68" i="17" s="1"/>
  <c r="D69" i="16"/>
  <c r="D69" i="17" s="1"/>
  <c r="E68" i="16"/>
  <c r="E68" i="17" s="1"/>
  <c r="G68" i="14"/>
  <c r="E68" i="14"/>
  <c r="I68" i="14"/>
  <c r="D67" i="9"/>
  <c r="D67" i="10" s="1"/>
  <c r="D67" i="11" s="1"/>
  <c r="G69" i="8"/>
  <c r="H70" i="8"/>
  <c r="H69" i="8"/>
  <c r="H68" i="8"/>
  <c r="G67" i="8"/>
  <c r="G67" i="9" s="1"/>
  <c r="G67" i="10" s="1"/>
  <c r="G67" i="11" s="1"/>
  <c r="G70" i="17"/>
  <c r="D70" i="8"/>
  <c r="D68" i="8"/>
  <c r="H70" i="17"/>
  <c r="G64" i="5"/>
  <c r="G64" i="4" s="1"/>
  <c r="G64" i="6" s="1"/>
  <c r="G64" i="7" s="1"/>
  <c r="G64" i="8" s="1"/>
  <c r="G64" i="9" s="1"/>
  <c r="G64" i="10" s="1"/>
  <c r="G64" i="11" s="1"/>
  <c r="G64" i="12" s="1"/>
  <c r="G64" i="13" s="1"/>
  <c r="G64" i="14" s="1"/>
  <c r="G64" i="15" s="1"/>
  <c r="G64" i="16" s="1"/>
  <c r="G64" i="17" s="1"/>
  <c r="G64" i="18" s="1"/>
  <c r="G64" i="19" s="1"/>
  <c r="G65" i="20" s="1"/>
  <c r="D62" i="5"/>
  <c r="D62" i="4" s="1"/>
  <c r="D62" i="6" s="1"/>
  <c r="D62" i="7" s="1"/>
  <c r="D62" i="8" s="1"/>
  <c r="G70" i="39"/>
  <c r="E70" i="39"/>
  <c r="I68" i="11"/>
  <c r="H68" i="11"/>
  <c r="E68" i="11"/>
  <c r="D68" i="11"/>
  <c r="F69" i="39"/>
  <c r="G67" i="14"/>
  <c r="E67" i="17"/>
  <c r="H67" i="8"/>
  <c r="H67" i="9" s="1"/>
  <c r="H67" i="10" s="1"/>
  <c r="H67" i="11" s="1"/>
  <c r="D66" i="8"/>
  <c r="D66" i="9" s="1"/>
  <c r="D66" i="10" s="1"/>
  <c r="D66" i="11" s="1"/>
  <c r="D66" i="12" s="1"/>
  <c r="D66" i="13" s="1"/>
  <c r="D66" i="14" s="1"/>
  <c r="D66" i="15" s="1"/>
  <c r="D66" i="16" s="1"/>
  <c r="D66" i="17" s="1"/>
  <c r="D66" i="18" s="1"/>
  <c r="D66" i="19" s="1"/>
  <c r="D67" i="20" s="1"/>
  <c r="I67" i="16"/>
  <c r="I67" i="17" s="1"/>
  <c r="H67" i="16"/>
  <c r="H67" i="17" s="1"/>
  <c r="H67" i="14"/>
  <c r="D67" i="16"/>
  <c r="D67" i="17" s="1"/>
  <c r="G69" i="39"/>
  <c r="D68" i="17"/>
  <c r="H65" i="5"/>
  <c r="H65" i="4" s="1"/>
  <c r="H65" i="6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6" i="20" s="1"/>
  <c r="E65" i="5"/>
  <c r="E65" i="4" s="1"/>
  <c r="E65" i="6" s="1"/>
  <c r="E65" i="7" s="1"/>
  <c r="E65" i="8" s="1"/>
  <c r="E65" i="9" s="1"/>
  <c r="E65" i="10" s="1"/>
  <c r="E65" i="11" s="1"/>
  <c r="E65" i="12" s="1"/>
  <c r="E65" i="13" s="1"/>
  <c r="E65" i="14" s="1"/>
  <c r="E65" i="15" s="1"/>
  <c r="E65" i="16" s="1"/>
  <c r="E65" i="17" s="1"/>
  <c r="E65" i="18" s="1"/>
  <c r="E65" i="19" s="1"/>
  <c r="E66" i="20" s="1"/>
  <c r="I65" i="5"/>
  <c r="I65" i="4" s="1"/>
  <c r="I65" i="6" s="1"/>
  <c r="I65" i="7" s="1"/>
  <c r="I65" i="8" s="1"/>
  <c r="I65" i="9" s="1"/>
  <c r="I65" i="10" s="1"/>
  <c r="I65" i="11" s="1"/>
  <c r="I65" i="12" s="1"/>
  <c r="I65" i="13" s="1"/>
  <c r="I65" i="14" s="1"/>
  <c r="I65" i="15" s="1"/>
  <c r="I65" i="16" s="1"/>
  <c r="I65" i="17" s="1"/>
  <c r="I65" i="18" s="1"/>
  <c r="I65" i="19" s="1"/>
  <c r="I66" i="20" s="1"/>
  <c r="D65" i="5"/>
  <c r="D65" i="4" s="1"/>
  <c r="D65" i="6" s="1"/>
  <c r="D65" i="7" s="1"/>
  <c r="D65" i="8" s="1"/>
  <c r="D65" i="9" s="1"/>
  <c r="D65" i="10" s="1"/>
  <c r="D65" i="11" s="1"/>
  <c r="D65" i="12" s="1"/>
  <c r="D65" i="13" s="1"/>
  <c r="D65" i="14" s="1"/>
  <c r="D65" i="15" s="1"/>
  <c r="D65" i="16" s="1"/>
  <c r="D65" i="17" s="1"/>
  <c r="D65" i="18" s="1"/>
  <c r="D65" i="19" s="1"/>
  <c r="D66" i="20" s="1"/>
  <c r="H66" i="5"/>
  <c r="H66" i="4" s="1"/>
  <c r="H66" i="6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7" i="20" s="1"/>
  <c r="G66" i="5"/>
  <c r="G66" i="4" s="1"/>
  <c r="G66" i="6" s="1"/>
  <c r="G66" i="7" s="1"/>
  <c r="G66" i="8" s="1"/>
  <c r="G66" i="9" s="1"/>
  <c r="G66" i="10" s="1"/>
  <c r="G66" i="11" s="1"/>
  <c r="G66" i="12" s="1"/>
  <c r="G66" i="13" s="1"/>
  <c r="G66" i="14" s="1"/>
  <c r="G66" i="15" s="1"/>
  <c r="G66" i="16" s="1"/>
  <c r="G66" i="17" s="1"/>
  <c r="G66" i="18" s="1"/>
  <c r="G66" i="19" s="1"/>
  <c r="G67" i="20" s="1"/>
  <c r="D64" i="5"/>
  <c r="D64" i="4" s="1"/>
  <c r="D64" i="6" s="1"/>
  <c r="D64" i="7" s="1"/>
  <c r="D64" i="8" s="1"/>
  <c r="D64" i="9" s="1"/>
  <c r="D64" i="10" s="1"/>
  <c r="D64" i="11" s="1"/>
  <c r="D64" i="12" s="1"/>
  <c r="D64" i="13" s="1"/>
  <c r="D64" i="14" s="1"/>
  <c r="D64" i="15" s="1"/>
  <c r="D64" i="16" s="1"/>
  <c r="D64" i="17" s="1"/>
  <c r="D64" i="18" s="1"/>
  <c r="D64" i="19" s="1"/>
  <c r="D65" i="20" s="1"/>
  <c r="E69" i="39"/>
  <c r="H69" i="39"/>
  <c r="E70" i="17"/>
  <c r="I70" i="17"/>
  <c r="H69" i="16"/>
  <c r="H69" i="17" s="1"/>
  <c r="G69" i="16"/>
  <c r="G69" i="17" s="1"/>
  <c r="I68" i="16"/>
  <c r="I68" i="17" s="1"/>
  <c r="G67" i="16"/>
  <c r="G67" i="17" s="1"/>
  <c r="E67" i="14"/>
  <c r="I67" i="14"/>
  <c r="E69" i="8"/>
  <c r="E67" i="8"/>
  <c r="E67" i="9" s="1"/>
  <c r="E67" i="10" s="1"/>
  <c r="E67" i="11" s="1"/>
  <c r="I69" i="8"/>
  <c r="I67" i="8"/>
  <c r="I67" i="9" s="1"/>
  <c r="I67" i="10" s="1"/>
  <c r="I67" i="11" s="1"/>
  <c r="H64" i="6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5" i="20" s="1"/>
  <c r="H63" i="6"/>
  <c r="H63" i="7" s="1"/>
  <c r="H63" i="8" s="1"/>
  <c r="E66" i="5"/>
  <c r="E66" i="4" s="1"/>
  <c r="E66" i="6" s="1"/>
  <c r="E66" i="7" s="1"/>
  <c r="E66" i="8" s="1"/>
  <c r="E66" i="9" s="1"/>
  <c r="E66" i="10" s="1"/>
  <c r="E66" i="11" s="1"/>
  <c r="E66" i="12" s="1"/>
  <c r="E66" i="13" s="1"/>
  <c r="E66" i="14" s="1"/>
  <c r="E66" i="15" s="1"/>
  <c r="E66" i="16" s="1"/>
  <c r="E66" i="17" s="1"/>
  <c r="E66" i="18" s="1"/>
  <c r="E66" i="19" s="1"/>
  <c r="E67" i="20" s="1"/>
  <c r="E64" i="5"/>
  <c r="E62" i="5"/>
  <c r="I66" i="5"/>
  <c r="I66" i="4" s="1"/>
  <c r="I66" i="6" s="1"/>
  <c r="I66" i="7" s="1"/>
  <c r="I66" i="8" s="1"/>
  <c r="I66" i="9" s="1"/>
  <c r="I66" i="10" s="1"/>
  <c r="I66" i="11" s="1"/>
  <c r="I66" i="12" s="1"/>
  <c r="I66" i="13" s="1"/>
  <c r="I66" i="14" s="1"/>
  <c r="I66" i="15" s="1"/>
  <c r="I66" i="16" s="1"/>
  <c r="I66" i="17" s="1"/>
  <c r="I66" i="18" s="1"/>
  <c r="I66" i="19" s="1"/>
  <c r="I67" i="20" s="1"/>
  <c r="I64" i="5"/>
  <c r="I62" i="5"/>
  <c r="G65" i="38" l="1"/>
  <c r="G67" i="39" s="1"/>
  <c r="G66" i="40"/>
  <c r="G66" i="41" s="1"/>
  <c r="E65" i="38"/>
  <c r="E67" i="39" s="1"/>
  <c r="E66" i="40"/>
  <c r="E66" i="41" s="1"/>
  <c r="F64" i="38"/>
  <c r="F66" i="39" s="1"/>
  <c r="F65" i="40"/>
  <c r="F65" i="41" s="1"/>
  <c r="E66" i="38"/>
  <c r="E68" i="39" s="1"/>
  <c r="E67" i="40"/>
  <c r="E67" i="41" s="1"/>
  <c r="G66" i="38"/>
  <c r="G68" i="39" s="1"/>
  <c r="G67" i="40"/>
  <c r="G67" i="41" s="1"/>
  <c r="H66" i="38"/>
  <c r="H68" i="39" s="1"/>
  <c r="H67" i="40"/>
  <c r="H67" i="41" s="1"/>
  <c r="D65" i="38"/>
  <c r="D67" i="39" s="1"/>
  <c r="D66" i="40"/>
  <c r="D66" i="41" s="1"/>
  <c r="F66" i="38"/>
  <c r="F68" i="39" s="1"/>
  <c r="F67" i="40"/>
  <c r="F67" i="41" s="1"/>
  <c r="D66" i="38"/>
  <c r="D68" i="39" s="1"/>
  <c r="D67" i="40"/>
  <c r="D67" i="41" s="1"/>
  <c r="G64" i="38"/>
  <c r="G66" i="39" s="1"/>
  <c r="G65" i="40"/>
  <c r="G65" i="41" s="1"/>
  <c r="D64" i="38"/>
  <c r="D66" i="39" s="1"/>
  <c r="D65" i="40"/>
  <c r="D65" i="41" s="1"/>
  <c r="H65" i="38"/>
  <c r="H67" i="39" s="1"/>
  <c r="H66" i="40"/>
  <c r="H66" i="41" s="1"/>
  <c r="F65" i="38"/>
  <c r="F67" i="39" s="1"/>
  <c r="F66" i="40"/>
  <c r="F66" i="41" s="1"/>
  <c r="I62" i="4"/>
  <c r="I62" i="6" s="1"/>
  <c r="I62" i="7" s="1"/>
  <c r="I62" i="8" s="1"/>
  <c r="I62" i="9" s="1"/>
  <c r="I62" i="10" s="1"/>
  <c r="I62" i="11" s="1"/>
  <c r="I62" i="12" s="1"/>
  <c r="I62" i="13" s="1"/>
  <c r="I62" i="14" s="1"/>
  <c r="I62" i="15" s="1"/>
  <c r="I62" i="16" s="1"/>
  <c r="I62" i="17" s="1"/>
  <c r="I62" i="18" s="1"/>
  <c r="I62" i="19" s="1"/>
  <c r="I63" i="20" s="1"/>
  <c r="E62" i="4"/>
  <c r="E62" i="6" s="1"/>
  <c r="E62" i="7" s="1"/>
  <c r="E62" i="8" s="1"/>
  <c r="E62" i="9" s="1"/>
  <c r="E62" i="10" s="1"/>
  <c r="E62" i="11" s="1"/>
  <c r="E62" i="12" s="1"/>
  <c r="E62" i="13" s="1"/>
  <c r="E62" i="14" s="1"/>
  <c r="E62" i="15" s="1"/>
  <c r="E62" i="16" s="1"/>
  <c r="E62" i="17" s="1"/>
  <c r="E62" i="18" s="1"/>
  <c r="E62" i="19" s="1"/>
  <c r="E63" i="20" s="1"/>
  <c r="I64" i="4"/>
  <c r="I64" i="6" s="1"/>
  <c r="I64" i="7" s="1"/>
  <c r="I64" i="8" s="1"/>
  <c r="I64" i="9" s="1"/>
  <c r="I64" i="10" s="1"/>
  <c r="I64" i="11" s="1"/>
  <c r="I64" i="12" s="1"/>
  <c r="I64" i="13" s="1"/>
  <c r="I64" i="14" s="1"/>
  <c r="I64" i="15" s="1"/>
  <c r="I64" i="16" s="1"/>
  <c r="I64" i="17" s="1"/>
  <c r="I64" i="18" s="1"/>
  <c r="I64" i="19" s="1"/>
  <c r="I65" i="20" s="1"/>
  <c r="E64" i="4"/>
  <c r="E64" i="6" s="1"/>
  <c r="E64" i="7" s="1"/>
  <c r="E64" i="8" s="1"/>
  <c r="E64" i="9" s="1"/>
  <c r="E64" i="10" s="1"/>
  <c r="E64" i="11" s="1"/>
  <c r="E64" i="12" s="1"/>
  <c r="E64" i="13" s="1"/>
  <c r="E64" i="14" s="1"/>
  <c r="E64" i="15" s="1"/>
  <c r="E64" i="16" s="1"/>
  <c r="E64" i="17" s="1"/>
  <c r="E64" i="18" s="1"/>
  <c r="E64" i="19" s="1"/>
  <c r="E65" i="20" s="1"/>
  <c r="D62" i="9"/>
  <c r="D62" i="10" s="1"/>
  <c r="D62" i="11" s="1"/>
  <c r="D62" i="12" s="1"/>
  <c r="D62" i="13" s="1"/>
  <c r="D62" i="14" s="1"/>
  <c r="D62" i="15" s="1"/>
  <c r="D62" i="16" s="1"/>
  <c r="D62" i="17" s="1"/>
  <c r="D62" i="18" s="1"/>
  <c r="D62" i="19" s="1"/>
  <c r="D63" i="20" s="1"/>
  <c r="H63" i="9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4" i="20" s="1"/>
  <c r="H62" i="9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3" i="20" s="1"/>
  <c r="G63" i="9"/>
  <c r="G63" i="10" s="1"/>
  <c r="G63" i="11" s="1"/>
  <c r="G63" i="12" s="1"/>
  <c r="G63" i="13" s="1"/>
  <c r="G63" i="14" s="1"/>
  <c r="G63" i="15" s="1"/>
  <c r="G63" i="16" s="1"/>
  <c r="G63" i="17" s="1"/>
  <c r="G63" i="18" s="1"/>
  <c r="G63" i="19" s="1"/>
  <c r="G64" i="20" s="1"/>
  <c r="G62" i="9"/>
  <c r="G62" i="10" s="1"/>
  <c r="G62" i="11" s="1"/>
  <c r="G62" i="12" s="1"/>
  <c r="G62" i="13" s="1"/>
  <c r="G62" i="14" s="1"/>
  <c r="G62" i="15" s="1"/>
  <c r="G62" i="16" s="1"/>
  <c r="G62" i="17" s="1"/>
  <c r="G62" i="18" s="1"/>
  <c r="G62" i="19" s="1"/>
  <c r="G63" i="20" s="1"/>
  <c r="E63" i="9"/>
  <c r="E63" i="10" s="1"/>
  <c r="E63" i="11" s="1"/>
  <c r="E63" i="12" s="1"/>
  <c r="E63" i="13" s="1"/>
  <c r="E63" i="14" s="1"/>
  <c r="E63" i="15" s="1"/>
  <c r="E63" i="16" s="1"/>
  <c r="E63" i="17" s="1"/>
  <c r="E63" i="18" s="1"/>
  <c r="E63" i="19" s="1"/>
  <c r="E64" i="20" s="1"/>
  <c r="D63" i="9"/>
  <c r="D63" i="10" s="1"/>
  <c r="D63" i="11" s="1"/>
  <c r="D63" i="12" s="1"/>
  <c r="D63" i="13" s="1"/>
  <c r="D63" i="14" s="1"/>
  <c r="D63" i="15" s="1"/>
  <c r="D63" i="16" s="1"/>
  <c r="D63" i="17" s="1"/>
  <c r="D63" i="18" s="1"/>
  <c r="D63" i="19" s="1"/>
  <c r="D64" i="20" s="1"/>
  <c r="I63" i="9"/>
  <c r="I63" i="10" s="1"/>
  <c r="I63" i="11" s="1"/>
  <c r="I63" i="12" s="1"/>
  <c r="I63" i="13" s="1"/>
  <c r="I63" i="14" s="1"/>
  <c r="I63" i="15" s="1"/>
  <c r="I63" i="16" s="1"/>
  <c r="I63" i="17" s="1"/>
  <c r="I63" i="18" s="1"/>
  <c r="I63" i="19" s="1"/>
  <c r="I64" i="20" s="1"/>
  <c r="C62" i="39"/>
  <c r="C61" i="39"/>
  <c r="C60" i="39"/>
  <c r="C59" i="39"/>
  <c r="C58" i="39"/>
  <c r="C57" i="39"/>
  <c r="C56" i="39"/>
  <c r="C55" i="39"/>
  <c r="C54" i="39"/>
  <c r="C53" i="39"/>
  <c r="C52" i="39"/>
  <c r="C51" i="39"/>
  <c r="C50" i="39"/>
  <c r="C49" i="39"/>
  <c r="C48" i="39"/>
  <c r="C47" i="39"/>
  <c r="C46" i="39"/>
  <c r="C45" i="39"/>
  <c r="C44" i="39"/>
  <c r="C43" i="39"/>
  <c r="C42" i="39"/>
  <c r="B14" i="39"/>
  <c r="B20" i="39" s="1"/>
  <c r="B25" i="39" s="1"/>
  <c r="B31" i="39" s="1"/>
  <c r="B36" i="39" s="1"/>
  <c r="C60" i="38"/>
  <c r="C59" i="38"/>
  <c r="C58" i="38"/>
  <c r="C57" i="38"/>
  <c r="C56" i="38"/>
  <c r="C55" i="38"/>
  <c r="C54" i="38"/>
  <c r="C53" i="38"/>
  <c r="C52" i="38"/>
  <c r="C51" i="38"/>
  <c r="C50" i="38"/>
  <c r="C49" i="38"/>
  <c r="C48" i="38"/>
  <c r="C47" i="38"/>
  <c r="C46" i="38"/>
  <c r="C45" i="38"/>
  <c r="C44" i="38"/>
  <c r="C43" i="38"/>
  <c r="C42" i="38"/>
  <c r="C41" i="38"/>
  <c r="C40" i="38"/>
  <c r="B14" i="38"/>
  <c r="B19" i="38" s="1"/>
  <c r="B24" i="38" s="1"/>
  <c r="B29" i="38" s="1"/>
  <c r="B34" i="38" s="1"/>
  <c r="E62" i="38" l="1"/>
  <c r="E64" i="39" s="1"/>
  <c r="E63" i="40"/>
  <c r="E63" i="41" s="1"/>
  <c r="F62" i="38"/>
  <c r="F64" i="39" s="1"/>
  <c r="F63" i="40"/>
  <c r="F63" i="41" s="1"/>
  <c r="D62" i="38"/>
  <c r="D64" i="39" s="1"/>
  <c r="D63" i="40"/>
  <c r="D63" i="41" s="1"/>
  <c r="H62" i="38"/>
  <c r="H64" i="39" s="1"/>
  <c r="H63" i="40"/>
  <c r="H63" i="41" s="1"/>
  <c r="H63" i="38"/>
  <c r="H65" i="39" s="1"/>
  <c r="H64" i="40"/>
  <c r="H64" i="41" s="1"/>
  <c r="F63" i="38"/>
  <c r="F65" i="39" s="1"/>
  <c r="F64" i="40"/>
  <c r="F64" i="41" s="1"/>
  <c r="E64" i="38"/>
  <c r="E66" i="39" s="1"/>
  <c r="E65" i="40"/>
  <c r="E65" i="41" s="1"/>
  <c r="E63" i="38"/>
  <c r="E65" i="39" s="1"/>
  <c r="E64" i="40"/>
  <c r="E64" i="41" s="1"/>
  <c r="G63" i="38"/>
  <c r="G65" i="39" s="1"/>
  <c r="G64" i="40"/>
  <c r="G64" i="41" s="1"/>
  <c r="D63" i="38"/>
  <c r="D65" i="39" s="1"/>
  <c r="D64" i="40"/>
  <c r="D64" i="41" s="1"/>
  <c r="G62" i="38"/>
  <c r="G64" i="39" s="1"/>
  <c r="G63" i="40"/>
  <c r="G63" i="41" s="1"/>
  <c r="H64" i="38"/>
  <c r="H66" i="39" s="1"/>
  <c r="H65" i="40"/>
  <c r="H65" i="41" s="1"/>
  <c r="B13" i="5"/>
  <c r="B19" i="5" s="1"/>
  <c r="B24" i="5" s="1"/>
  <c r="B29" i="5" s="1"/>
  <c r="B34" i="5" s="1"/>
  <c r="D40" i="2"/>
  <c r="D39" i="2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41" i="20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40" i="18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40" i="16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40" i="13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F61" i="12" s="1"/>
  <c r="F61" i="13" s="1"/>
  <c r="F61" i="14" s="1"/>
  <c r="F61" i="15" s="1"/>
  <c r="F61" i="16" s="1"/>
  <c r="F61" i="17" s="1"/>
  <c r="F61" i="18" s="1"/>
  <c r="F61" i="19" s="1"/>
  <c r="F62" i="20" s="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41" i="5"/>
  <c r="C42" i="5"/>
  <c r="C43" i="5"/>
  <c r="D41" i="2"/>
  <c r="G42" i="5"/>
  <c r="G42" i="4" s="1"/>
  <c r="D42" i="2"/>
  <c r="G43" i="5"/>
  <c r="G43" i="4" s="1"/>
  <c r="D43" i="2"/>
  <c r="D44" i="5" s="1"/>
  <c r="D44" i="4" s="1"/>
  <c r="E44" i="5"/>
  <c r="E44" i="4" s="1"/>
  <c r="G44" i="5"/>
  <c r="G44" i="4" s="1"/>
  <c r="H44" i="5"/>
  <c r="H44" i="4" s="1"/>
  <c r="I44" i="5"/>
  <c r="I44" i="4" s="1"/>
  <c r="D44" i="2"/>
  <c r="D45" i="5" s="1"/>
  <c r="D45" i="4" s="1"/>
  <c r="E45" i="5"/>
  <c r="E45" i="4" s="1"/>
  <c r="G45" i="5"/>
  <c r="G45" i="4" s="1"/>
  <c r="H45" i="5"/>
  <c r="H45" i="4" s="1"/>
  <c r="I45" i="5"/>
  <c r="I45" i="4" s="1"/>
  <c r="D45" i="2"/>
  <c r="D46" i="5" s="1"/>
  <c r="D46" i="4" s="1"/>
  <c r="E46" i="5"/>
  <c r="E46" i="4" s="1"/>
  <c r="G46" i="5"/>
  <c r="G46" i="4" s="1"/>
  <c r="H46" i="5"/>
  <c r="H46" i="4" s="1"/>
  <c r="I46" i="5"/>
  <c r="I46" i="4" s="1"/>
  <c r="D46" i="2"/>
  <c r="D47" i="5" s="1"/>
  <c r="D47" i="4" s="1"/>
  <c r="E47" i="5"/>
  <c r="E47" i="4" s="1"/>
  <c r="G47" i="5"/>
  <c r="G47" i="4" s="1"/>
  <c r="H47" i="5"/>
  <c r="H47" i="4" s="1"/>
  <c r="I47" i="5"/>
  <c r="I47" i="4" s="1"/>
  <c r="D47" i="2"/>
  <c r="D48" i="5" s="1"/>
  <c r="D48" i="4" s="1"/>
  <c r="E48" i="5"/>
  <c r="E48" i="4" s="1"/>
  <c r="G48" i="5"/>
  <c r="G48" i="4" s="1"/>
  <c r="H48" i="5"/>
  <c r="H48" i="4" s="1"/>
  <c r="I48" i="5"/>
  <c r="I48" i="4" s="1"/>
  <c r="D48" i="2"/>
  <c r="D49" i="5" s="1"/>
  <c r="D49" i="4" s="1"/>
  <c r="E49" i="5"/>
  <c r="E49" i="4" s="1"/>
  <c r="G49" i="5"/>
  <c r="G49" i="4" s="1"/>
  <c r="H49" i="5"/>
  <c r="H49" i="4" s="1"/>
  <c r="I49" i="5"/>
  <c r="I49" i="4" s="1"/>
  <c r="D49" i="2"/>
  <c r="D50" i="5" s="1"/>
  <c r="D50" i="4" s="1"/>
  <c r="E50" i="5"/>
  <c r="E50" i="4" s="1"/>
  <c r="G50" i="5"/>
  <c r="G50" i="4" s="1"/>
  <c r="H50" i="5"/>
  <c r="H50" i="4" s="1"/>
  <c r="I50" i="5"/>
  <c r="I50" i="4" s="1"/>
  <c r="D50" i="2"/>
  <c r="D51" i="5" s="1"/>
  <c r="D51" i="4" s="1"/>
  <c r="E51" i="5"/>
  <c r="E51" i="4" s="1"/>
  <c r="G51" i="5"/>
  <c r="G51" i="4" s="1"/>
  <c r="H51" i="5"/>
  <c r="H51" i="4" s="1"/>
  <c r="I51" i="5"/>
  <c r="I51" i="4" s="1"/>
  <c r="D51" i="2"/>
  <c r="D52" i="5" s="1"/>
  <c r="D52" i="4" s="1"/>
  <c r="E52" i="5"/>
  <c r="E52" i="4" s="1"/>
  <c r="G52" i="5"/>
  <c r="G52" i="4" s="1"/>
  <c r="H52" i="5"/>
  <c r="H52" i="4" s="1"/>
  <c r="I52" i="5"/>
  <c r="I52" i="4" s="1"/>
  <c r="D52" i="2"/>
  <c r="D53" i="5" s="1"/>
  <c r="D53" i="4" s="1"/>
  <c r="E53" i="5"/>
  <c r="E53" i="4" s="1"/>
  <c r="G53" i="5"/>
  <c r="G53" i="4" s="1"/>
  <c r="H53" i="5"/>
  <c r="H53" i="4" s="1"/>
  <c r="I53" i="5"/>
  <c r="I53" i="4" s="1"/>
  <c r="D53" i="2"/>
  <c r="D54" i="5" s="1"/>
  <c r="D54" i="4" s="1"/>
  <c r="E54" i="5"/>
  <c r="E54" i="4" s="1"/>
  <c r="G54" i="5"/>
  <c r="G54" i="4" s="1"/>
  <c r="H54" i="5"/>
  <c r="H54" i="4" s="1"/>
  <c r="I54" i="5"/>
  <c r="I54" i="4" s="1"/>
  <c r="D54" i="2"/>
  <c r="D55" i="5" s="1"/>
  <c r="D55" i="4" s="1"/>
  <c r="E55" i="5"/>
  <c r="E55" i="4" s="1"/>
  <c r="G55" i="5"/>
  <c r="G55" i="4" s="1"/>
  <c r="H55" i="5"/>
  <c r="H55" i="4" s="1"/>
  <c r="I55" i="5"/>
  <c r="I55" i="4" s="1"/>
  <c r="D55" i="2"/>
  <c r="D56" i="5" s="1"/>
  <c r="D56" i="4" s="1"/>
  <c r="E56" i="5"/>
  <c r="E56" i="4" s="1"/>
  <c r="G56" i="5"/>
  <c r="G56" i="4" s="1"/>
  <c r="H56" i="5"/>
  <c r="H56" i="4" s="1"/>
  <c r="I56" i="5"/>
  <c r="I56" i="4" s="1"/>
  <c r="D56" i="2"/>
  <c r="D57" i="5" s="1"/>
  <c r="D57" i="4" s="1"/>
  <c r="E57" i="5"/>
  <c r="E57" i="4" s="1"/>
  <c r="G57" i="5"/>
  <c r="G57" i="4" s="1"/>
  <c r="H57" i="5"/>
  <c r="H57" i="4" s="1"/>
  <c r="I57" i="5"/>
  <c r="I57" i="4" s="1"/>
  <c r="D57" i="2"/>
  <c r="D58" i="5" s="1"/>
  <c r="D58" i="4" s="1"/>
  <c r="E58" i="5"/>
  <c r="E58" i="4" s="1"/>
  <c r="G58" i="5"/>
  <c r="G58" i="4" s="1"/>
  <c r="H58" i="5"/>
  <c r="H58" i="4" s="1"/>
  <c r="I58" i="5"/>
  <c r="I58" i="4" s="1"/>
  <c r="D58" i="2"/>
  <c r="D59" i="5" s="1"/>
  <c r="D59" i="4" s="1"/>
  <c r="E59" i="5"/>
  <c r="E59" i="4" s="1"/>
  <c r="G59" i="5"/>
  <c r="G59" i="4" s="1"/>
  <c r="H59" i="5"/>
  <c r="H59" i="4" s="1"/>
  <c r="I59" i="5"/>
  <c r="I59" i="4" s="1"/>
  <c r="D59" i="2"/>
  <c r="D60" i="5" s="1"/>
  <c r="D60" i="4" s="1"/>
  <c r="E60" i="5"/>
  <c r="E60" i="4" s="1"/>
  <c r="G60" i="5"/>
  <c r="G60" i="4" s="1"/>
  <c r="H60" i="5"/>
  <c r="H60" i="4" s="1"/>
  <c r="I60" i="5"/>
  <c r="I60" i="4" s="1"/>
  <c r="D60" i="2"/>
  <c r="D61" i="5" s="1"/>
  <c r="D61" i="4" s="1"/>
  <c r="D61" i="6" s="1"/>
  <c r="D61" i="7" s="1"/>
  <c r="D61" i="8" s="1"/>
  <c r="D61" i="9" s="1"/>
  <c r="E61" i="5"/>
  <c r="E61" i="4" s="1"/>
  <c r="E61" i="6" s="1"/>
  <c r="E61" i="7" s="1"/>
  <c r="E61" i="8" s="1"/>
  <c r="E61" i="9" s="1"/>
  <c r="G61" i="5"/>
  <c r="G61" i="4" s="1"/>
  <c r="G61" i="6" s="1"/>
  <c r="G61" i="7" s="1"/>
  <c r="G61" i="8" s="1"/>
  <c r="G61" i="9" s="1"/>
  <c r="H61" i="5"/>
  <c r="H61" i="4" s="1"/>
  <c r="H61" i="6" s="1"/>
  <c r="H61" i="7" s="1"/>
  <c r="H61" i="8" s="1"/>
  <c r="H61" i="9" s="1"/>
  <c r="I61" i="5"/>
  <c r="I61" i="4" s="1"/>
  <c r="I61" i="6" s="1"/>
  <c r="I61" i="7" s="1"/>
  <c r="I61" i="8" s="1"/>
  <c r="I61" i="9" s="1"/>
  <c r="E39" i="2"/>
  <c r="B13" i="2"/>
  <c r="B18" i="2" s="1"/>
  <c r="B23" i="2" s="1"/>
  <c r="B28" i="2" s="1"/>
  <c r="B33" i="2" s="1"/>
  <c r="B14" i="20"/>
  <c r="B20" i="20" s="1"/>
  <c r="B25" i="20" s="1"/>
  <c r="B30" i="20" s="1"/>
  <c r="B35" i="20" s="1"/>
  <c r="B13" i="19"/>
  <c r="B19" i="19" s="1"/>
  <c r="B24" i="19" s="1"/>
  <c r="B29" i="19" s="1"/>
  <c r="B34" i="19" s="1"/>
  <c r="B13" i="18"/>
  <c r="B19" i="18" s="1"/>
  <c r="B24" i="18" s="1"/>
  <c r="B29" i="18" s="1"/>
  <c r="B34" i="18" s="1"/>
  <c r="B13" i="17"/>
  <c r="B19" i="17" s="1"/>
  <c r="B24" i="17" s="1"/>
  <c r="B29" i="17" s="1"/>
  <c r="B34" i="17" s="1"/>
  <c r="B13" i="16"/>
  <c r="B19" i="16" s="1"/>
  <c r="B24" i="16" s="1"/>
  <c r="B29" i="16" s="1"/>
  <c r="B34" i="16" s="1"/>
  <c r="B13" i="15"/>
  <c r="B19" i="15" s="1"/>
  <c r="B24" i="15" s="1"/>
  <c r="B29" i="15" s="1"/>
  <c r="B34" i="15" s="1"/>
  <c r="B13" i="14"/>
  <c r="B19" i="14" s="1"/>
  <c r="B24" i="14" s="1"/>
  <c r="B29" i="14" s="1"/>
  <c r="B34" i="14" s="1"/>
  <c r="B13" i="13"/>
  <c r="B19" i="13" s="1"/>
  <c r="B24" i="13" s="1"/>
  <c r="B29" i="13" s="1"/>
  <c r="B34" i="13" s="1"/>
  <c r="B13" i="12"/>
  <c r="B19" i="12" s="1"/>
  <c r="B24" i="12" s="1"/>
  <c r="B29" i="12" s="1"/>
  <c r="B34" i="12" s="1"/>
  <c r="B13" i="11"/>
  <c r="B19" i="11" s="1"/>
  <c r="B24" i="11" s="1"/>
  <c r="B29" i="11" s="1"/>
  <c r="B34" i="11" s="1"/>
  <c r="B13" i="10"/>
  <c r="B19" i="10" s="1"/>
  <c r="B24" i="10" s="1"/>
  <c r="B29" i="10" s="1"/>
  <c r="B34" i="10" s="1"/>
  <c r="B13" i="9"/>
  <c r="B19" i="9" s="1"/>
  <c r="B24" i="9" s="1"/>
  <c r="B29" i="9" s="1"/>
  <c r="B34" i="9" s="1"/>
  <c r="B13" i="8"/>
  <c r="B19" i="8" s="1"/>
  <c r="B24" i="8" s="1"/>
  <c r="B29" i="8" s="1"/>
  <c r="B34" i="8" s="1"/>
  <c r="B13" i="7"/>
  <c r="B19" i="7" s="1"/>
  <c r="B24" i="7" s="1"/>
  <c r="B29" i="7" s="1"/>
  <c r="B34" i="7" s="1"/>
  <c r="B13" i="6"/>
  <c r="B19" i="6" s="1"/>
  <c r="B24" i="6" s="1"/>
  <c r="B29" i="6" s="1"/>
  <c r="B34" i="6" s="1"/>
  <c r="B13" i="4"/>
  <c r="B19" i="4" s="1"/>
  <c r="B24" i="4" s="1"/>
  <c r="B29" i="4" s="1"/>
  <c r="B34" i="4" s="1"/>
  <c r="B66" i="32"/>
  <c r="B65" i="32"/>
  <c r="B64" i="32"/>
  <c r="B63" i="32"/>
  <c r="B62" i="32"/>
  <c r="B61" i="32"/>
  <c r="B60" i="32"/>
  <c r="B59" i="32"/>
  <c r="B58" i="32"/>
  <c r="B57" i="32"/>
  <c r="B56" i="32"/>
  <c r="B55" i="32"/>
  <c r="B54" i="32"/>
  <c r="B53" i="32"/>
  <c r="B52" i="32"/>
  <c r="B51" i="32"/>
  <c r="B50" i="32"/>
  <c r="B49" i="32"/>
  <c r="B48" i="32"/>
  <c r="B47" i="32"/>
  <c r="B46" i="32"/>
  <c r="B45" i="32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40" i="5"/>
  <c r="C40" i="6"/>
  <c r="C40" i="7"/>
  <c r="C40" i="8"/>
  <c r="C40" i="9"/>
  <c r="C40" i="10"/>
  <c r="C40" i="11"/>
  <c r="C40" i="12"/>
  <c r="C40" i="14"/>
  <c r="C40" i="15"/>
  <c r="C40" i="17"/>
  <c r="C40" i="19"/>
  <c r="C40" i="4"/>
  <c r="E43" i="5" l="1"/>
  <c r="E43" i="4" s="1"/>
  <c r="E43" i="6" s="1"/>
  <c r="E43" i="7" s="1"/>
  <c r="E43" i="8" s="1"/>
  <c r="I43" i="5"/>
  <c r="I43" i="4" s="1"/>
  <c r="H43" i="5"/>
  <c r="H43" i="4" s="1"/>
  <c r="H43" i="6" s="1"/>
  <c r="H43" i="7" s="1"/>
  <c r="H43" i="8" s="1"/>
  <c r="E41" i="5"/>
  <c r="E41" i="4" s="1"/>
  <c r="E41" i="6" s="1"/>
  <c r="E41" i="7" s="1"/>
  <c r="E41" i="8" s="1"/>
  <c r="I41" i="5"/>
  <c r="I41" i="4" s="1"/>
  <c r="I41" i="6" s="1"/>
  <c r="I41" i="7" s="1"/>
  <c r="I41" i="8" s="1"/>
  <c r="I42" i="5"/>
  <c r="I42" i="4" s="1"/>
  <c r="I42" i="6" s="1"/>
  <c r="I42" i="7" s="1"/>
  <c r="I42" i="8" s="1"/>
  <c r="H42" i="5"/>
  <c r="H42" i="4" s="1"/>
  <c r="H42" i="6" s="1"/>
  <c r="H42" i="7" s="1"/>
  <c r="H42" i="8" s="1"/>
  <c r="I40" i="5"/>
  <c r="E40" i="5"/>
  <c r="H40" i="5"/>
  <c r="H40" i="4" s="1"/>
  <c r="H40" i="6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1" i="20" s="1"/>
  <c r="E42" i="5"/>
  <c r="E42" i="4" s="1"/>
  <c r="E42" i="6" s="1"/>
  <c r="E42" i="7" s="1"/>
  <c r="E42" i="8" s="1"/>
  <c r="G41" i="5"/>
  <c r="G40" i="5"/>
  <c r="H41" i="5"/>
  <c r="G54" i="6"/>
  <c r="G54" i="7" s="1"/>
  <c r="G54" i="8" s="1"/>
  <c r="H54" i="6"/>
  <c r="H54" i="7" s="1"/>
  <c r="H54" i="8" s="1"/>
  <c r="E54" i="6"/>
  <c r="E54" i="7" s="1"/>
  <c r="E54" i="8" s="1"/>
  <c r="D62" i="32"/>
  <c r="D57" i="6"/>
  <c r="D57" i="7" s="1"/>
  <c r="D57" i="8" s="1"/>
  <c r="G49" i="6"/>
  <c r="G49" i="7" s="1"/>
  <c r="G49" i="8" s="1"/>
  <c r="D50" i="6"/>
  <c r="D50" i="7" s="1"/>
  <c r="D50" i="8" s="1"/>
  <c r="E49" i="6"/>
  <c r="E49" i="7" s="1"/>
  <c r="E49" i="8" s="1"/>
  <c r="H58" i="6"/>
  <c r="H58" i="7" s="1"/>
  <c r="H58" i="8" s="1"/>
  <c r="F63" i="32"/>
  <c r="G55" i="6"/>
  <c r="G55" i="7" s="1"/>
  <c r="G55" i="8" s="1"/>
  <c r="H50" i="6"/>
  <c r="H50" i="7" s="1"/>
  <c r="H50" i="8" s="1"/>
  <c r="G50" i="6"/>
  <c r="G50" i="7" s="1"/>
  <c r="G50" i="8" s="1"/>
  <c r="F64" i="32"/>
  <c r="G51" i="6"/>
  <c r="G51" i="7" s="1"/>
  <c r="G51" i="8" s="1"/>
  <c r="G47" i="6"/>
  <c r="G47" i="7" s="1"/>
  <c r="G47" i="8" s="1"/>
  <c r="D52" i="32"/>
  <c r="G53" i="6"/>
  <c r="G53" i="7" s="1"/>
  <c r="G53" i="8" s="1"/>
  <c r="G57" i="32"/>
  <c r="I45" i="6"/>
  <c r="I45" i="7" s="1"/>
  <c r="I45" i="8" s="1"/>
  <c r="C50" i="32"/>
  <c r="F61" i="32"/>
  <c r="G65" i="32"/>
  <c r="C57" i="32"/>
  <c r="I49" i="6"/>
  <c r="I49" i="7" s="1"/>
  <c r="I49" i="8" s="1"/>
  <c r="D50" i="32"/>
  <c r="G44" i="6"/>
  <c r="G44" i="7" s="1"/>
  <c r="G44" i="8" s="1"/>
  <c r="I60" i="6"/>
  <c r="I60" i="7" s="1"/>
  <c r="I60" i="8" s="1"/>
  <c r="C53" i="32"/>
  <c r="D41" i="5"/>
  <c r="G60" i="6"/>
  <c r="G60" i="7" s="1"/>
  <c r="G60" i="8" s="1"/>
  <c r="I58" i="6"/>
  <c r="I58" i="7" s="1"/>
  <c r="I58" i="8" s="1"/>
  <c r="G57" i="6"/>
  <c r="G57" i="7" s="1"/>
  <c r="G57" i="8" s="1"/>
  <c r="H56" i="6"/>
  <c r="H56" i="7" s="1"/>
  <c r="H56" i="8" s="1"/>
  <c r="D56" i="6"/>
  <c r="D56" i="7" s="1"/>
  <c r="D56" i="8" s="1"/>
  <c r="G52" i="6"/>
  <c r="G52" i="7" s="1"/>
  <c r="G52" i="8" s="1"/>
  <c r="I50" i="6"/>
  <c r="I50" i="7" s="1"/>
  <c r="I50" i="8" s="1"/>
  <c r="E50" i="6"/>
  <c r="E50" i="7" s="1"/>
  <c r="E50" i="8" s="1"/>
  <c r="I48" i="6"/>
  <c r="I48" i="7" s="1"/>
  <c r="I48" i="8" s="1"/>
  <c r="E48" i="6"/>
  <c r="E48" i="7" s="1"/>
  <c r="E48" i="8" s="1"/>
  <c r="H44" i="6"/>
  <c r="H44" i="7" s="1"/>
  <c r="H44" i="8" s="1"/>
  <c r="D44" i="6"/>
  <c r="D44" i="7" s="1"/>
  <c r="D44" i="8" s="1"/>
  <c r="E60" i="6"/>
  <c r="E60" i="7" s="1"/>
  <c r="E60" i="8" s="1"/>
  <c r="I52" i="6"/>
  <c r="I52" i="7" s="1"/>
  <c r="I52" i="8" s="1"/>
  <c r="D57" i="32"/>
  <c r="H48" i="6"/>
  <c r="H48" i="7" s="1"/>
  <c r="H48" i="8" s="1"/>
  <c r="I56" i="6"/>
  <c r="I56" i="7" s="1"/>
  <c r="I56" i="8" s="1"/>
  <c r="D61" i="32"/>
  <c r="D54" i="6"/>
  <c r="D54" i="7" s="1"/>
  <c r="D54" i="8" s="1"/>
  <c r="H49" i="6"/>
  <c r="H49" i="7" s="1"/>
  <c r="H49" i="8" s="1"/>
  <c r="D49" i="6"/>
  <c r="D49" i="7" s="1"/>
  <c r="D49" i="8" s="1"/>
  <c r="F53" i="32"/>
  <c r="H45" i="6"/>
  <c r="H45" i="7" s="1"/>
  <c r="H45" i="8" s="1"/>
  <c r="H49" i="32"/>
  <c r="D49" i="32"/>
  <c r="H48" i="32"/>
  <c r="E51" i="6"/>
  <c r="E51" i="7" s="1"/>
  <c r="E51" i="8" s="1"/>
  <c r="H59" i="6"/>
  <c r="H59" i="7" s="1"/>
  <c r="H59" i="8" s="1"/>
  <c r="G51" i="32"/>
  <c r="D46" i="6"/>
  <c r="D46" i="7" s="1"/>
  <c r="D46" i="8" s="1"/>
  <c r="G45" i="6"/>
  <c r="G45" i="7" s="1"/>
  <c r="G45" i="8" s="1"/>
  <c r="H51" i="32"/>
  <c r="D42" i="5"/>
  <c r="H47" i="6"/>
  <c r="H47" i="7" s="1"/>
  <c r="H47" i="8" s="1"/>
  <c r="C52" i="32"/>
  <c r="G46" i="6"/>
  <c r="G46" i="7" s="1"/>
  <c r="G46" i="8" s="1"/>
  <c r="D43" i="5"/>
  <c r="G42" i="6"/>
  <c r="G42" i="7" s="1"/>
  <c r="G42" i="8" s="1"/>
  <c r="E46" i="6"/>
  <c r="E46" i="7" s="1"/>
  <c r="E46" i="8" s="1"/>
  <c r="I47" i="6"/>
  <c r="I47" i="7" s="1"/>
  <c r="I47" i="8" s="1"/>
  <c r="H52" i="32"/>
  <c r="H51" i="6"/>
  <c r="H51" i="7" s="1"/>
  <c r="H51" i="8" s="1"/>
  <c r="G43" i="6"/>
  <c r="G43" i="7" s="1"/>
  <c r="G43" i="8" s="1"/>
  <c r="D60" i="6"/>
  <c r="D60" i="7" s="1"/>
  <c r="D60" i="8" s="1"/>
  <c r="I57" i="6"/>
  <c r="I57" i="7" s="1"/>
  <c r="I57" i="8" s="1"/>
  <c r="H62" i="32"/>
  <c r="H53" i="6"/>
  <c r="H53" i="7" s="1"/>
  <c r="H53" i="8" s="1"/>
  <c r="E58" i="6"/>
  <c r="E58" i="7" s="1"/>
  <c r="E58" i="8" s="1"/>
  <c r="I54" i="6"/>
  <c r="I54" i="7" s="1"/>
  <c r="I54" i="8" s="1"/>
  <c r="H55" i="6"/>
  <c r="H55" i="7" s="1"/>
  <c r="H55" i="8" s="1"/>
  <c r="D53" i="6"/>
  <c r="D53" i="7" s="1"/>
  <c r="D53" i="8" s="1"/>
  <c r="H57" i="6"/>
  <c r="H57" i="7" s="1"/>
  <c r="H57" i="8" s="1"/>
  <c r="D58" i="6"/>
  <c r="D58" i="7" s="1"/>
  <c r="D58" i="8" s="1"/>
  <c r="I53" i="6"/>
  <c r="I53" i="7" s="1"/>
  <c r="I53" i="8" s="1"/>
  <c r="C65" i="32"/>
  <c r="I59" i="6"/>
  <c r="I59" i="7" s="1"/>
  <c r="I59" i="8" s="1"/>
  <c r="D59" i="6"/>
  <c r="D59" i="7" s="1"/>
  <c r="D59" i="8" s="1"/>
  <c r="I55" i="6"/>
  <c r="I55" i="7" s="1"/>
  <c r="I55" i="8" s="1"/>
  <c r="E55" i="6"/>
  <c r="E55" i="7" s="1"/>
  <c r="E55" i="8" s="1"/>
  <c r="I51" i="6"/>
  <c r="I51" i="7" s="1"/>
  <c r="I51" i="8" s="1"/>
  <c r="C62" i="32"/>
  <c r="C59" i="32"/>
  <c r="D40" i="5"/>
  <c r="D55" i="32"/>
  <c r="C55" i="32"/>
  <c r="D63" i="32"/>
  <c r="H55" i="32"/>
  <c r="C63" i="32"/>
  <c r="H59" i="32"/>
  <c r="H63" i="32"/>
  <c r="G40" i="38" l="1"/>
  <c r="G42" i="39" s="1"/>
  <c r="G41" i="40"/>
  <c r="G41" i="41" s="1"/>
  <c r="D43" i="4"/>
  <c r="D43" i="6" s="1"/>
  <c r="D43" i="7" s="1"/>
  <c r="D43" i="8" s="1"/>
  <c r="D43" i="9" s="1"/>
  <c r="D43" i="10" s="1"/>
  <c r="D43" i="11" s="1"/>
  <c r="D43" i="12" s="1"/>
  <c r="D43" i="13" s="1"/>
  <c r="D43" i="14" s="1"/>
  <c r="D43" i="15" s="1"/>
  <c r="D43" i="16" s="1"/>
  <c r="D43" i="17" s="1"/>
  <c r="D43" i="18" s="1"/>
  <c r="D43" i="19" s="1"/>
  <c r="D44" i="20" s="1"/>
  <c r="G41" i="4"/>
  <c r="G41" i="6" s="1"/>
  <c r="G41" i="7" s="1"/>
  <c r="G41" i="8" s="1"/>
  <c r="G41" i="9" s="1"/>
  <c r="G41" i="10" s="1"/>
  <c r="G41" i="11" s="1"/>
  <c r="G41" i="12" s="1"/>
  <c r="G41" i="13" s="1"/>
  <c r="G41" i="14" s="1"/>
  <c r="G41" i="15" s="1"/>
  <c r="G41" i="16" s="1"/>
  <c r="G41" i="17" s="1"/>
  <c r="G41" i="18" s="1"/>
  <c r="G41" i="19" s="1"/>
  <c r="G42" i="20" s="1"/>
  <c r="D42" i="4"/>
  <c r="D42" i="6" s="1"/>
  <c r="D42" i="7" s="1"/>
  <c r="D42" i="8" s="1"/>
  <c r="D42" i="9" s="1"/>
  <c r="D42" i="10" s="1"/>
  <c r="D42" i="11" s="1"/>
  <c r="D42" i="12" s="1"/>
  <c r="D42" i="13" s="1"/>
  <c r="D42" i="14" s="1"/>
  <c r="D42" i="15" s="1"/>
  <c r="D42" i="16" s="1"/>
  <c r="D42" i="17" s="1"/>
  <c r="D42" i="18" s="1"/>
  <c r="D42" i="19" s="1"/>
  <c r="D43" i="20" s="1"/>
  <c r="D41" i="4"/>
  <c r="D41" i="6" s="1"/>
  <c r="D41" i="7" s="1"/>
  <c r="D41" i="8" s="1"/>
  <c r="D41" i="9" s="1"/>
  <c r="D41" i="10" s="1"/>
  <c r="D41" i="11" s="1"/>
  <c r="D41" i="12" s="1"/>
  <c r="D41" i="13" s="1"/>
  <c r="D41" i="14" s="1"/>
  <c r="D41" i="15" s="1"/>
  <c r="D41" i="16" s="1"/>
  <c r="D41" i="17" s="1"/>
  <c r="D41" i="18" s="1"/>
  <c r="D41" i="19" s="1"/>
  <c r="D42" i="20" s="1"/>
  <c r="H41" i="4"/>
  <c r="H41" i="6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2" i="20" s="1"/>
  <c r="D49" i="9"/>
  <c r="D49" i="10" s="1"/>
  <c r="D49" i="11" s="1"/>
  <c r="D49" i="12" s="1"/>
  <c r="D49" i="13" s="1"/>
  <c r="D49" i="14" s="1"/>
  <c r="D49" i="15" s="1"/>
  <c r="D49" i="16" s="1"/>
  <c r="D49" i="17" s="1"/>
  <c r="D49" i="18" s="1"/>
  <c r="D49" i="19" s="1"/>
  <c r="D50" i="20" s="1"/>
  <c r="G57" i="9"/>
  <c r="G57" i="10" s="1"/>
  <c r="G57" i="11" s="1"/>
  <c r="G57" i="12" s="1"/>
  <c r="G57" i="13" s="1"/>
  <c r="G57" i="14" s="1"/>
  <c r="G57" i="15" s="1"/>
  <c r="G57" i="16" s="1"/>
  <c r="G57" i="17" s="1"/>
  <c r="G57" i="18" s="1"/>
  <c r="G57" i="19" s="1"/>
  <c r="G58" i="20" s="1"/>
  <c r="E54" i="9"/>
  <c r="E54" i="10" s="1"/>
  <c r="E54" i="11" s="1"/>
  <c r="E54" i="12" s="1"/>
  <c r="E54" i="13" s="1"/>
  <c r="E54" i="14" s="1"/>
  <c r="E54" i="15" s="1"/>
  <c r="E54" i="16" s="1"/>
  <c r="E54" i="17" s="1"/>
  <c r="E54" i="18" s="1"/>
  <c r="E54" i="19" s="1"/>
  <c r="E55" i="20" s="1"/>
  <c r="I57" i="9"/>
  <c r="I57" i="10" s="1"/>
  <c r="I57" i="11" s="1"/>
  <c r="I57" i="12" s="1"/>
  <c r="I57" i="13" s="1"/>
  <c r="I57" i="14" s="1"/>
  <c r="I57" i="15" s="1"/>
  <c r="I57" i="16" s="1"/>
  <c r="I57" i="17" s="1"/>
  <c r="I57" i="18" s="1"/>
  <c r="I57" i="19" s="1"/>
  <c r="I58" i="20" s="1"/>
  <c r="G42" i="9"/>
  <c r="G42" i="10" s="1"/>
  <c r="G42" i="11" s="1"/>
  <c r="G42" i="12" s="1"/>
  <c r="G42" i="13" s="1"/>
  <c r="G42" i="14" s="1"/>
  <c r="G42" i="15" s="1"/>
  <c r="G42" i="16" s="1"/>
  <c r="G42" i="17" s="1"/>
  <c r="G42" i="18" s="1"/>
  <c r="G42" i="19" s="1"/>
  <c r="G43" i="20" s="1"/>
  <c r="H44" i="9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5" i="20" s="1"/>
  <c r="H57" i="9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8" i="20" s="1"/>
  <c r="E58" i="9"/>
  <c r="E58" i="10" s="1"/>
  <c r="E58" i="11" s="1"/>
  <c r="E58" i="12" s="1"/>
  <c r="E58" i="13" s="1"/>
  <c r="E58" i="14" s="1"/>
  <c r="E58" i="15" s="1"/>
  <c r="E58" i="16" s="1"/>
  <c r="E58" i="17" s="1"/>
  <c r="E58" i="18" s="1"/>
  <c r="E58" i="19" s="1"/>
  <c r="E59" i="20" s="1"/>
  <c r="H47" i="9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8" i="20" s="1"/>
  <c r="G45" i="9"/>
  <c r="G45" i="10" s="1"/>
  <c r="G45" i="11" s="1"/>
  <c r="G45" i="12" s="1"/>
  <c r="G45" i="13" s="1"/>
  <c r="G45" i="14" s="1"/>
  <c r="G45" i="15" s="1"/>
  <c r="G45" i="16" s="1"/>
  <c r="G45" i="17" s="1"/>
  <c r="G45" i="18" s="1"/>
  <c r="G45" i="19" s="1"/>
  <c r="G46" i="20" s="1"/>
  <c r="E51" i="9"/>
  <c r="E51" i="10" s="1"/>
  <c r="E51" i="11" s="1"/>
  <c r="E51" i="12" s="1"/>
  <c r="E51" i="13" s="1"/>
  <c r="E51" i="14" s="1"/>
  <c r="E51" i="15" s="1"/>
  <c r="E51" i="16" s="1"/>
  <c r="E51" i="17" s="1"/>
  <c r="E51" i="18" s="1"/>
  <c r="E51" i="19" s="1"/>
  <c r="E52" i="20" s="1"/>
  <c r="H49" i="9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50" i="20" s="1"/>
  <c r="H48" i="9"/>
  <c r="H48" i="10" s="1"/>
  <c r="H48" i="11" s="1"/>
  <c r="H48" i="12" s="1"/>
  <c r="H48" i="13" s="1"/>
  <c r="H48" i="14" s="1"/>
  <c r="H48" i="15" s="1"/>
  <c r="H48" i="16" s="1"/>
  <c r="H48" i="17" s="1"/>
  <c r="H48" i="18" s="1"/>
  <c r="H48" i="19" s="1"/>
  <c r="H49" i="20" s="1"/>
  <c r="E41" i="9"/>
  <c r="E41" i="10" s="1"/>
  <c r="E41" i="11" s="1"/>
  <c r="E41" i="12" s="1"/>
  <c r="E41" i="13" s="1"/>
  <c r="E41" i="14" s="1"/>
  <c r="E41" i="15" s="1"/>
  <c r="E41" i="16" s="1"/>
  <c r="E41" i="17" s="1"/>
  <c r="E41" i="18" s="1"/>
  <c r="E41" i="19" s="1"/>
  <c r="E42" i="20" s="1"/>
  <c r="E48" i="9"/>
  <c r="E48" i="10" s="1"/>
  <c r="E48" i="11" s="1"/>
  <c r="E48" i="12" s="1"/>
  <c r="E48" i="13" s="1"/>
  <c r="E48" i="14" s="1"/>
  <c r="E48" i="15" s="1"/>
  <c r="E48" i="16" s="1"/>
  <c r="E48" i="17" s="1"/>
  <c r="E48" i="18" s="1"/>
  <c r="E48" i="19" s="1"/>
  <c r="E49" i="20" s="1"/>
  <c r="G52" i="9"/>
  <c r="G52" i="10" s="1"/>
  <c r="G52" i="11" s="1"/>
  <c r="G52" i="12" s="1"/>
  <c r="G52" i="13" s="1"/>
  <c r="G52" i="14" s="1"/>
  <c r="G52" i="15" s="1"/>
  <c r="G52" i="16" s="1"/>
  <c r="G52" i="17" s="1"/>
  <c r="G52" i="18" s="1"/>
  <c r="G52" i="19" s="1"/>
  <c r="G53" i="20" s="1"/>
  <c r="I58" i="9"/>
  <c r="I58" i="10" s="1"/>
  <c r="I58" i="11" s="1"/>
  <c r="I58" i="12" s="1"/>
  <c r="I58" i="13" s="1"/>
  <c r="I58" i="14" s="1"/>
  <c r="I58" i="15" s="1"/>
  <c r="I58" i="16" s="1"/>
  <c r="I58" i="17" s="1"/>
  <c r="I58" i="18" s="1"/>
  <c r="I58" i="19" s="1"/>
  <c r="I59" i="20" s="1"/>
  <c r="I60" i="9"/>
  <c r="I60" i="10" s="1"/>
  <c r="I60" i="11" s="1"/>
  <c r="I60" i="12" s="1"/>
  <c r="I60" i="13" s="1"/>
  <c r="I60" i="14" s="1"/>
  <c r="I60" i="15" s="1"/>
  <c r="I60" i="16" s="1"/>
  <c r="I60" i="17" s="1"/>
  <c r="I60" i="18" s="1"/>
  <c r="I60" i="19" s="1"/>
  <c r="I61" i="20" s="1"/>
  <c r="I45" i="9"/>
  <c r="I45" i="10" s="1"/>
  <c r="I45" i="11" s="1"/>
  <c r="I45" i="12" s="1"/>
  <c r="I45" i="13" s="1"/>
  <c r="I45" i="14" s="1"/>
  <c r="I45" i="15" s="1"/>
  <c r="I45" i="16" s="1"/>
  <c r="I45" i="17" s="1"/>
  <c r="I45" i="18" s="1"/>
  <c r="I45" i="19" s="1"/>
  <c r="I46" i="20" s="1"/>
  <c r="H42" i="9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3" i="20" s="1"/>
  <c r="G50" i="9"/>
  <c r="G50" i="10" s="1"/>
  <c r="G50" i="11" s="1"/>
  <c r="G50" i="12" s="1"/>
  <c r="G50" i="13" s="1"/>
  <c r="G50" i="14" s="1"/>
  <c r="G50" i="15" s="1"/>
  <c r="G50" i="16" s="1"/>
  <c r="G50" i="17" s="1"/>
  <c r="G50" i="18" s="1"/>
  <c r="G50" i="19" s="1"/>
  <c r="G51" i="20" s="1"/>
  <c r="H58" i="9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9" i="20" s="1"/>
  <c r="G49" i="9"/>
  <c r="G49" i="10" s="1"/>
  <c r="G49" i="11" s="1"/>
  <c r="G49" i="12" s="1"/>
  <c r="G49" i="13" s="1"/>
  <c r="G49" i="14" s="1"/>
  <c r="G49" i="15" s="1"/>
  <c r="G49" i="16" s="1"/>
  <c r="G49" i="17" s="1"/>
  <c r="G49" i="18" s="1"/>
  <c r="G49" i="19" s="1"/>
  <c r="G50" i="20" s="1"/>
  <c r="H54" i="9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5" i="20" s="1"/>
  <c r="D59" i="9"/>
  <c r="D59" i="10" s="1"/>
  <c r="D59" i="11" s="1"/>
  <c r="D59" i="12" s="1"/>
  <c r="D59" i="13" s="1"/>
  <c r="D59" i="14" s="1"/>
  <c r="D59" i="15" s="1"/>
  <c r="D59" i="16" s="1"/>
  <c r="D59" i="17" s="1"/>
  <c r="D59" i="18" s="1"/>
  <c r="D59" i="19" s="1"/>
  <c r="D60" i="20" s="1"/>
  <c r="I54" i="9"/>
  <c r="I54" i="10" s="1"/>
  <c r="I54" i="11" s="1"/>
  <c r="I54" i="12" s="1"/>
  <c r="I54" i="13" s="1"/>
  <c r="I54" i="14" s="1"/>
  <c r="I54" i="15" s="1"/>
  <c r="I54" i="16" s="1"/>
  <c r="I54" i="17" s="1"/>
  <c r="I54" i="18" s="1"/>
  <c r="I54" i="19" s="1"/>
  <c r="I55" i="20" s="1"/>
  <c r="H59" i="9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60" i="20" s="1"/>
  <c r="E60" i="9"/>
  <c r="E60" i="10" s="1"/>
  <c r="E60" i="11" s="1"/>
  <c r="E60" i="12" s="1"/>
  <c r="E60" i="13" s="1"/>
  <c r="E60" i="14" s="1"/>
  <c r="E60" i="15" s="1"/>
  <c r="E60" i="16" s="1"/>
  <c r="E60" i="17" s="1"/>
  <c r="E60" i="18" s="1"/>
  <c r="E60" i="19" s="1"/>
  <c r="E61" i="20" s="1"/>
  <c r="I50" i="9"/>
  <c r="I50" i="10" s="1"/>
  <c r="I50" i="11" s="1"/>
  <c r="I50" i="12" s="1"/>
  <c r="I50" i="13" s="1"/>
  <c r="I50" i="14" s="1"/>
  <c r="I50" i="15" s="1"/>
  <c r="I50" i="16" s="1"/>
  <c r="I50" i="17" s="1"/>
  <c r="I50" i="18" s="1"/>
  <c r="I50" i="19" s="1"/>
  <c r="I51" i="20" s="1"/>
  <c r="I51" i="9"/>
  <c r="I51" i="10" s="1"/>
  <c r="I51" i="11" s="1"/>
  <c r="I51" i="12" s="1"/>
  <c r="I51" i="13" s="1"/>
  <c r="I51" i="14" s="1"/>
  <c r="I51" i="15" s="1"/>
  <c r="I51" i="16" s="1"/>
  <c r="I51" i="17" s="1"/>
  <c r="I51" i="18" s="1"/>
  <c r="I51" i="19" s="1"/>
  <c r="I52" i="20" s="1"/>
  <c r="D60" i="9"/>
  <c r="D60" i="10" s="1"/>
  <c r="D60" i="11" s="1"/>
  <c r="D60" i="12" s="1"/>
  <c r="D60" i="13" s="1"/>
  <c r="D60" i="14" s="1"/>
  <c r="D60" i="15" s="1"/>
  <c r="D60" i="16" s="1"/>
  <c r="D60" i="17" s="1"/>
  <c r="D60" i="18" s="1"/>
  <c r="D60" i="19" s="1"/>
  <c r="D61" i="20" s="1"/>
  <c r="D53" i="9"/>
  <c r="D53" i="10" s="1"/>
  <c r="D53" i="11" s="1"/>
  <c r="D53" i="12" s="1"/>
  <c r="D53" i="13" s="1"/>
  <c r="D53" i="14" s="1"/>
  <c r="D53" i="15" s="1"/>
  <c r="D53" i="16" s="1"/>
  <c r="D53" i="17" s="1"/>
  <c r="D53" i="18" s="1"/>
  <c r="D53" i="19" s="1"/>
  <c r="D54" i="20" s="1"/>
  <c r="H53" i="9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4" i="20" s="1"/>
  <c r="G43" i="9"/>
  <c r="G43" i="10" s="1"/>
  <c r="G43" i="11" s="1"/>
  <c r="G43" i="12" s="1"/>
  <c r="G43" i="13" s="1"/>
  <c r="G43" i="14" s="1"/>
  <c r="G43" i="15" s="1"/>
  <c r="G43" i="16" s="1"/>
  <c r="G43" i="17" s="1"/>
  <c r="G43" i="18" s="1"/>
  <c r="G43" i="19" s="1"/>
  <c r="G44" i="20" s="1"/>
  <c r="I42" i="9"/>
  <c r="I42" i="10" s="1"/>
  <c r="I42" i="11" s="1"/>
  <c r="I42" i="12" s="1"/>
  <c r="I42" i="13" s="1"/>
  <c r="I42" i="14" s="1"/>
  <c r="I42" i="15" s="1"/>
  <c r="I42" i="16" s="1"/>
  <c r="I42" i="17" s="1"/>
  <c r="I42" i="18" s="1"/>
  <c r="I42" i="19" s="1"/>
  <c r="I43" i="20" s="1"/>
  <c r="H43" i="9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4" i="20" s="1"/>
  <c r="D46" i="9"/>
  <c r="D46" i="10" s="1"/>
  <c r="D46" i="11" s="1"/>
  <c r="D46" i="12" s="1"/>
  <c r="D46" i="13" s="1"/>
  <c r="D46" i="14" s="1"/>
  <c r="D46" i="15" s="1"/>
  <c r="D46" i="16" s="1"/>
  <c r="D46" i="17" s="1"/>
  <c r="D46" i="18" s="1"/>
  <c r="D46" i="19" s="1"/>
  <c r="D47" i="20" s="1"/>
  <c r="H45" i="9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6" i="20" s="1"/>
  <c r="D54" i="9"/>
  <c r="D54" i="10" s="1"/>
  <c r="D54" i="11" s="1"/>
  <c r="D54" i="12" s="1"/>
  <c r="D54" i="13" s="1"/>
  <c r="D54" i="14" s="1"/>
  <c r="D54" i="15" s="1"/>
  <c r="D54" i="16" s="1"/>
  <c r="D54" i="17" s="1"/>
  <c r="D54" i="18" s="1"/>
  <c r="D54" i="19" s="1"/>
  <c r="D55" i="20" s="1"/>
  <c r="I41" i="9"/>
  <c r="I41" i="10" s="1"/>
  <c r="I41" i="11" s="1"/>
  <c r="I41" i="12" s="1"/>
  <c r="I41" i="13" s="1"/>
  <c r="I41" i="14" s="1"/>
  <c r="I41" i="15" s="1"/>
  <c r="I41" i="16" s="1"/>
  <c r="I41" i="17" s="1"/>
  <c r="I41" i="18" s="1"/>
  <c r="I41" i="19" s="1"/>
  <c r="I42" i="20" s="1"/>
  <c r="I48" i="9"/>
  <c r="I48" i="10" s="1"/>
  <c r="I48" i="11" s="1"/>
  <c r="I48" i="12" s="1"/>
  <c r="I48" i="13" s="1"/>
  <c r="I48" i="14" s="1"/>
  <c r="I48" i="15" s="1"/>
  <c r="I48" i="16" s="1"/>
  <c r="I48" i="17" s="1"/>
  <c r="I48" i="18" s="1"/>
  <c r="I48" i="19" s="1"/>
  <c r="I49" i="20" s="1"/>
  <c r="D56" i="9"/>
  <c r="D56" i="10" s="1"/>
  <c r="D56" i="11" s="1"/>
  <c r="D56" i="12" s="1"/>
  <c r="D56" i="13" s="1"/>
  <c r="D56" i="14" s="1"/>
  <c r="D56" i="15" s="1"/>
  <c r="D56" i="16" s="1"/>
  <c r="D56" i="17" s="1"/>
  <c r="D56" i="18" s="1"/>
  <c r="D56" i="19" s="1"/>
  <c r="D57" i="20" s="1"/>
  <c r="G60" i="9"/>
  <c r="G60" i="10" s="1"/>
  <c r="G60" i="11" s="1"/>
  <c r="G60" i="12" s="1"/>
  <c r="G60" i="13" s="1"/>
  <c r="G60" i="14" s="1"/>
  <c r="G60" i="15" s="1"/>
  <c r="G60" i="16" s="1"/>
  <c r="G60" i="17" s="1"/>
  <c r="G60" i="18" s="1"/>
  <c r="G60" i="19" s="1"/>
  <c r="G61" i="20" s="1"/>
  <c r="G44" i="9"/>
  <c r="G44" i="10" s="1"/>
  <c r="G44" i="11" s="1"/>
  <c r="G44" i="12" s="1"/>
  <c r="G44" i="13" s="1"/>
  <c r="G44" i="14" s="1"/>
  <c r="G44" i="15" s="1"/>
  <c r="G44" i="16" s="1"/>
  <c r="G44" i="17" s="1"/>
  <c r="G44" i="18" s="1"/>
  <c r="G44" i="19" s="1"/>
  <c r="G45" i="20" s="1"/>
  <c r="G47" i="9"/>
  <c r="G47" i="10" s="1"/>
  <c r="G47" i="11" s="1"/>
  <c r="G47" i="12" s="1"/>
  <c r="G47" i="13" s="1"/>
  <c r="G47" i="14" s="1"/>
  <c r="G47" i="15" s="1"/>
  <c r="G47" i="16" s="1"/>
  <c r="G47" i="17" s="1"/>
  <c r="G47" i="18" s="1"/>
  <c r="G47" i="19" s="1"/>
  <c r="G48" i="20" s="1"/>
  <c r="H50" i="9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1" i="20" s="1"/>
  <c r="E49" i="9"/>
  <c r="E49" i="10" s="1"/>
  <c r="E49" i="11" s="1"/>
  <c r="E49" i="12" s="1"/>
  <c r="E49" i="13" s="1"/>
  <c r="E49" i="14" s="1"/>
  <c r="E49" i="15" s="1"/>
  <c r="E49" i="16" s="1"/>
  <c r="E49" i="17" s="1"/>
  <c r="E49" i="18" s="1"/>
  <c r="E49" i="19" s="1"/>
  <c r="E50" i="20" s="1"/>
  <c r="D57" i="9"/>
  <c r="D57" i="10" s="1"/>
  <c r="D57" i="11" s="1"/>
  <c r="D57" i="12" s="1"/>
  <c r="D57" i="13" s="1"/>
  <c r="D57" i="14" s="1"/>
  <c r="D57" i="15" s="1"/>
  <c r="D57" i="16" s="1"/>
  <c r="D57" i="17" s="1"/>
  <c r="D57" i="18" s="1"/>
  <c r="D57" i="19" s="1"/>
  <c r="D58" i="20" s="1"/>
  <c r="G54" i="9"/>
  <c r="G54" i="10" s="1"/>
  <c r="G54" i="11" s="1"/>
  <c r="G54" i="12" s="1"/>
  <c r="G54" i="13" s="1"/>
  <c r="G54" i="14" s="1"/>
  <c r="G54" i="15" s="1"/>
  <c r="G54" i="16" s="1"/>
  <c r="G54" i="17" s="1"/>
  <c r="G54" i="18" s="1"/>
  <c r="G54" i="19" s="1"/>
  <c r="G55" i="20" s="1"/>
  <c r="D58" i="9"/>
  <c r="D58" i="10" s="1"/>
  <c r="D58" i="11" s="1"/>
  <c r="D58" i="12" s="1"/>
  <c r="D58" i="13" s="1"/>
  <c r="D58" i="14" s="1"/>
  <c r="D58" i="15" s="1"/>
  <c r="D58" i="16" s="1"/>
  <c r="D58" i="17" s="1"/>
  <c r="D58" i="18" s="1"/>
  <c r="D58" i="19" s="1"/>
  <c r="D59" i="20" s="1"/>
  <c r="I56" i="9"/>
  <c r="I56" i="10" s="1"/>
  <c r="I56" i="11" s="1"/>
  <c r="I56" i="12" s="1"/>
  <c r="I56" i="13" s="1"/>
  <c r="I56" i="14" s="1"/>
  <c r="I56" i="15" s="1"/>
  <c r="I56" i="16" s="1"/>
  <c r="I56" i="17" s="1"/>
  <c r="I56" i="18" s="1"/>
  <c r="I56" i="19" s="1"/>
  <c r="I57" i="20" s="1"/>
  <c r="I49" i="9"/>
  <c r="I49" i="10" s="1"/>
  <c r="I49" i="11" s="1"/>
  <c r="I49" i="12" s="1"/>
  <c r="I49" i="13" s="1"/>
  <c r="I49" i="14" s="1"/>
  <c r="I49" i="15" s="1"/>
  <c r="I49" i="16" s="1"/>
  <c r="I49" i="17" s="1"/>
  <c r="I49" i="18" s="1"/>
  <c r="I49" i="19" s="1"/>
  <c r="I50" i="20" s="1"/>
  <c r="E42" i="9"/>
  <c r="E42" i="10" s="1"/>
  <c r="E42" i="11" s="1"/>
  <c r="E42" i="12" s="1"/>
  <c r="E42" i="13" s="1"/>
  <c r="E42" i="14" s="1"/>
  <c r="E42" i="15" s="1"/>
  <c r="E42" i="16" s="1"/>
  <c r="E42" i="17" s="1"/>
  <c r="E42" i="18" s="1"/>
  <c r="E42" i="19" s="1"/>
  <c r="E43" i="20" s="1"/>
  <c r="I59" i="9"/>
  <c r="I59" i="10" s="1"/>
  <c r="I59" i="11" s="1"/>
  <c r="I59" i="12" s="1"/>
  <c r="I59" i="13" s="1"/>
  <c r="I59" i="14" s="1"/>
  <c r="I59" i="15" s="1"/>
  <c r="I59" i="16" s="1"/>
  <c r="I59" i="17" s="1"/>
  <c r="I59" i="18" s="1"/>
  <c r="I59" i="19" s="1"/>
  <c r="I60" i="20" s="1"/>
  <c r="I47" i="9"/>
  <c r="I47" i="10" s="1"/>
  <c r="I47" i="11" s="1"/>
  <c r="I47" i="12" s="1"/>
  <c r="I47" i="13" s="1"/>
  <c r="I47" i="14" s="1"/>
  <c r="I47" i="15" s="1"/>
  <c r="I47" i="16" s="1"/>
  <c r="I47" i="17" s="1"/>
  <c r="I47" i="18" s="1"/>
  <c r="I47" i="19" s="1"/>
  <c r="I48" i="20" s="1"/>
  <c r="E55" i="9"/>
  <c r="E55" i="10" s="1"/>
  <c r="E55" i="11" s="1"/>
  <c r="E55" i="12" s="1"/>
  <c r="E55" i="13" s="1"/>
  <c r="E55" i="14" s="1"/>
  <c r="E55" i="15" s="1"/>
  <c r="E55" i="16" s="1"/>
  <c r="E55" i="17" s="1"/>
  <c r="E55" i="18" s="1"/>
  <c r="E55" i="19" s="1"/>
  <c r="E56" i="20" s="1"/>
  <c r="I55" i="9"/>
  <c r="I55" i="10" s="1"/>
  <c r="I55" i="11" s="1"/>
  <c r="I55" i="12" s="1"/>
  <c r="I55" i="13" s="1"/>
  <c r="I55" i="14" s="1"/>
  <c r="I55" i="15" s="1"/>
  <c r="I55" i="16" s="1"/>
  <c r="I55" i="17" s="1"/>
  <c r="I55" i="18" s="1"/>
  <c r="I55" i="19" s="1"/>
  <c r="I56" i="20" s="1"/>
  <c r="I53" i="9"/>
  <c r="I53" i="10" s="1"/>
  <c r="I53" i="11" s="1"/>
  <c r="I53" i="12" s="1"/>
  <c r="I53" i="13" s="1"/>
  <c r="I53" i="14" s="1"/>
  <c r="I53" i="15" s="1"/>
  <c r="I53" i="16" s="1"/>
  <c r="I53" i="17" s="1"/>
  <c r="I53" i="18" s="1"/>
  <c r="I53" i="19" s="1"/>
  <c r="I54" i="20" s="1"/>
  <c r="H55" i="9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6" i="20" s="1"/>
  <c r="H51" i="9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2" i="20" s="1"/>
  <c r="E46" i="9"/>
  <c r="E46" i="10" s="1"/>
  <c r="E46" i="11" s="1"/>
  <c r="E46" i="12" s="1"/>
  <c r="E46" i="13" s="1"/>
  <c r="E46" i="14" s="1"/>
  <c r="E46" i="15" s="1"/>
  <c r="E46" i="16" s="1"/>
  <c r="E46" i="17" s="1"/>
  <c r="E46" i="18" s="1"/>
  <c r="E46" i="19" s="1"/>
  <c r="E47" i="20" s="1"/>
  <c r="G46" i="9"/>
  <c r="G46" i="10" s="1"/>
  <c r="G46" i="11" s="1"/>
  <c r="G46" i="12" s="1"/>
  <c r="G46" i="13" s="1"/>
  <c r="G46" i="14" s="1"/>
  <c r="G46" i="15" s="1"/>
  <c r="G46" i="16" s="1"/>
  <c r="G46" i="17" s="1"/>
  <c r="G46" i="18" s="1"/>
  <c r="G46" i="19" s="1"/>
  <c r="G47" i="20" s="1"/>
  <c r="E43" i="9"/>
  <c r="E43" i="10" s="1"/>
  <c r="E43" i="11" s="1"/>
  <c r="E43" i="12" s="1"/>
  <c r="E43" i="13" s="1"/>
  <c r="E43" i="14" s="1"/>
  <c r="E43" i="15" s="1"/>
  <c r="E43" i="16" s="1"/>
  <c r="E43" i="17" s="1"/>
  <c r="E43" i="18" s="1"/>
  <c r="E43" i="19" s="1"/>
  <c r="E44" i="20" s="1"/>
  <c r="I52" i="9"/>
  <c r="I52" i="10" s="1"/>
  <c r="I52" i="11" s="1"/>
  <c r="I52" i="12" s="1"/>
  <c r="I52" i="13" s="1"/>
  <c r="I52" i="14" s="1"/>
  <c r="I52" i="15" s="1"/>
  <c r="I52" i="16" s="1"/>
  <c r="I52" i="17" s="1"/>
  <c r="I52" i="18" s="1"/>
  <c r="I52" i="19" s="1"/>
  <c r="I53" i="20" s="1"/>
  <c r="D44" i="9"/>
  <c r="D44" i="10" s="1"/>
  <c r="D44" i="11" s="1"/>
  <c r="D44" i="12" s="1"/>
  <c r="D44" i="13" s="1"/>
  <c r="D44" i="14" s="1"/>
  <c r="D44" i="15" s="1"/>
  <c r="D44" i="16" s="1"/>
  <c r="D44" i="17" s="1"/>
  <c r="D44" i="18" s="1"/>
  <c r="D44" i="19" s="1"/>
  <c r="D45" i="20" s="1"/>
  <c r="E50" i="9"/>
  <c r="E50" i="10" s="1"/>
  <c r="E50" i="11" s="1"/>
  <c r="E50" i="12" s="1"/>
  <c r="E50" i="13" s="1"/>
  <c r="E50" i="14" s="1"/>
  <c r="E50" i="15" s="1"/>
  <c r="E50" i="16" s="1"/>
  <c r="E50" i="17" s="1"/>
  <c r="E50" i="18" s="1"/>
  <c r="E50" i="19" s="1"/>
  <c r="E51" i="20" s="1"/>
  <c r="H56" i="9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7" i="20" s="1"/>
  <c r="G53" i="9"/>
  <c r="G53" i="10" s="1"/>
  <c r="G53" i="11" s="1"/>
  <c r="G53" i="12" s="1"/>
  <c r="G53" i="13" s="1"/>
  <c r="G53" i="14" s="1"/>
  <c r="G53" i="15" s="1"/>
  <c r="G53" i="16" s="1"/>
  <c r="G53" i="17" s="1"/>
  <c r="G53" i="18" s="1"/>
  <c r="G53" i="19" s="1"/>
  <c r="G54" i="20" s="1"/>
  <c r="G51" i="9"/>
  <c r="G51" i="10" s="1"/>
  <c r="G51" i="11" s="1"/>
  <c r="G51" i="12" s="1"/>
  <c r="G51" i="13" s="1"/>
  <c r="G51" i="14" s="1"/>
  <c r="G51" i="15" s="1"/>
  <c r="G51" i="16" s="1"/>
  <c r="G51" i="17" s="1"/>
  <c r="G51" i="18" s="1"/>
  <c r="G51" i="19" s="1"/>
  <c r="G52" i="20" s="1"/>
  <c r="G55" i="9"/>
  <c r="G55" i="10" s="1"/>
  <c r="G55" i="11" s="1"/>
  <c r="G55" i="12" s="1"/>
  <c r="G55" i="13" s="1"/>
  <c r="G55" i="14" s="1"/>
  <c r="G55" i="15" s="1"/>
  <c r="G55" i="16" s="1"/>
  <c r="G55" i="17" s="1"/>
  <c r="G55" i="18" s="1"/>
  <c r="G55" i="19" s="1"/>
  <c r="G56" i="20" s="1"/>
  <c r="D50" i="9"/>
  <c r="D50" i="10" s="1"/>
  <c r="D50" i="11" s="1"/>
  <c r="D50" i="12" s="1"/>
  <c r="D50" i="13" s="1"/>
  <c r="D50" i="14" s="1"/>
  <c r="D50" i="15" s="1"/>
  <c r="D50" i="16" s="1"/>
  <c r="D50" i="17" s="1"/>
  <c r="D50" i="18" s="1"/>
  <c r="D50" i="19" s="1"/>
  <c r="D51" i="20" s="1"/>
  <c r="I61" i="10"/>
  <c r="I61" i="11" s="1"/>
  <c r="I61" i="12" s="1"/>
  <c r="I61" i="13" s="1"/>
  <c r="I61" i="14" s="1"/>
  <c r="I61" i="15" s="1"/>
  <c r="I61" i="16" s="1"/>
  <c r="I61" i="17" s="1"/>
  <c r="I61" i="18" s="1"/>
  <c r="I61" i="19" s="1"/>
  <c r="I62" i="20" s="1"/>
  <c r="H61" i="10"/>
  <c r="H61" i="11" s="1"/>
  <c r="H61" i="12" s="1"/>
  <c r="H61" i="13" s="1"/>
  <c r="H61" i="14" s="1"/>
  <c r="H61" i="15" s="1"/>
  <c r="H61" i="16" s="1"/>
  <c r="H61" i="17" s="1"/>
  <c r="H61" i="18" s="1"/>
  <c r="H61" i="19" s="1"/>
  <c r="H62" i="20" s="1"/>
  <c r="G61" i="10"/>
  <c r="G61" i="11" s="1"/>
  <c r="G61" i="12" s="1"/>
  <c r="G61" i="13" s="1"/>
  <c r="G61" i="14" s="1"/>
  <c r="G61" i="15" s="1"/>
  <c r="G61" i="16" s="1"/>
  <c r="G61" i="17" s="1"/>
  <c r="G61" i="18" s="1"/>
  <c r="G61" i="19" s="1"/>
  <c r="G62" i="20" s="1"/>
  <c r="E61" i="10"/>
  <c r="E61" i="11" s="1"/>
  <c r="E61" i="12" s="1"/>
  <c r="E61" i="13" s="1"/>
  <c r="E61" i="14" s="1"/>
  <c r="E61" i="15" s="1"/>
  <c r="E61" i="16" s="1"/>
  <c r="E61" i="17" s="1"/>
  <c r="E61" i="18" s="1"/>
  <c r="E61" i="19" s="1"/>
  <c r="E62" i="20" s="1"/>
  <c r="D61" i="10"/>
  <c r="D61" i="11" s="1"/>
  <c r="D61" i="12" s="1"/>
  <c r="D61" i="13" s="1"/>
  <c r="D61" i="14" s="1"/>
  <c r="D61" i="15" s="1"/>
  <c r="D61" i="16" s="1"/>
  <c r="D61" i="17" s="1"/>
  <c r="D61" i="18" s="1"/>
  <c r="D61" i="19" s="1"/>
  <c r="D62" i="20" s="1"/>
  <c r="G59" i="32"/>
  <c r="G47" i="32"/>
  <c r="E57" i="6"/>
  <c r="E57" i="7" s="1"/>
  <c r="E57" i="8" s="1"/>
  <c r="G58" i="6"/>
  <c r="G58" i="7" s="1"/>
  <c r="G58" i="8" s="1"/>
  <c r="G63" i="32"/>
  <c r="F59" i="32"/>
  <c r="D59" i="32"/>
  <c r="G59" i="6"/>
  <c r="G59" i="7" s="1"/>
  <c r="G59" i="8" s="1"/>
  <c r="D47" i="32"/>
  <c r="F54" i="32"/>
  <c r="D54" i="32"/>
  <c r="E47" i="6"/>
  <c r="E47" i="7" s="1"/>
  <c r="E47" i="8" s="1"/>
  <c r="C46" i="32"/>
  <c r="F55" i="32"/>
  <c r="F52" i="32"/>
  <c r="D45" i="6"/>
  <c r="D45" i="7" s="1"/>
  <c r="D45" i="8" s="1"/>
  <c r="D53" i="32"/>
  <c r="G50" i="32"/>
  <c r="F46" i="32"/>
  <c r="F62" i="32"/>
  <c r="F60" i="32"/>
  <c r="G48" i="6"/>
  <c r="G48" i="7" s="1"/>
  <c r="G48" i="8" s="1"/>
  <c r="F56" i="32"/>
  <c r="H66" i="32"/>
  <c r="H60" i="6"/>
  <c r="H60" i="7" s="1"/>
  <c r="H60" i="8" s="1"/>
  <c r="G46" i="32"/>
  <c r="G55" i="32"/>
  <c r="F49" i="32"/>
  <c r="E45" i="6"/>
  <c r="E45" i="7" s="1"/>
  <c r="E45" i="8" s="1"/>
  <c r="D48" i="6"/>
  <c r="D48" i="7" s="1"/>
  <c r="D48" i="8" s="1"/>
  <c r="D66" i="32"/>
  <c r="F65" i="32"/>
  <c r="D65" i="32"/>
  <c r="G64" i="32"/>
  <c r="D52" i="6"/>
  <c r="D52" i="7" s="1"/>
  <c r="D52" i="8" s="1"/>
  <c r="G66" i="32"/>
  <c r="F57" i="32"/>
  <c r="H46" i="32"/>
  <c r="H57" i="32"/>
  <c r="H53" i="32"/>
  <c r="H50" i="32"/>
  <c r="H65" i="32"/>
  <c r="I44" i="6"/>
  <c r="I44" i="7" s="1"/>
  <c r="I44" i="8" s="1"/>
  <c r="H52" i="6"/>
  <c r="H52" i="7" s="1"/>
  <c r="H52" i="8" s="1"/>
  <c r="H54" i="32"/>
  <c r="E56" i="6"/>
  <c r="E56" i="7" s="1"/>
  <c r="E56" i="8" s="1"/>
  <c r="G56" i="6"/>
  <c r="G56" i="7" s="1"/>
  <c r="G56" i="8" s="1"/>
  <c r="F58" i="32"/>
  <c r="E44" i="6"/>
  <c r="E44" i="7" s="1"/>
  <c r="E44" i="8" s="1"/>
  <c r="F66" i="32"/>
  <c r="E52" i="6"/>
  <c r="E52" i="7" s="1"/>
  <c r="E52" i="8" s="1"/>
  <c r="G53" i="32"/>
  <c r="G54" i="32"/>
  <c r="G52" i="32"/>
  <c r="D46" i="32"/>
  <c r="H61" i="32"/>
  <c r="G49" i="32"/>
  <c r="G45" i="32"/>
  <c r="C61" i="32"/>
  <c r="I43" i="6"/>
  <c r="I43" i="7" s="1"/>
  <c r="I43" i="8" s="1"/>
  <c r="C54" i="32"/>
  <c r="F50" i="32"/>
  <c r="G61" i="32"/>
  <c r="C66" i="32"/>
  <c r="C49" i="32"/>
  <c r="D48" i="32"/>
  <c r="C51" i="32"/>
  <c r="D56" i="32"/>
  <c r="D51" i="32"/>
  <c r="I46" i="6"/>
  <c r="I46" i="7" s="1"/>
  <c r="I46" i="8" s="1"/>
  <c r="H47" i="32"/>
  <c r="H46" i="6"/>
  <c r="H46" i="7" s="1"/>
  <c r="H46" i="8" s="1"/>
  <c r="G48" i="32"/>
  <c r="F51" i="32"/>
  <c r="C48" i="32"/>
  <c r="F48" i="32"/>
  <c r="C47" i="32"/>
  <c r="D47" i="6"/>
  <c r="D47" i="7" s="1"/>
  <c r="D47" i="8" s="1"/>
  <c r="C64" i="32"/>
  <c r="H58" i="32"/>
  <c r="F47" i="32"/>
  <c r="H64" i="32"/>
  <c r="G56" i="32"/>
  <c r="H60" i="32"/>
  <c r="C58" i="32"/>
  <c r="G58" i="32"/>
  <c r="G60" i="32"/>
  <c r="D60" i="32"/>
  <c r="E53" i="6"/>
  <c r="E53" i="7" s="1"/>
  <c r="E53" i="8" s="1"/>
  <c r="D58" i="32"/>
  <c r="G62" i="32"/>
  <c r="E59" i="6"/>
  <c r="E59" i="7" s="1"/>
  <c r="E59" i="8" s="1"/>
  <c r="D64" i="32"/>
  <c r="C60" i="32"/>
  <c r="D55" i="6"/>
  <c r="D55" i="7" s="1"/>
  <c r="D55" i="8" s="1"/>
  <c r="H56" i="32"/>
  <c r="C56" i="32"/>
  <c r="D51" i="6"/>
  <c r="D51" i="7" s="1"/>
  <c r="D51" i="8" s="1"/>
  <c r="E40" i="4"/>
  <c r="E40" i="6" s="1"/>
  <c r="E40" i="7" s="1"/>
  <c r="E40" i="8" s="1"/>
  <c r="E40" i="9" s="1"/>
  <c r="E40" i="10" s="1"/>
  <c r="E40" i="11" s="1"/>
  <c r="E40" i="12" s="1"/>
  <c r="E40" i="13" s="1"/>
  <c r="E40" i="14" s="1"/>
  <c r="E40" i="15" s="1"/>
  <c r="E40" i="16" s="1"/>
  <c r="E40" i="17" s="1"/>
  <c r="E40" i="18" s="1"/>
  <c r="E40" i="19" s="1"/>
  <c r="E41" i="20" s="1"/>
  <c r="D45" i="32"/>
  <c r="H45" i="32"/>
  <c r="I40" i="4"/>
  <c r="I40" i="6" s="1"/>
  <c r="I40" i="7" s="1"/>
  <c r="I40" i="8" s="1"/>
  <c r="I40" i="9" s="1"/>
  <c r="I40" i="10" s="1"/>
  <c r="I40" i="11" s="1"/>
  <c r="I40" i="12" s="1"/>
  <c r="I40" i="13" s="1"/>
  <c r="I40" i="14" s="1"/>
  <c r="I40" i="15" s="1"/>
  <c r="I40" i="16" s="1"/>
  <c r="I40" i="17" s="1"/>
  <c r="I40" i="18" s="1"/>
  <c r="I40" i="19" s="1"/>
  <c r="I41" i="20" s="1"/>
  <c r="D40" i="4"/>
  <c r="D40" i="6" s="1"/>
  <c r="D40" i="7" s="1"/>
  <c r="D40" i="8" s="1"/>
  <c r="D40" i="9" s="1"/>
  <c r="D40" i="10" s="1"/>
  <c r="D40" i="11" s="1"/>
  <c r="D40" i="12" s="1"/>
  <c r="D40" i="13" s="1"/>
  <c r="D40" i="14" s="1"/>
  <c r="D40" i="15" s="1"/>
  <c r="D40" i="16" s="1"/>
  <c r="D40" i="17" s="1"/>
  <c r="D40" i="18" s="1"/>
  <c r="D40" i="19" s="1"/>
  <c r="D41" i="20" s="1"/>
  <c r="C45" i="32"/>
  <c r="G40" i="4"/>
  <c r="G40" i="6" s="1"/>
  <c r="G40" i="7" s="1"/>
  <c r="G40" i="8" s="1"/>
  <c r="G40" i="9" s="1"/>
  <c r="G40" i="10" s="1"/>
  <c r="G40" i="11" s="1"/>
  <c r="G40" i="12" s="1"/>
  <c r="G40" i="13" s="1"/>
  <c r="G40" i="14" s="1"/>
  <c r="G40" i="15" s="1"/>
  <c r="G40" i="16" s="1"/>
  <c r="G40" i="17" s="1"/>
  <c r="G40" i="18" s="1"/>
  <c r="G40" i="19" s="1"/>
  <c r="G41" i="20" s="1"/>
  <c r="F45" i="32"/>
  <c r="G61" i="38" l="1"/>
  <c r="G63" i="39" s="1"/>
  <c r="G62" i="40"/>
  <c r="G62" i="41" s="1"/>
  <c r="D44" i="38"/>
  <c r="D46" i="39" s="1"/>
  <c r="D45" i="40"/>
  <c r="D45" i="41" s="1"/>
  <c r="E46" i="38"/>
  <c r="E48" i="39" s="1"/>
  <c r="E47" i="40"/>
  <c r="E47" i="41" s="1"/>
  <c r="F47" i="38"/>
  <c r="F49" i="39" s="1"/>
  <c r="F48" i="40"/>
  <c r="F48" i="41" s="1"/>
  <c r="D46" i="38"/>
  <c r="D48" i="39" s="1"/>
  <c r="D47" i="40"/>
  <c r="D47" i="41" s="1"/>
  <c r="G47" i="38"/>
  <c r="G49" i="39" s="1"/>
  <c r="G48" i="40"/>
  <c r="G48" i="41" s="1"/>
  <c r="D61" i="38"/>
  <c r="D63" i="39" s="1"/>
  <c r="D62" i="40"/>
  <c r="D62" i="41" s="1"/>
  <c r="H61" i="38"/>
  <c r="H63" i="39" s="1"/>
  <c r="H62" i="40"/>
  <c r="H62" i="41" s="1"/>
  <c r="H52" i="38"/>
  <c r="H54" i="39" s="1"/>
  <c r="H53" i="40"/>
  <c r="H53" i="41" s="1"/>
  <c r="F44" i="38"/>
  <c r="F46" i="39" s="1"/>
  <c r="F45" i="40"/>
  <c r="F45" i="41" s="1"/>
  <c r="F52" i="38"/>
  <c r="F54" i="39" s="1"/>
  <c r="F53" i="40"/>
  <c r="F53" i="41" s="1"/>
  <c r="E61" i="38"/>
  <c r="E63" i="39" s="1"/>
  <c r="E62" i="40"/>
  <c r="E62" i="41" s="1"/>
  <c r="H47" i="38"/>
  <c r="H49" i="39" s="1"/>
  <c r="H48" i="40"/>
  <c r="H48" i="41" s="1"/>
  <c r="H45" i="38"/>
  <c r="H47" i="39" s="1"/>
  <c r="H46" i="40"/>
  <c r="H46" i="41" s="1"/>
  <c r="F61" i="38"/>
  <c r="F63" i="39" s="1"/>
  <c r="F62" i="40"/>
  <c r="F62" i="41" s="1"/>
  <c r="F46" i="38"/>
  <c r="F48" i="39" s="1"/>
  <c r="F47" i="40"/>
  <c r="F47" i="41" s="1"/>
  <c r="G45" i="38"/>
  <c r="G47" i="39" s="1"/>
  <c r="G46" i="40"/>
  <c r="G46" i="41" s="1"/>
  <c r="F45" i="38"/>
  <c r="F47" i="39" s="1"/>
  <c r="F46" i="40"/>
  <c r="F46" i="41" s="1"/>
  <c r="G44" i="38"/>
  <c r="G46" i="39" s="1"/>
  <c r="G45" i="40"/>
  <c r="G45" i="41" s="1"/>
  <c r="G54" i="38"/>
  <c r="G56" i="39" s="1"/>
  <c r="G55" i="40"/>
  <c r="G55" i="41" s="1"/>
  <c r="D54" i="38"/>
  <c r="D56" i="39" s="1"/>
  <c r="D55" i="40"/>
  <c r="D55" i="41" s="1"/>
  <c r="E54" i="38"/>
  <c r="E56" i="39" s="1"/>
  <c r="E55" i="40"/>
  <c r="E55" i="41" s="1"/>
  <c r="F54" i="38"/>
  <c r="F56" i="39" s="1"/>
  <c r="F55" i="40"/>
  <c r="F55" i="41" s="1"/>
  <c r="H54" i="38"/>
  <c r="H56" i="39" s="1"/>
  <c r="H55" i="40"/>
  <c r="H55" i="41" s="1"/>
  <c r="G43" i="38"/>
  <c r="G45" i="39" s="1"/>
  <c r="G44" i="40"/>
  <c r="G44" i="41" s="1"/>
  <c r="D43" i="38"/>
  <c r="D45" i="39" s="1"/>
  <c r="D44" i="40"/>
  <c r="D44" i="41" s="1"/>
  <c r="E43" i="38"/>
  <c r="E45" i="39" s="1"/>
  <c r="E44" i="40"/>
  <c r="E44" i="41" s="1"/>
  <c r="F43" i="38"/>
  <c r="F45" i="39" s="1"/>
  <c r="F44" i="40"/>
  <c r="F44" i="41" s="1"/>
  <c r="F42" i="38"/>
  <c r="F44" i="39" s="1"/>
  <c r="F43" i="40"/>
  <c r="F43" i="41" s="1"/>
  <c r="G42" i="38"/>
  <c r="G44" i="39" s="1"/>
  <c r="G43" i="40"/>
  <c r="G43" i="41" s="1"/>
  <c r="E42" i="38"/>
  <c r="E44" i="39" s="1"/>
  <c r="E43" i="40"/>
  <c r="E43" i="41" s="1"/>
  <c r="H42" i="38"/>
  <c r="H44" i="39" s="1"/>
  <c r="H43" i="40"/>
  <c r="H43" i="41" s="1"/>
  <c r="D42" i="38"/>
  <c r="D44" i="39" s="1"/>
  <c r="D43" i="40"/>
  <c r="D43" i="41" s="1"/>
  <c r="E60" i="38"/>
  <c r="E62" i="39" s="1"/>
  <c r="E61" i="40"/>
  <c r="E61" i="41" s="1"/>
  <c r="F60" i="38"/>
  <c r="F62" i="39" s="1"/>
  <c r="F61" i="40"/>
  <c r="F61" i="41" s="1"/>
  <c r="D60" i="38"/>
  <c r="D62" i="39" s="1"/>
  <c r="D61" i="40"/>
  <c r="D61" i="41" s="1"/>
  <c r="H60" i="38"/>
  <c r="H62" i="39" s="1"/>
  <c r="H61" i="40"/>
  <c r="H61" i="41" s="1"/>
  <c r="D59" i="38"/>
  <c r="D61" i="39" s="1"/>
  <c r="D60" i="40"/>
  <c r="D60" i="41" s="1"/>
  <c r="G59" i="38"/>
  <c r="G61" i="39" s="1"/>
  <c r="G60" i="40"/>
  <c r="G60" i="41" s="1"/>
  <c r="H59" i="38"/>
  <c r="H61" i="39" s="1"/>
  <c r="H60" i="40"/>
  <c r="H60" i="41" s="1"/>
  <c r="E58" i="38"/>
  <c r="E60" i="39" s="1"/>
  <c r="E59" i="40"/>
  <c r="E59" i="41" s="1"/>
  <c r="H58" i="38"/>
  <c r="H60" i="39" s="1"/>
  <c r="H59" i="40"/>
  <c r="H59" i="41" s="1"/>
  <c r="D58" i="38"/>
  <c r="D60" i="39" s="1"/>
  <c r="D59" i="40"/>
  <c r="D59" i="41" s="1"/>
  <c r="G58" i="38"/>
  <c r="G60" i="39" s="1"/>
  <c r="G59" i="40"/>
  <c r="G59" i="41" s="1"/>
  <c r="D57" i="38"/>
  <c r="D59" i="39" s="1"/>
  <c r="D58" i="40"/>
  <c r="D58" i="41" s="1"/>
  <c r="H57" i="38"/>
  <c r="H59" i="39" s="1"/>
  <c r="H58" i="40"/>
  <c r="H58" i="41" s="1"/>
  <c r="G57" i="38"/>
  <c r="G59" i="39" s="1"/>
  <c r="G58" i="40"/>
  <c r="G58" i="41" s="1"/>
  <c r="F57" i="38"/>
  <c r="F59" i="39" s="1"/>
  <c r="F58" i="40"/>
  <c r="F58" i="41" s="1"/>
  <c r="G53" i="38"/>
  <c r="G55" i="39" s="1"/>
  <c r="G54" i="40"/>
  <c r="G54" i="41" s="1"/>
  <c r="D53" i="38"/>
  <c r="D55" i="39" s="1"/>
  <c r="D54" i="40"/>
  <c r="D54" i="41" s="1"/>
  <c r="F53" i="38"/>
  <c r="F55" i="39" s="1"/>
  <c r="F54" i="40"/>
  <c r="F54" i="41" s="1"/>
  <c r="H53" i="38"/>
  <c r="H55" i="39" s="1"/>
  <c r="H54" i="40"/>
  <c r="H54" i="41" s="1"/>
  <c r="G56" i="38"/>
  <c r="G58" i="39" s="1"/>
  <c r="G57" i="40"/>
  <c r="G57" i="41" s="1"/>
  <c r="H56" i="38"/>
  <c r="H58" i="39" s="1"/>
  <c r="H57" i="40"/>
  <c r="H57" i="41" s="1"/>
  <c r="D56" i="38"/>
  <c r="D58" i="39" s="1"/>
  <c r="D57" i="40"/>
  <c r="D57" i="41" s="1"/>
  <c r="H55" i="38"/>
  <c r="H57" i="39" s="1"/>
  <c r="H56" i="40"/>
  <c r="H56" i="41" s="1"/>
  <c r="E55" i="38"/>
  <c r="E57" i="39" s="1"/>
  <c r="E56" i="40"/>
  <c r="E56" i="41" s="1"/>
  <c r="G55" i="38"/>
  <c r="G57" i="39" s="1"/>
  <c r="G56" i="40"/>
  <c r="G56" i="41" s="1"/>
  <c r="F55" i="38"/>
  <c r="F57" i="39" s="1"/>
  <c r="F56" i="40"/>
  <c r="F56" i="41" s="1"/>
  <c r="G51" i="38"/>
  <c r="G53" i="39" s="1"/>
  <c r="G52" i="40"/>
  <c r="G52" i="41" s="1"/>
  <c r="F51" i="38"/>
  <c r="F53" i="39" s="1"/>
  <c r="F52" i="40"/>
  <c r="F52" i="41" s="1"/>
  <c r="E51" i="38"/>
  <c r="E53" i="39" s="1"/>
  <c r="E52" i="40"/>
  <c r="E52" i="41" s="1"/>
  <c r="H51" i="38"/>
  <c r="H53" i="39" s="1"/>
  <c r="H52" i="40"/>
  <c r="H52" i="41" s="1"/>
  <c r="H50" i="38"/>
  <c r="H52" i="39" s="1"/>
  <c r="H51" i="40"/>
  <c r="H51" i="41" s="1"/>
  <c r="F50" i="38"/>
  <c r="F52" i="39" s="1"/>
  <c r="F51" i="40"/>
  <c r="F51" i="41" s="1"/>
  <c r="D50" i="38"/>
  <c r="D52" i="39" s="1"/>
  <c r="D51" i="40"/>
  <c r="D51" i="41" s="1"/>
  <c r="E50" i="38"/>
  <c r="E52" i="39" s="1"/>
  <c r="E51" i="40"/>
  <c r="E51" i="41" s="1"/>
  <c r="G50" i="38"/>
  <c r="G52" i="39" s="1"/>
  <c r="G51" i="40"/>
  <c r="G51" i="41" s="1"/>
  <c r="H49" i="38"/>
  <c r="H51" i="39" s="1"/>
  <c r="H50" i="40"/>
  <c r="H50" i="41" s="1"/>
  <c r="G49" i="38"/>
  <c r="G51" i="39" s="1"/>
  <c r="G50" i="40"/>
  <c r="G50" i="41" s="1"/>
  <c r="F49" i="38"/>
  <c r="F51" i="39" s="1"/>
  <c r="F50" i="40"/>
  <c r="F50" i="41" s="1"/>
  <c r="D49" i="38"/>
  <c r="D51" i="39" s="1"/>
  <c r="D50" i="40"/>
  <c r="D50" i="41" s="1"/>
  <c r="E49" i="38"/>
  <c r="E51" i="39" s="1"/>
  <c r="E50" i="40"/>
  <c r="E50" i="41" s="1"/>
  <c r="G48" i="38"/>
  <c r="G50" i="39" s="1"/>
  <c r="G49" i="40"/>
  <c r="G49" i="41" s="1"/>
  <c r="E48" i="38"/>
  <c r="E50" i="39" s="1"/>
  <c r="E49" i="40"/>
  <c r="E49" i="41" s="1"/>
  <c r="H48" i="38"/>
  <c r="H50" i="39" s="1"/>
  <c r="H49" i="40"/>
  <c r="H49" i="41" s="1"/>
  <c r="H41" i="38"/>
  <c r="H43" i="39" s="1"/>
  <c r="H42" i="40"/>
  <c r="H42" i="41" s="1"/>
  <c r="G41" i="38"/>
  <c r="G43" i="39" s="1"/>
  <c r="G42" i="40"/>
  <c r="G42" i="41" s="1"/>
  <c r="F41" i="38"/>
  <c r="F43" i="39" s="1"/>
  <c r="F42" i="40"/>
  <c r="F42" i="41" s="1"/>
  <c r="D41" i="38"/>
  <c r="D43" i="39" s="1"/>
  <c r="D42" i="40"/>
  <c r="D42" i="41" s="1"/>
  <c r="E41" i="38"/>
  <c r="E43" i="39" s="1"/>
  <c r="E42" i="40"/>
  <c r="E42" i="41" s="1"/>
  <c r="F40" i="38"/>
  <c r="F42" i="39" s="1"/>
  <c r="F41" i="40"/>
  <c r="F41" i="41" s="1"/>
  <c r="D40" i="38"/>
  <c r="D42" i="39" s="1"/>
  <c r="D41" i="40"/>
  <c r="D41" i="41" s="1"/>
  <c r="E40" i="38"/>
  <c r="E42" i="39" s="1"/>
  <c r="E41" i="40"/>
  <c r="E41" i="41" s="1"/>
  <c r="H40" i="38"/>
  <c r="H42" i="39" s="1"/>
  <c r="H41" i="40"/>
  <c r="H41" i="41" s="1"/>
  <c r="G56" i="9"/>
  <c r="G56" i="10" s="1"/>
  <c r="G56" i="11" s="1"/>
  <c r="G56" i="12" s="1"/>
  <c r="G56" i="13" s="1"/>
  <c r="G56" i="14" s="1"/>
  <c r="G56" i="15" s="1"/>
  <c r="G56" i="16" s="1"/>
  <c r="G56" i="17" s="1"/>
  <c r="G56" i="18" s="1"/>
  <c r="G56" i="19" s="1"/>
  <c r="G57" i="20" s="1"/>
  <c r="E57" i="9"/>
  <c r="E57" i="10" s="1"/>
  <c r="E57" i="11" s="1"/>
  <c r="E57" i="12" s="1"/>
  <c r="E57" i="13" s="1"/>
  <c r="E57" i="14" s="1"/>
  <c r="E57" i="15" s="1"/>
  <c r="E57" i="16" s="1"/>
  <c r="E57" i="17" s="1"/>
  <c r="E57" i="18" s="1"/>
  <c r="E57" i="19" s="1"/>
  <c r="E58" i="20" s="1"/>
  <c r="I44" i="9"/>
  <c r="I44" i="10" s="1"/>
  <c r="I44" i="11" s="1"/>
  <c r="I44" i="12" s="1"/>
  <c r="I44" i="13" s="1"/>
  <c r="I44" i="14" s="1"/>
  <c r="I44" i="15" s="1"/>
  <c r="I44" i="16" s="1"/>
  <c r="I44" i="17" s="1"/>
  <c r="I44" i="18" s="1"/>
  <c r="I44" i="19" s="1"/>
  <c r="I45" i="20" s="1"/>
  <c r="E53" i="9"/>
  <c r="E53" i="10" s="1"/>
  <c r="E53" i="11" s="1"/>
  <c r="E53" i="12" s="1"/>
  <c r="E53" i="13" s="1"/>
  <c r="E53" i="14" s="1"/>
  <c r="E53" i="15" s="1"/>
  <c r="E53" i="16" s="1"/>
  <c r="E53" i="17" s="1"/>
  <c r="E53" i="18" s="1"/>
  <c r="E53" i="19" s="1"/>
  <c r="E54" i="20" s="1"/>
  <c r="D47" i="9"/>
  <c r="D47" i="10" s="1"/>
  <c r="D47" i="11" s="1"/>
  <c r="D47" i="12" s="1"/>
  <c r="D47" i="13" s="1"/>
  <c r="D47" i="14" s="1"/>
  <c r="D47" i="15" s="1"/>
  <c r="D47" i="16" s="1"/>
  <c r="D47" i="17" s="1"/>
  <c r="D47" i="18" s="1"/>
  <c r="D47" i="19" s="1"/>
  <c r="D48" i="20" s="1"/>
  <c r="I46" i="9"/>
  <c r="I46" i="10" s="1"/>
  <c r="I46" i="11" s="1"/>
  <c r="I46" i="12" s="1"/>
  <c r="I46" i="13" s="1"/>
  <c r="I46" i="14" s="1"/>
  <c r="I46" i="15" s="1"/>
  <c r="I46" i="16" s="1"/>
  <c r="I46" i="17" s="1"/>
  <c r="I46" i="18" s="1"/>
  <c r="I46" i="19" s="1"/>
  <c r="I47" i="20" s="1"/>
  <c r="E56" i="9"/>
  <c r="E56" i="10" s="1"/>
  <c r="E56" i="11" s="1"/>
  <c r="E56" i="12" s="1"/>
  <c r="E56" i="13" s="1"/>
  <c r="E56" i="14" s="1"/>
  <c r="E56" i="15" s="1"/>
  <c r="E56" i="16" s="1"/>
  <c r="E56" i="17" s="1"/>
  <c r="E56" i="18" s="1"/>
  <c r="E56" i="19" s="1"/>
  <c r="E57" i="20" s="1"/>
  <c r="D48" i="9"/>
  <c r="D48" i="10" s="1"/>
  <c r="D48" i="11" s="1"/>
  <c r="D48" i="12" s="1"/>
  <c r="D48" i="13" s="1"/>
  <c r="D48" i="14" s="1"/>
  <c r="D48" i="15" s="1"/>
  <c r="D48" i="16" s="1"/>
  <c r="D48" i="17" s="1"/>
  <c r="D48" i="18" s="1"/>
  <c r="D48" i="19" s="1"/>
  <c r="D49" i="20" s="1"/>
  <c r="G48" i="9"/>
  <c r="G48" i="10" s="1"/>
  <c r="G48" i="11" s="1"/>
  <c r="G48" i="12" s="1"/>
  <c r="G48" i="13" s="1"/>
  <c r="G48" i="14" s="1"/>
  <c r="G48" i="15" s="1"/>
  <c r="G48" i="16" s="1"/>
  <c r="G48" i="17" s="1"/>
  <c r="G48" i="18" s="1"/>
  <c r="G48" i="19" s="1"/>
  <c r="G49" i="20" s="1"/>
  <c r="E52" i="9"/>
  <c r="E52" i="10" s="1"/>
  <c r="E52" i="11" s="1"/>
  <c r="E52" i="12" s="1"/>
  <c r="E52" i="13" s="1"/>
  <c r="E52" i="14" s="1"/>
  <c r="E52" i="15" s="1"/>
  <c r="E52" i="16" s="1"/>
  <c r="E52" i="17" s="1"/>
  <c r="E52" i="18" s="1"/>
  <c r="E52" i="19" s="1"/>
  <c r="E53" i="20" s="1"/>
  <c r="E44" i="9"/>
  <c r="E44" i="10" s="1"/>
  <c r="E44" i="11" s="1"/>
  <c r="E44" i="12" s="1"/>
  <c r="E44" i="13" s="1"/>
  <c r="E44" i="14" s="1"/>
  <c r="E44" i="15" s="1"/>
  <c r="E44" i="16" s="1"/>
  <c r="E44" i="17" s="1"/>
  <c r="E44" i="18" s="1"/>
  <c r="E44" i="19" s="1"/>
  <c r="E45" i="20" s="1"/>
  <c r="H60" i="9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1" i="20" s="1"/>
  <c r="D51" i="9"/>
  <c r="D51" i="10" s="1"/>
  <c r="D51" i="11" s="1"/>
  <c r="D51" i="12" s="1"/>
  <c r="D51" i="13" s="1"/>
  <c r="D51" i="14" s="1"/>
  <c r="D51" i="15" s="1"/>
  <c r="D51" i="16" s="1"/>
  <c r="D51" i="17" s="1"/>
  <c r="D51" i="18" s="1"/>
  <c r="D51" i="19" s="1"/>
  <c r="D52" i="20" s="1"/>
  <c r="D52" i="9"/>
  <c r="D52" i="10" s="1"/>
  <c r="D52" i="11" s="1"/>
  <c r="D52" i="12" s="1"/>
  <c r="D52" i="13" s="1"/>
  <c r="D52" i="14" s="1"/>
  <c r="D52" i="15" s="1"/>
  <c r="D52" i="16" s="1"/>
  <c r="D52" i="17" s="1"/>
  <c r="D52" i="18" s="1"/>
  <c r="D52" i="19" s="1"/>
  <c r="D53" i="20" s="1"/>
  <c r="E59" i="9"/>
  <c r="E59" i="10" s="1"/>
  <c r="E59" i="11" s="1"/>
  <c r="E59" i="12" s="1"/>
  <c r="E59" i="13" s="1"/>
  <c r="E59" i="14" s="1"/>
  <c r="E59" i="15" s="1"/>
  <c r="E59" i="16" s="1"/>
  <c r="E59" i="17" s="1"/>
  <c r="E59" i="18" s="1"/>
  <c r="E59" i="19" s="1"/>
  <c r="E60" i="20" s="1"/>
  <c r="E45" i="9"/>
  <c r="E45" i="10" s="1"/>
  <c r="E45" i="11" s="1"/>
  <c r="E45" i="12" s="1"/>
  <c r="E45" i="13" s="1"/>
  <c r="E45" i="14" s="1"/>
  <c r="E45" i="15" s="1"/>
  <c r="E45" i="16" s="1"/>
  <c r="E45" i="17" s="1"/>
  <c r="E45" i="18" s="1"/>
  <c r="E45" i="19" s="1"/>
  <c r="E46" i="20" s="1"/>
  <c r="D55" i="9"/>
  <c r="D55" i="10" s="1"/>
  <c r="D55" i="11" s="1"/>
  <c r="D55" i="12" s="1"/>
  <c r="D55" i="13" s="1"/>
  <c r="D55" i="14" s="1"/>
  <c r="D55" i="15" s="1"/>
  <c r="D55" i="16" s="1"/>
  <c r="D55" i="17" s="1"/>
  <c r="D55" i="18" s="1"/>
  <c r="D55" i="19" s="1"/>
  <c r="D56" i="20" s="1"/>
  <c r="H46" i="9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7" i="20" s="1"/>
  <c r="I43" i="9"/>
  <c r="I43" i="10" s="1"/>
  <c r="I43" i="11" s="1"/>
  <c r="I43" i="12" s="1"/>
  <c r="I43" i="13" s="1"/>
  <c r="I43" i="14" s="1"/>
  <c r="I43" i="15" s="1"/>
  <c r="I43" i="16" s="1"/>
  <c r="I43" i="17" s="1"/>
  <c r="I43" i="18" s="1"/>
  <c r="I43" i="19" s="1"/>
  <c r="I44" i="20" s="1"/>
  <c r="H52" i="9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3" i="20" s="1"/>
  <c r="D45" i="9"/>
  <c r="D45" i="10" s="1"/>
  <c r="D45" i="11" s="1"/>
  <c r="D45" i="12" s="1"/>
  <c r="D45" i="13" s="1"/>
  <c r="D45" i="14" s="1"/>
  <c r="D45" i="15" s="1"/>
  <c r="D45" i="16" s="1"/>
  <c r="D45" i="17" s="1"/>
  <c r="D45" i="18" s="1"/>
  <c r="D45" i="19" s="1"/>
  <c r="D46" i="20" s="1"/>
  <c r="E47" i="9"/>
  <c r="E47" i="10" s="1"/>
  <c r="E47" i="11" s="1"/>
  <c r="E47" i="12" s="1"/>
  <c r="E47" i="13" s="1"/>
  <c r="E47" i="14" s="1"/>
  <c r="E47" i="15" s="1"/>
  <c r="E47" i="16" s="1"/>
  <c r="E47" i="17" s="1"/>
  <c r="E47" i="18" s="1"/>
  <c r="E47" i="19" s="1"/>
  <c r="E48" i="20" s="1"/>
  <c r="G59" i="9"/>
  <c r="G59" i="10" s="1"/>
  <c r="G59" i="11" s="1"/>
  <c r="G59" i="12" s="1"/>
  <c r="G59" i="13" s="1"/>
  <c r="G59" i="14" s="1"/>
  <c r="G59" i="15" s="1"/>
  <c r="G59" i="16" s="1"/>
  <c r="G59" i="17" s="1"/>
  <c r="G59" i="18" s="1"/>
  <c r="G59" i="19" s="1"/>
  <c r="G60" i="20" s="1"/>
  <c r="G58" i="9"/>
  <c r="G58" i="10" s="1"/>
  <c r="G58" i="11" s="1"/>
  <c r="G58" i="12" s="1"/>
  <c r="G58" i="13" s="1"/>
  <c r="G58" i="14" s="1"/>
  <c r="G58" i="15" s="1"/>
  <c r="G58" i="16" s="1"/>
  <c r="G58" i="17" s="1"/>
  <c r="G58" i="18" s="1"/>
  <c r="G58" i="19" s="1"/>
  <c r="G59" i="20" s="1"/>
  <c r="E47" i="38" l="1"/>
  <c r="E49" i="39" s="1"/>
  <c r="E48" i="40"/>
  <c r="E48" i="41" s="1"/>
  <c r="G46" i="38"/>
  <c r="G48" i="39" s="1"/>
  <c r="G47" i="40"/>
  <c r="G47" i="41" s="1"/>
  <c r="D52" i="38"/>
  <c r="D54" i="39" s="1"/>
  <c r="D53" i="40"/>
  <c r="D53" i="41" s="1"/>
  <c r="E52" i="38"/>
  <c r="E54" i="39" s="1"/>
  <c r="E53" i="40"/>
  <c r="E53" i="41" s="1"/>
  <c r="H46" i="38"/>
  <c r="H48" i="39" s="1"/>
  <c r="H47" i="40"/>
  <c r="H47" i="41" s="1"/>
  <c r="D45" i="38"/>
  <c r="D47" i="39" s="1"/>
  <c r="D46" i="40"/>
  <c r="D46" i="41" s="1"/>
  <c r="D47" i="38"/>
  <c r="D49" i="39" s="1"/>
  <c r="D48" i="40"/>
  <c r="D48" i="41" s="1"/>
  <c r="G52" i="38"/>
  <c r="G54" i="39" s="1"/>
  <c r="G53" i="40"/>
  <c r="G53" i="41" s="1"/>
  <c r="E45" i="38"/>
  <c r="E47" i="39" s="1"/>
  <c r="E46" i="40"/>
  <c r="E46" i="41" s="1"/>
  <c r="E44" i="38"/>
  <c r="E46" i="39" s="1"/>
  <c r="E45" i="40"/>
  <c r="E45" i="41" s="1"/>
  <c r="H44" i="38"/>
  <c r="H46" i="39" s="1"/>
  <c r="H45" i="40"/>
  <c r="H45" i="41" s="1"/>
  <c r="H43" i="38"/>
  <c r="H45" i="39" s="1"/>
  <c r="H44" i="40"/>
  <c r="H44" i="41" s="1"/>
  <c r="G60" i="38"/>
  <c r="G62" i="39" s="1"/>
  <c r="G61" i="40"/>
  <c r="G61" i="41" s="1"/>
  <c r="F59" i="38"/>
  <c r="F61" i="39" s="1"/>
  <c r="F60" i="40"/>
  <c r="F60" i="41" s="1"/>
  <c r="E59" i="38"/>
  <c r="E61" i="39" s="1"/>
  <c r="E60" i="40"/>
  <c r="E60" i="41" s="1"/>
  <c r="F58" i="38"/>
  <c r="F60" i="39" s="1"/>
  <c r="F59" i="40"/>
  <c r="F59" i="41" s="1"/>
  <c r="E57" i="38"/>
  <c r="E59" i="39" s="1"/>
  <c r="E58" i="40"/>
  <c r="E58" i="41" s="1"/>
  <c r="E53" i="38"/>
  <c r="E55" i="39" s="1"/>
  <c r="E54" i="40"/>
  <c r="E54" i="41" s="1"/>
  <c r="F56" i="38"/>
  <c r="F58" i="39" s="1"/>
  <c r="F57" i="40"/>
  <c r="F57" i="41" s="1"/>
  <c r="E56" i="38"/>
  <c r="E58" i="39" s="1"/>
  <c r="E57" i="40"/>
  <c r="E57" i="41" s="1"/>
  <c r="D55" i="38"/>
  <c r="D57" i="39" s="1"/>
  <c r="D56" i="40"/>
  <c r="D56" i="41" s="1"/>
  <c r="D51" i="38"/>
  <c r="D53" i="39" s="1"/>
  <c r="D52" i="40"/>
  <c r="D52" i="41" s="1"/>
  <c r="D48" i="38"/>
  <c r="D50" i="39" s="1"/>
  <c r="D49" i="40"/>
  <c r="D49" i="41" s="1"/>
  <c r="F48" i="38"/>
  <c r="F50" i="39" s="1"/>
  <c r="F49" i="40"/>
  <c r="F49" i="41" s="1"/>
</calcChain>
</file>

<file path=xl/sharedStrings.xml><?xml version="1.0" encoding="utf-8"?>
<sst xmlns="http://schemas.openxmlformats.org/spreadsheetml/2006/main" count="2369" uniqueCount="349">
  <si>
    <t>Понедельник</t>
  </si>
  <si>
    <t>Вторник</t>
  </si>
  <si>
    <t>Среда</t>
  </si>
  <si>
    <t>Четверг</t>
  </si>
  <si>
    <t>Пятница</t>
  </si>
  <si>
    <t xml:space="preserve">1 группа </t>
  </si>
  <si>
    <t>2 группа</t>
  </si>
  <si>
    <t xml:space="preserve">3 группа   </t>
  </si>
  <si>
    <t>4 группа</t>
  </si>
  <si>
    <t>5 группа</t>
  </si>
  <si>
    <t>8.50-10.20</t>
  </si>
  <si>
    <t>10.40-12.10</t>
  </si>
  <si>
    <t>13.00-14.30</t>
  </si>
  <si>
    <t>14.50-16.20</t>
  </si>
  <si>
    <t>Дата</t>
  </si>
  <si>
    <t>16.40-18.10</t>
  </si>
  <si>
    <t>Лекция. Информатика. Яшкина Е.Н. 277МБК</t>
  </si>
  <si>
    <t>Пр. Информатика. Яшкина Е.Н. 277МБК</t>
  </si>
  <si>
    <t>Лекция. Русский язык и культура речи. Гордиенко В.Е.</t>
  </si>
  <si>
    <t>Лекция. Русский язык и культура речи.Волкова М.С.</t>
  </si>
  <si>
    <t>5лекций</t>
  </si>
  <si>
    <t>2лекции</t>
  </si>
  <si>
    <t>2группы</t>
  </si>
  <si>
    <t>1группа</t>
  </si>
  <si>
    <t>две гр</t>
  </si>
  <si>
    <t>одна гр.</t>
  </si>
  <si>
    <t>Лекция. Анатомия человека. Павлычева Л.А. 162 МБК</t>
  </si>
  <si>
    <t>2,4,6 гр</t>
  </si>
  <si>
    <t>Лекция. Анатомия человека. Титова Е.П. 161 МБК</t>
  </si>
  <si>
    <t>1,5 гр</t>
  </si>
  <si>
    <t xml:space="preserve">Лекция. Баскетбол. Андрющенко Л.Б. </t>
  </si>
  <si>
    <t>Пр. Баскетбол. Лосева И.В., Мартынова А.В., Никонов Д.Н., Лаптев С.О., Аверясова Ю.О.</t>
  </si>
  <si>
    <t xml:space="preserve">Пр. Лыжные гонки. </t>
  </si>
  <si>
    <t>Пр. Гимнастика</t>
  </si>
  <si>
    <t>Лекция. Физическая культура и спорт. Еремин М.В.</t>
  </si>
  <si>
    <t>Пр. Элективные дисциплины по физ.культуре и спорту. Подвижные игры. Томашевич А.М. Модуль Д</t>
  </si>
  <si>
    <t>Пр. Элективные дисциплины по физ.культуре и спорту. Подвижные игры.Салахудинова Е.С. Модуль Б</t>
  </si>
  <si>
    <t>1гр,3гр</t>
  </si>
  <si>
    <t>2гр.,4гр</t>
  </si>
  <si>
    <t>Лекция. Тяжелоатлетические виды спорта. Баюрин А.П.161МБК</t>
  </si>
  <si>
    <t>Пр. Русский язык и культура речи. Гордиенко В.Е. 408 ауд.к.</t>
  </si>
  <si>
    <t>Пр. Русский язык и культура речи. Капустина Ю.А. 409ауд.к.</t>
  </si>
  <si>
    <t>Пр. Русский язык и культура речи. Ишина Л.М. 409 ауд.к.</t>
  </si>
  <si>
    <t>Пр. Русский язык и культура речи. Уткина Е.Л. 410ауд.к</t>
  </si>
  <si>
    <t>Пр. Анатомия человека. Титова Е.П. 154МБК</t>
  </si>
  <si>
    <t>Пр. Анатомия человека. Павлычева Л.А. 131 МБК</t>
  </si>
  <si>
    <t>Лекция . Лыжные гонки. Сенатская В.Г. 212ауд.к.</t>
  </si>
  <si>
    <t>Суббота</t>
  </si>
  <si>
    <t>№ аудитории</t>
  </si>
  <si>
    <t>№</t>
  </si>
  <si>
    <t>Пр. ТиМ избранного вида спорта. ауд.прил.1.</t>
  </si>
  <si>
    <t>Лекция. ТиМ избранного вида спорта. ауд.прил.1.</t>
  </si>
  <si>
    <t>Пр. Тяжелоатлетические виды спорта. Соловьев В.Б. ауд.прил.1.</t>
  </si>
  <si>
    <t>Пр. Спортивно-педагогическое совершенствование. ауд.прил.1.</t>
  </si>
  <si>
    <t>День недели</t>
  </si>
  <si>
    <t>Время</t>
  </si>
  <si>
    <t xml:space="preserve">Условные обозначения: </t>
  </si>
  <si>
    <t>МБК - медико-биологический корпус</t>
  </si>
  <si>
    <t>*Л. Анатомия*</t>
  </si>
  <si>
    <t>*Пр. Анатомия*</t>
  </si>
  <si>
    <t>*Пр. Гимнастика*</t>
  </si>
  <si>
    <t>*Пр. Иностранный язык*</t>
  </si>
  <si>
    <t>*Л. Теория и методика*</t>
  </si>
  <si>
    <t>*Пр. Теория и методика*</t>
  </si>
  <si>
    <t>18.30-20.00</t>
  </si>
  <si>
    <t>Наименование дисциплины (модуля):</t>
  </si>
  <si>
    <t>Наименование дисциплины (модуля), практика, научные исследования</t>
  </si>
  <si>
    <t>Кол-во часов (Л/П)</t>
  </si>
  <si>
    <t>Форма отчетности</t>
  </si>
  <si>
    <t>Учебные группы в соответствии с избранным видом спорта</t>
  </si>
  <si>
    <t>Ф.И.О. преподавателя</t>
  </si>
  <si>
    <t>Условные обозначения:</t>
  </si>
  <si>
    <t>П -  занятия семинарского типа</t>
  </si>
  <si>
    <t>Л - занятия лекционного типа</t>
  </si>
  <si>
    <t>Время начала и окончания 1 пара 08:50-10:20; 2 пара 10:40-12:10; 3 пара 13:00-14:30; 4 пара 14:50-16:20 ; 5 пара 16:40-18:10</t>
  </si>
  <si>
    <t>Составитель расписания ____________________________________ Е.Ю. Дубинкина</t>
  </si>
  <si>
    <t>СК - спортивный корпус</t>
  </si>
  <si>
    <t>Баскетбол</t>
  </si>
  <si>
    <t>Волейбол</t>
  </si>
  <si>
    <t>Теория и методика избранного вида спорта</t>
  </si>
  <si>
    <t>Теннис</t>
  </si>
  <si>
    <t>Гандбол, бейсбол, регби</t>
  </si>
  <si>
    <t>Хоккей</t>
  </si>
  <si>
    <t>Б/о - без отчета</t>
  </si>
  <si>
    <t>ПСС - Профессионально-спортивное совершенствование</t>
  </si>
  <si>
    <t>49.03.04 Спорт *</t>
  </si>
  <si>
    <t>* Профили (направленность) указанны на титульном листе</t>
  </si>
  <si>
    <t>УСЗК - универсальный спортивно-зрелищный комплекс</t>
  </si>
  <si>
    <r>
      <t xml:space="preserve">ТРЕНЕРСКИЙ ФАКУЛЬТЕТ, </t>
    </r>
    <r>
      <rPr>
        <sz val="24"/>
        <color rgb="FF000000"/>
        <rFont val="Times New Roman"/>
        <family val="1"/>
        <charset val="204"/>
      </rPr>
      <t>направление подготовки (образовательная программа)</t>
    </r>
  </si>
  <si>
    <t>Элективные дисциплины по ФКиС- Элективные дисциплины по физической культуре и спорту</t>
  </si>
  <si>
    <t>Диф.зачет - дифференцированный зачет</t>
  </si>
  <si>
    <t>ТРЕНЕРСКИЙ ФАКУЛЬТЕТ, направление подготовки (образовательная программа)</t>
  </si>
  <si>
    <t xml:space="preserve">Иностранный язык </t>
  </si>
  <si>
    <t>Профессионально-спортивное совершенствование</t>
  </si>
  <si>
    <t>УТВЕРЖДАЮ</t>
  </si>
  <si>
    <t>Анатомия человека</t>
  </si>
  <si>
    <t>Гимнастика</t>
  </si>
  <si>
    <t>Л - Силаева Л.В.</t>
  </si>
  <si>
    <t>Футбол</t>
  </si>
  <si>
    <t>ауд.9 УСЗК, ауд.16-17 УСЗК, Ледовая арена УСЗК</t>
  </si>
  <si>
    <t>Комова Е.В.</t>
  </si>
  <si>
    <t>3 группа</t>
  </si>
  <si>
    <t xml:space="preserve">2 группа   </t>
  </si>
  <si>
    <t>20.20-21.50</t>
  </si>
  <si>
    <t>Л - Ракитина М.А.</t>
  </si>
  <si>
    <t>Р.С. Халимулина</t>
  </si>
  <si>
    <t>_________________________________</t>
  </si>
  <si>
    <t xml:space="preserve">«____»____________________20___г.
</t>
  </si>
  <si>
    <t>универсальный зал УСЗК, каб. 12 УСЗК</t>
  </si>
  <si>
    <t>Л. Теория и методика футбола  Прил.1</t>
  </si>
  <si>
    <t>Л. Теория и методика хоккея Прил.1</t>
  </si>
  <si>
    <t>Расписание учебных занятий на первое полугодие 2025-2026 учебного года</t>
  </si>
  <si>
    <t xml:space="preserve">Курс 1, семестр 1, очная форма обучения </t>
  </si>
  <si>
    <t>Баскетбол, гандбол, бейсбол, регби</t>
  </si>
  <si>
    <t>Теннис, настольный теннис, бадминтон, бильярд</t>
  </si>
  <si>
    <t>Волейбол, шахматы, гонки дронов, компьютерный спорт</t>
  </si>
  <si>
    <t>группы С1-01А-25, С1-01Б-25, С1-02А-25, С1-02Б-25, С1-03-25, С1-04А-25, С1-04Б-25, С1-05А-25, С1-05Б-25</t>
  </si>
  <si>
    <t>Начальник учебно-методического управления</t>
  </si>
  <si>
    <t>Л - Степанова М.Е.</t>
  </si>
  <si>
    <t>Андреасян К.Б.</t>
  </si>
  <si>
    <t>Л - Ананьин А.С.</t>
  </si>
  <si>
    <t>252СК, 61СК, 62СК, 65СК, открытый стадион</t>
  </si>
  <si>
    <t>Зачет</t>
  </si>
  <si>
    <t>Диф.зачет</t>
  </si>
  <si>
    <t>2/18</t>
  </si>
  <si>
    <t>0/36</t>
  </si>
  <si>
    <t>П -  Чигарев Н.Н.</t>
  </si>
  <si>
    <t>Расписание учебных занятий на первое полугодие 2026-2027 учебного года</t>
  </si>
  <si>
    <t>группы С1-01-26, С1-02-26, С1-03-26, С1-04-26, С1-05-26</t>
  </si>
  <si>
    <t>Интеллектуальные и технологичные виды спорта</t>
  </si>
  <si>
    <t>Настольный теннис, бадминтон, бильярд, сквош</t>
  </si>
  <si>
    <r>
      <t xml:space="preserve">Приложение1 к расписанию учебных занятий на </t>
    </r>
    <r>
      <rPr>
        <b/>
        <u/>
        <sz val="10"/>
        <color indexed="8"/>
        <rFont val="Times New Roman"/>
        <family val="1"/>
        <charset val="204"/>
      </rPr>
      <t>первое</t>
    </r>
    <r>
      <rPr>
        <b/>
        <sz val="10"/>
        <color indexed="8"/>
        <rFont val="Times New Roman"/>
        <family val="1"/>
        <charset val="204"/>
      </rPr>
      <t xml:space="preserve"> полугодие 2026-2027 учебного года</t>
    </r>
  </si>
  <si>
    <t>49.03.04 Спорт, Профиль (направленность):  Спортивная подготовка по виду спорта «баскетбол». Педагогическая деятельность в области физической культуры и спорта; Спортивная подготовка по виду спорта «волейбол». Педагогическая деятельность в области физической культуры и спорта; Спортивная подготовка по видам спорта «гандбол», «бейсбол», «регби». Педагогическая деятельность в области физической культуры и спорта;  Спортивная подготовка в интеллектуальных и технологичных видах спорта. Педагогическая деятельность в области физической культуры и спорта; Спортивная подготовка по виду спорта «теннис». Педагогическая деятельность в области физической культуры и спорта; Спортивная подготовка по виду спорта «хоккей». Педагогическая деятельность в области физической культуры и спорта; Спортивная подготовка по виду спорта «футбол». Педагогическая деятельность в области физической культуры и спорта; Спортивная подготовка по видам спорта "настольный теннис", "бадминтон", "бильярд", "сквош". Педагогическая деятельность в области физической культуры и спорта;  уровень образования бакалавриат</t>
  </si>
  <si>
    <r>
      <rPr>
        <b/>
        <sz val="24"/>
        <rFont val="Times New Roman"/>
        <family val="1"/>
        <charset val="204"/>
      </rPr>
      <t>49.03.04 Спорт</t>
    </r>
    <r>
      <rPr>
        <sz val="24"/>
        <rFont val="Times New Roman"/>
        <family val="1"/>
        <charset val="204"/>
      </rPr>
      <t>, Профиль (направленность):  Спортивная подготовка по виду спорта «баскетбол». Педагогическая деятельность в области физической культуры и спорта; Спортивная подготовка по виду спорта «волейбол». Педагогическая деятельность в области физической культуры и спорта; Спортивная подготовка по видам спорта «гандбол», «бейсбол», «регби». Педагогическая деятельность в области физической культуры и спорта;  Спортивная подготовка в интеллектуальных и технологичных видах спорта. Педагогическая деятельность в области физической культуры и спорта; Спортивная подготовка по виду спорта «теннис». Педагогическая деятельность в области физической культуры и спорта; Спортивная подготовка по виду спорта «хоккей». Педагогическая деятельность в области физической культуры и спорта; Спортивная подготовка по виду спорта «футбол». Педагогическая деятельность в области физической культуры и спорта; Спортивная подготовка по видам спорта "настольный теннис", "бадминтон", "бильярд", "сквош". Педагогическая деятельность в области физической культуры и спорта;</t>
    </r>
    <r>
      <rPr>
        <b/>
        <sz val="24"/>
        <rFont val="Times New Roman"/>
        <family val="1"/>
        <charset val="204"/>
      </rPr>
      <t xml:space="preserve">  уровень образования бакалавриат</t>
    </r>
  </si>
  <si>
    <t>Теннис, настольный теннис, бадминтон, бильярд, сквош</t>
  </si>
  <si>
    <t>Теннисный центр 70ауд., 1 и 2 корт</t>
  </si>
  <si>
    <t>230СК, 54СК</t>
  </si>
  <si>
    <t>Волейбол, интеллектуальные и технологичные виды спорта (шахматы, гонки дронов, компьютерный спорт, спортивное программирование, страйкбол)</t>
  </si>
  <si>
    <t>Л. Теория и методика тенниса, настольного тенниса, бадминтона, бильярда, сквоша Прил.1</t>
  </si>
  <si>
    <t>0/32</t>
  </si>
  <si>
    <t>Б/о</t>
  </si>
  <si>
    <t>Речевое общение в профессиональной деятельности</t>
  </si>
  <si>
    <t>10/22</t>
  </si>
  <si>
    <t>Физическая культура и спорт</t>
  </si>
  <si>
    <t>10/10</t>
  </si>
  <si>
    <t>*Л. Гимнастика*</t>
  </si>
  <si>
    <t>*Л. Речевое общение в профессиональной деятельности*</t>
  </si>
  <si>
    <t>*Пр. Речевое общение в профессиональной деятельности*</t>
  </si>
  <si>
    <t>*Л. Физическая культура и спорт*</t>
  </si>
  <si>
    <t>*Пр. Физическая культура и спорт*</t>
  </si>
  <si>
    <t>8/24</t>
  </si>
  <si>
    <t>Информационные технологии в сфере физической культуры и спорта</t>
  </si>
  <si>
    <t>4/28</t>
  </si>
  <si>
    <t>10/90</t>
  </si>
  <si>
    <t>*Л. Информационные технологии*</t>
  </si>
  <si>
    <t>*Пр. Информационные технологии*</t>
  </si>
  <si>
    <t>6/40</t>
  </si>
  <si>
    <t>2/46</t>
  </si>
  <si>
    <t>Лыжные гонки</t>
  </si>
  <si>
    <t>2/62</t>
  </si>
  <si>
    <t>*Л. Волейбол*</t>
  </si>
  <si>
    <t>*Пр. Волейбол*</t>
  </si>
  <si>
    <t>*Л. Лыжные гонки*</t>
  </si>
  <si>
    <t>*Пр. Лыжные гонки*</t>
  </si>
  <si>
    <t>Элективные дисциплины по ФКиС: Силовая подготовка</t>
  </si>
  <si>
    <t>Использование электронной информационно-образовательной среды РУС "ГЦОЛИФК"</t>
  </si>
  <si>
    <t>2/4</t>
  </si>
  <si>
    <t>*Л. Использование электронной*</t>
  </si>
  <si>
    <t>*Пр. Использование электронной*</t>
  </si>
  <si>
    <t>*Л. Элективные дисциплины по ФКиС: Силовая подготовка*</t>
  </si>
  <si>
    <t>*Пр. Элективные дисциплины по ФКиС: Силовая подготовка*</t>
  </si>
  <si>
    <t>с 01.09 по 26.12</t>
  </si>
  <si>
    <t>Теория и методика баскетбола, профессионально-спортивное совершенствование (баскетбол)</t>
  </si>
  <si>
    <t>Теория и методика  настольного тенниса, бадминтона, бильярда, сквоша, профессионально-спортивное совершенствование  (настольный теннис,  бадминтон, бильярд, сквош)</t>
  </si>
  <si>
    <t>Теория и методика волейбола, профессионально-спортивное совершенствование (волейбол)</t>
  </si>
  <si>
    <t>Теория и методика гандбол, бейсбол, регби, профессионально-спортивное совершенствование (гандбол, бейсбол, регби)</t>
  </si>
  <si>
    <t>Теория и методика тенниса, профессионально-спортивное совершенствование (теннис)</t>
  </si>
  <si>
    <t>Теория и методика футбола, профессионально-спортивное совершенствование (футбол)</t>
  </si>
  <si>
    <t>Теория и методика хоккея, профессионально-спортивное совершенствование (хоккей)</t>
  </si>
  <si>
    <t>Л - Шевцов А.В.</t>
  </si>
  <si>
    <t>Л - Михалина Г.М., Ростовцева М.Ю., Парахин В.А.</t>
  </si>
  <si>
    <t>250 мбк, 282 мбк,  л/а манеж, АНОСРФиС "АРТА-СПОРТ": г. Москва, Измайловский пр-д, д.15</t>
  </si>
  <si>
    <r>
      <t xml:space="preserve">Наименование дисциплины (модуля): </t>
    </r>
    <r>
      <rPr>
        <b/>
        <sz val="12"/>
        <rFont val="Times New Roman"/>
        <family val="1"/>
        <charset val="204"/>
      </rPr>
      <t>Лыжные гонки</t>
    </r>
  </si>
  <si>
    <t>Л - Урюпин Н.Н.</t>
  </si>
  <si>
    <t>П - Костичкин П.В., Урюпин Н.Н.</t>
  </si>
  <si>
    <t>Л - Новоселов М.А., Чигров А.С., Габбазова А.Я., Антонова Н.П., Акимушкин Р.В.</t>
  </si>
  <si>
    <t>П - Новоселов М.А., Чигров А.С., Габбазова А.Я., Антонова Н.П., Акимушкин Р.В.</t>
  </si>
  <si>
    <t>Гричанова Т.Г.</t>
  </si>
  <si>
    <t>Сироткина Ю.А.</t>
  </si>
  <si>
    <t>Силаева Л.В.</t>
  </si>
  <si>
    <t>Л - Лапшин Н.А.</t>
  </si>
  <si>
    <t xml:space="preserve">Л -   Фурукина М.С. </t>
  </si>
  <si>
    <t xml:space="preserve">П -   Фурукина М.С. </t>
  </si>
  <si>
    <t>Л - Волкова М.С.</t>
  </si>
  <si>
    <t>Волкова М.С.</t>
  </si>
  <si>
    <t>Переверзева Н.А. (русский язык как иностранный для иностранных граждан)</t>
  </si>
  <si>
    <t>Л - Дубровинский С.С.</t>
  </si>
  <si>
    <t>Дзунович А.С.</t>
  </si>
  <si>
    <t>Хитрова А.А.</t>
  </si>
  <si>
    <t>Сенатская В.Г.</t>
  </si>
  <si>
    <t>Кувшинникова С.А.</t>
  </si>
  <si>
    <t>П - Мельничук К.Н., Пикалова А.В.</t>
  </si>
  <si>
    <t>П - Ракитина М.А., Шабанова А.В.</t>
  </si>
  <si>
    <t>П - Шабанова А.В. (18ч), Карпов Г.А. (18ч)</t>
  </si>
  <si>
    <t>Л - Яшкина Е.Н.</t>
  </si>
  <si>
    <t>Л -  Шагин Н.И., Диванкулиев Д.Г.</t>
  </si>
  <si>
    <t>П - Шагин Н.И., Орлов А.В., Несмелов А.А., Диванкулиев Д.Г.</t>
  </si>
  <si>
    <t>Л - Григорьев В.А.</t>
  </si>
  <si>
    <t>П - Григорьев В.А., Пшеничная А.М.</t>
  </si>
  <si>
    <t>П - Пшеничная А.М.</t>
  </si>
  <si>
    <t>Ефимов А.С.</t>
  </si>
  <si>
    <t>Ананьин А.С.</t>
  </si>
  <si>
    <t>Суханова А.В.</t>
  </si>
  <si>
    <t>Ефимов А.С., Пшеничная А.М.</t>
  </si>
  <si>
    <t>Л - Атлас А.А.</t>
  </si>
  <si>
    <t>Атлас А.А.</t>
  </si>
  <si>
    <t>Громов В.А.</t>
  </si>
  <si>
    <t>Смирнов В.Е.</t>
  </si>
  <si>
    <t>Л - Ким Т.К.</t>
  </si>
  <si>
    <t>Кривенков А.А.</t>
  </si>
  <si>
    <t>Л. Использование электронной информационно-образовательной среды РУС "ГЦОЛИФК"  Шевцов А.В.  - Арена УСЗК (Универсальный спортивно-зрелищный комплекс)</t>
  </si>
  <si>
    <t>Яшкина Е.Н., Попов Г.И.</t>
  </si>
  <si>
    <t>Л. Речевое общение в профессиональной деятельности Волкова М.С. 162мбк</t>
  </si>
  <si>
    <t>Л. Физическая культура и спорт Ким Т.К. 162мбк</t>
  </si>
  <si>
    <t>Л. Информационные технологии в сфере физической культуры и спорта Яшкина Е.Н. 162мбк</t>
  </si>
  <si>
    <t>Л. Гимнастика Михалина Г.М. 162мбк</t>
  </si>
  <si>
    <t>Л. Гимнастика Ростовцева М.Ю. 162мбк</t>
  </si>
  <si>
    <t>Л. Гимнастика Парахин В.А. 162мбк</t>
  </si>
  <si>
    <t>Л. Волейбол Ананьин А.С. 162мбк</t>
  </si>
  <si>
    <t>Л. Элективные дисциплины по ФКиС: Силовая подготовка Атлас А.А. 162мбк</t>
  </si>
  <si>
    <t>Пр. Теория и методика тенниса, настольного тенниса, бадминтона, бильярда, сквоша Прил.1</t>
  </si>
  <si>
    <t>Пр. Теория и методика тенниса, настольного тенниса, бадминтона, бильярда, сквоша Прил.1 - только 03.09</t>
  </si>
  <si>
    <t>Пр. Теория и методика футбола  Прил.1</t>
  </si>
  <si>
    <t>Пр. Теория и методика футбола  Прил.1 - только 03.09</t>
  </si>
  <si>
    <t>Пр. Теория и методика хоккея Прил.1</t>
  </si>
  <si>
    <t>228 гл.к., л/а манеж, 217мбк,  415 ауд.к., 416 ауд.к. (страйкбол: четверг - 213СК)</t>
  </si>
  <si>
    <t>Пр. Иностранный язык  Комова Е.В. 508 гл.к.</t>
  </si>
  <si>
    <t>Пр. Иностранный язык  Комова Е.В. 508 гл.к., Варичев А.М. 511 гл.к.</t>
  </si>
  <si>
    <t>Л. Анатомия человека Силаева Л.В. 162мбк</t>
  </si>
  <si>
    <t>Кувшинникова С.А., Дубовицкая И.А.</t>
  </si>
  <si>
    <t>Пр. Гимнастика Андреасян К.Б. 205СК</t>
  </si>
  <si>
    <t>Пр. Гимнастика Кувшинникова С.А. 205СК</t>
  </si>
  <si>
    <t>Пр. Гимнастика Кувшинникова С.А., Дубовицкая И.А. 205СК</t>
  </si>
  <si>
    <t>Пр. Волейбол Ефимов А.С. 230СК</t>
  </si>
  <si>
    <t>Пр. Волейбол Ананьин А.С. 230СК</t>
  </si>
  <si>
    <t>Пр. Волейбол Суханова А.В. 230СК</t>
  </si>
  <si>
    <t>Пр. Волейбол Ефимов А.С., Пшеничная А.М. 230СК</t>
  </si>
  <si>
    <t>Пр. Элективные дисциплины по ФКиС: Силовая подготовка Смирнов В.Е. 42СК</t>
  </si>
  <si>
    <t>Пр. Элективные дисциплины по ФКиС: Силовая подготовка Громов В.А. 42СК</t>
  </si>
  <si>
    <t>Пр. Элективные дисциплины по ФКиС: Силовая подготовка Атлас А.А. 42СК</t>
  </si>
  <si>
    <t>вторник:  08.50-10.20  -15 МБК, 223 СК, модуль Д, 10.40-12.10 - 15 МБК, 223 СК; четверг:  15 МБК, 223 СК</t>
  </si>
  <si>
    <t>Пр. Информационные технологии в сфере физической культуры и спорта Яшкина Е.Н. 277мбк, Попов Г.И. 246мбк</t>
  </si>
  <si>
    <t>Волейбол, гандбол, бейсбол, регби</t>
  </si>
  <si>
    <t>6 группа</t>
  </si>
  <si>
    <t>группы С1-01-26, С1-02-26, С1-03-26, С1-04А-26, С1-04Б-26, С1-05А-26, С1-05Б-26, С1-06-26</t>
  </si>
  <si>
    <r>
      <rPr>
        <b/>
        <u/>
        <sz val="24"/>
        <rFont val="Times New Roman"/>
        <family val="1"/>
        <charset val="204"/>
      </rPr>
      <t>49.03.04 Спорт, Профиль (направленность)</t>
    </r>
    <r>
      <rPr>
        <sz val="24"/>
        <rFont val="Times New Roman"/>
        <family val="1"/>
        <charset val="204"/>
      </rPr>
      <t xml:space="preserve">:  Спортивная подготовка по виду спорта «баскетбол». Педагогическая деятельность в области физической культуры и спорта; Спортивная подготовка по виду спорта «волейбол». Педагогическая деятельность в области физической культуры и спорта; Спортивная подготовка по видам спорта «гандбол», «бейсбол», «регби». Педагогическая деятельность в области физической культуры и спорта;  Спортивная подготовка в интеллектуальных и технологичных видах спорта. Педагогическая деятельность в области физической культуры и спорта; Спортивная подготовка по виду спорта «теннис». Педагогическая деятельность в области физической культуры и спорта; Спортивная подготовка по виду спорта «хоккей». Педагогическая деятельность в области физической культуры и спорта; Спортивная подготовка по виду спорта «футбол». Педагогическая деятельность в области физической культуры и спорта; Спортивная подготовка по видам спорта "настольный теннис", "бадминтон", "бильярд", "сквош". Педагогическая деятельность в области физической культуры и спорта;  </t>
    </r>
    <r>
      <rPr>
        <b/>
        <sz val="24"/>
        <rFont val="Times New Roman"/>
        <family val="1"/>
        <charset val="204"/>
      </rPr>
      <t>уровень образования бакалавриат</t>
    </r>
  </si>
  <si>
    <t>Л. Теория и методика баскетбола Прил.1</t>
  </si>
  <si>
    <t>Л. Теория и методика интеллектуальных и технологичных видов спорта  Прил.1</t>
  </si>
  <si>
    <t>Пр. Теория и методика интеллектуальных и технологичных видов спорта  Прил.1</t>
  </si>
  <si>
    <t>Л. Теория и методика волейбола, гандбола, бейсбола, регби Прил.1</t>
  </si>
  <si>
    <t>Пр. Теория и методика волейбола, гандбола, бейсбола, регби  Прил.1</t>
  </si>
  <si>
    <t>Пр. Теория и методика баскетбола Прил.1</t>
  </si>
  <si>
    <t>Комова Е.В., Удалова М.Ю.</t>
  </si>
  <si>
    <t>Яшкина Е.Н.</t>
  </si>
  <si>
    <t>Пр. Информационные технологии в сфере физической культуры и спорта Яшкина Е.Н. 277мбк</t>
  </si>
  <si>
    <t>Пр. Иностранный язык  Комова Е.В. 508 гл.к., Удалова М.Ю. 511 гл.к.</t>
  </si>
  <si>
    <t>Пр. Гимнастика Кувшинникова С.А.205СК</t>
  </si>
  <si>
    <t>П - Лаптев С.О., Лапшин Н.А., Чернов С.В.</t>
  </si>
  <si>
    <t>224СК, 238СК, 9-10СК</t>
  </si>
  <si>
    <t>Шевцов А.В., Кузнецова Н.А.</t>
  </si>
  <si>
    <t>Суханова А.В., Пшеничная А.М.</t>
  </si>
  <si>
    <t>Пр. Волейбол Суханова А.В., Пшеничная А.М. 230СК</t>
  </si>
  <si>
    <t>ПСС хоккей Ледовая площадка УСЗК с 09.09</t>
  </si>
  <si>
    <t>ПСС гандбол, бейсбол, регби - Арена УСЗК / каб.12 УСЗК с 07.09</t>
  </si>
  <si>
    <t>ПСС баскетбол 224СК</t>
  </si>
  <si>
    <t>Пр. Теория и методика тенниса Прил.1</t>
  </si>
  <si>
    <t>Пр.  Теория и методика настольного тенниса, бадминтона, бильярда, сквоша Прил.1</t>
  </si>
  <si>
    <t>Пр. Иностранный язык  Переверзева Н.А.  508 гл.к. - (русский язык как иностранный для иностранных граждан:  С1-03-26, С1-02-26, С1-04Б-26) - 10.09, 17.09, 24.09, 01.10, 08.10, 15.10, 22.10, 29.10, 05.11, 12.11, 19.11, 26.11, 03.12, 10.12, 17.12, 24.12</t>
  </si>
  <si>
    <t>ПСС Теннис 1 и 2 корт 07.09-18.09</t>
  </si>
  <si>
    <t>ПСС Теннис 1 и 2 корт с 21.09</t>
  </si>
  <si>
    <t>*С1-04А-26*</t>
  </si>
  <si>
    <t>*С1-04Б-26*</t>
  </si>
  <si>
    <t>*С1-05А-26*</t>
  </si>
  <si>
    <t>*С1-05Б-26*</t>
  </si>
  <si>
    <t>Пр. Гимнастика Кувшинникова С.А. 205СК - только 06.10</t>
  </si>
  <si>
    <t>Пр. Гимнастика Кувшинникова С.А., Дубовицкая И.А. 205СК - только 08.10</t>
  </si>
  <si>
    <t>Пр. Элективные дисциплины по ФКиС: Силовая подготовка Громов В.А. 42СК - только 13.10</t>
  </si>
  <si>
    <t>Пр. Элективные дисциплины по ФКиС: Силовая подготовка Атлас А.А. 42СК - только 21.10</t>
  </si>
  <si>
    <t>Пр. Элективные дисциплины по ФКиС: Силовая подготовка Громов В.А. 42СК - только 23.09, 30.09</t>
  </si>
  <si>
    <t>Л. Теория и методика волейбола, гандбола, бейсбола, регби  Прил.1</t>
  </si>
  <si>
    <t>Л.  Теория и методика настольного тенниса, бадминтона, бильярда, сквоша Прил.1</t>
  </si>
  <si>
    <t>Л. Теория и методика тенниса Прил.1</t>
  </si>
  <si>
    <t>Мештель А.В.</t>
  </si>
  <si>
    <t>Силаева Л.В., Мештель А.В.</t>
  </si>
  <si>
    <t>Пр. Гимнастика Андреасян К.Б. 205СК (группа С1-04А-26), Козлов В.В. 205СК  (группа С1-04Б-26)</t>
  </si>
  <si>
    <t>Пр. Гимнастика Андреасян К.Б. 205СК (группа С1-04А-26)</t>
  </si>
  <si>
    <t>ПСС Волейбол 16.30-18.00 230СК, 54СК</t>
  </si>
  <si>
    <t>Пр. Иностранный язык  Переверзева Н.А.  511 гл.к. - (русский язык как иностранный для иностранных граждан: С1-01-26, С1-04А-26, С1-05А-26, С1-05Б-26) - 10.09, 17.09, 24.09, 01.10, 08.10, 15.10, 22.10, 29.10, 05.11, 12.11, 19.11, 26.11, 03.12, 10.12, 17.12, 24.12</t>
  </si>
  <si>
    <t>ПСС шахматы 415 ауд.к., 416 ауд.к.; ПСС страйкбол, компьютерный спорт 213СК</t>
  </si>
  <si>
    <t>Интеллектуальные и технологичные виды спорта (шахматы, гонки дронов, компьютерный спорт,  страйкбол)</t>
  </si>
  <si>
    <t>Интеллектуальные и технологичные виды спорта (шахматы, гонки дронов, компьютерный спорт,страйкбол)</t>
  </si>
  <si>
    <t>Теория и методика интеллектуальных и технологичных видов спорта, профессионально-спортивное совершенствование (шахматы, гонки дронов, компьютерный спорт,  страйкбол)</t>
  </si>
  <si>
    <t>Интеллектуальные и технологичные виды спорта (шахматы, гонки дронов, компьютерный спорт, страйкбол)</t>
  </si>
  <si>
    <t>ПСС гонки дронов 20.20-21.00- 228 гл.к., 21.00-21.50 - л/а манеж</t>
  </si>
  <si>
    <t>Л. Речевое общение в профессиональной деятельности Волкова М.С. 212 ауд.к.</t>
  </si>
  <si>
    <t>Л. Физическая культура и спорт Ким Т.К. 220 ауд.к.</t>
  </si>
  <si>
    <t>Л. Анатомия человека Силаева Л.В. 161мбк</t>
  </si>
  <si>
    <t>Пр. Элективные дисциплины по ФКиС: Силовая подготовка Громов В.А. 42СК - только  30.09</t>
  </si>
  <si>
    <t>Пр. Использование электронной информационно-образовательной среды РУС "ГЦОЛИФК" Кузнецова Н.А.</t>
  </si>
  <si>
    <t>Пр. Информационные технологии в сфере физической культуры и спорта Яшкина Е.Н. 138мбк, Попов Г.И. 246мбк</t>
  </si>
  <si>
    <t>Хитрова А.А., Дзунович А.С.</t>
  </si>
  <si>
    <t>Пр. Использование электронной информационно-образовательной среды РУС "ГЦОЛИФК" Шевцов А.В. 216ауд.к.</t>
  </si>
  <si>
    <t>Пр. Использование электронной информационно-образовательной среды РУС "ГЦОЛИФК" Шевцов А.В. 220ауд.к.</t>
  </si>
  <si>
    <t>Пр. Физическая культура и спорт Кривенков А.А. 306 гл.к.</t>
  </si>
  <si>
    <t>Щукин А.В., Дубровинский С.С.</t>
  </si>
  <si>
    <t>Пр. Использование электронной информационно-образовательной среды РУС "ГЦОЛИФК" Кузнецова Н.А. 403 ауд.к.</t>
  </si>
  <si>
    <t>Пр. Физическая культура и спорт Кривенков А.А. 404 ауд.к.</t>
  </si>
  <si>
    <t>Пр. Физическая культура и спорт Кривенков А.А. 309 гл.к.</t>
  </si>
  <si>
    <t>Пр. Анатомия человека Гричанова Т.Г. 154мбк</t>
  </si>
  <si>
    <t>Пр. Речевое общение в профессиональной деятельности Волкова М.С. 513 гл.к.</t>
  </si>
  <si>
    <t>Пр. Речевое общение в профессиональной деятельности Волкова М.С. 410 гл.к.- только 07.10</t>
  </si>
  <si>
    <t>Пр. Анатомия человека Мештель А.В. 154мбк</t>
  </si>
  <si>
    <t>Пр. Речевое общение в профессиональной деятельности Волкова М.С. (группа С1-05А-26) 513 гл.к.- только 08.10</t>
  </si>
  <si>
    <t>Пр. Анатомия человека Силаева Л.В. 143мбк</t>
  </si>
  <si>
    <t>Пр. Использование электронной информационно-образовательной среды РУС "ГЦОЛИФК" Кузнецова Н.А. 401ауд.к.</t>
  </si>
  <si>
    <t>Пр. Речевое общение в профессиональной деятельности Волкова М.С. 513гл.к. (группа С1-04А-26); Пр.  Гимнастика Козлов В.В. 205СК  (группа С1-04Б-26)</t>
  </si>
  <si>
    <t>Пр. Анатомия человека Силаева Л.В. 143мбк (группа С1-05Б-26) , Мештель А.В. 151мбк (группа С1-05А-26)</t>
  </si>
  <si>
    <t>Пр. Анатомия человека Мештель А.В. 151мбк (группа С1-05А-26); Пр.  Речевое общение в профессиональной деятельности Волкова М.С. 513 гл.к.(группа С1-05Б-26)</t>
  </si>
  <si>
    <t>Пр. Анатомия человека Силаева Л.В. 143мбк(группа С1-05Б-26) , Мештель А.В. 151мбк (группа С1-05А-26)</t>
  </si>
  <si>
    <t>Пр. Анатомия человека Силаева Л.В. 143мбк (группа С1-04А-26), Мештель А.В. 151мбк (группа С1-04Б-26)</t>
  </si>
  <si>
    <t>Пр.  Речевое общение в профессиональной деятельности Волкова М.С. 513 гл.к.(группа С1-05Б-26)</t>
  </si>
  <si>
    <t>Пр.  Речевое общение в профессиональной деятельности Волкова М.С. 513гл.к.(группа С1-04Б-26)</t>
  </si>
  <si>
    <t>Пр.  Речевое общение в профессиональной деятельности Волкова М.С. 513гл.к.(группа С1-05Б-26)</t>
  </si>
  <si>
    <t>Пр. Речевое общение в профессиональной деятельности Волкова М.С. 513гл.к.(группа С1-04А-26); Пр.  Анатомия человека Мештель А.В. 151мбк (группа С1-04Б-26)</t>
  </si>
  <si>
    <t>Пр. Физическая культура и спорт Кривенков А.А. 403 ауд.к.</t>
  </si>
  <si>
    <t>Пр. Анатомия человека Сироткина Ю.А. 151мбк</t>
  </si>
  <si>
    <t>Пр. Использование электронной информационно-образовательной среды РУС "ГЦОЛИФК" Шевцов А.В. 403 ауд.к.</t>
  </si>
  <si>
    <t>Пр. Использование электронной информационно-образовательной среды РУС "ГЦОЛИФК" Шевцов А.В. 218ауд.к.</t>
  </si>
  <si>
    <t>Пр. Речевое общение в профессиональной деятельности Волкова М.С. 404ауд.к.(группа С1-05А-26)</t>
  </si>
  <si>
    <t>Пр. Речевое общение в профессиональной деятельности Волкова М.С. 404ауд.к.(группа С1-05А-26); Пр.  Анатомия человека Силаева Л.В. (группа С1-05Б-26)</t>
  </si>
  <si>
    <t>Пр. Использование электронной информационно-образовательной среды РУС "ГЦОЛИФК" Кузнецова Н.А. 401 ауд.к.</t>
  </si>
  <si>
    <t>Комова Е.В., Варичев А.М. 02.10,  с 05.10 Бабель Т.А.</t>
  </si>
  <si>
    <t>Пр. Иностранный язык  Комова Е.В. 508 гл.к., Бабель Т.А. 511 гл.к.</t>
  </si>
  <si>
    <t>П - Лапшин Н.А., Сорокин С.А., Чернов С.В. до 09.10, с 12.10 Каменев А.Л.</t>
  </si>
  <si>
    <t>Андреасян К.Б., Козлов В.В. До 09.10, Михалина Г.М. с 12.10</t>
  </si>
  <si>
    <t>Пр. Гимнастика Андреасян К.Б. 205СК, Михалина Г.М. 205СК</t>
  </si>
  <si>
    <t>Пр. Речевое общение в профессиональной деятельности Волкова М.С. 513гл.к.(группа С1-04А-26); Пр.  Гимнастика Михалина Г.М. 205СК  (группа С1-04Б-26)</t>
  </si>
  <si>
    <t>Пр. Анатомия человека Силаева Л.В. 143мбк(группа С1-04А-26); Пр.  Гимнастика Михалина Г.М. 205СК  (группа С1-04Б-26)</t>
  </si>
  <si>
    <t>Пр. Анатомия человека Силаева Л.В. 143мбк (группа С1-04А-26); Пр.  Гимнастика Михалина Г.М.  205СК  (группа С1-04Б-26)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</si>
</sst>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&quot;р.&quot;_-;\-* #,##0.00&quot;р.&quot;_-;_-* &quot;-&quot;??&quot;р.&quot;_-;_-@_-"/>
  </numFmts>
  <fonts count="75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indexed="8"/>
      <name val="Times New Roman"/>
      <family val="1"/>
      <charset val="204"/>
    </font>
    <font>
      <sz val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u/>
      <sz val="16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8"/>
      <color indexed="8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b/>
      <sz val="1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sz val="20"/>
      <color indexed="8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20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b/>
      <sz val="20"/>
      <name val="Times New Roman"/>
      <family val="1"/>
      <charset val="204"/>
    </font>
    <font>
      <b/>
      <sz val="16"/>
      <name val="Arial Cyr"/>
      <charset val="204"/>
    </font>
    <font>
      <sz val="18"/>
      <name val="Times New Roman"/>
      <family val="1"/>
      <charset val="204"/>
    </font>
    <font>
      <b/>
      <sz val="24"/>
      <name val="Times New Roman"/>
      <family val="1"/>
      <charset val="204"/>
    </font>
    <font>
      <sz val="2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2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22"/>
      <color indexed="8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0"/>
      <color indexed="8"/>
      <name val="Calibri"/>
      <family val="2"/>
      <charset val="204"/>
    </font>
    <font>
      <b/>
      <sz val="24"/>
      <color rgb="FF00000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u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sz val="22"/>
      <name val="Times New Roman"/>
      <family val="1"/>
      <charset val="204"/>
    </font>
    <font>
      <sz val="22"/>
      <color rgb="FF000000"/>
      <name val="Times New Roman"/>
      <family val="1"/>
      <charset val="204"/>
    </font>
    <font>
      <sz val="26"/>
      <color theme="1"/>
      <name val="Times New Roman"/>
      <family val="1"/>
      <charset val="204"/>
    </font>
    <font>
      <sz val="26"/>
      <color indexed="8"/>
      <name val="Times New Roman"/>
      <family val="1"/>
      <charset val="204"/>
    </font>
    <font>
      <sz val="24"/>
      <color theme="1"/>
      <name val="Times New Roman"/>
      <family val="1"/>
      <charset val="204"/>
    </font>
    <font>
      <b/>
      <sz val="28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36"/>
      <color indexed="8"/>
      <name val="Times New Roman"/>
      <family val="1"/>
      <charset val="204"/>
    </font>
    <font>
      <sz val="22"/>
      <color theme="1"/>
      <name val="Calibri"/>
      <family val="2"/>
      <charset val="204"/>
      <scheme val="minor"/>
    </font>
    <font>
      <sz val="22"/>
      <color indexed="8"/>
      <name val="Calibri"/>
      <family val="2"/>
      <charset val="204"/>
    </font>
    <font>
      <sz val="22"/>
      <color indexed="10"/>
      <name val="Calibri"/>
      <family val="2"/>
      <charset val="204"/>
    </font>
    <font>
      <b/>
      <sz val="20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22"/>
      <color rgb="FFFF0000"/>
      <name val="Times New Roman"/>
      <family val="1"/>
      <charset val="204"/>
    </font>
    <font>
      <sz val="24"/>
      <color indexed="8"/>
      <name val="Times New Roman"/>
      <family val="1"/>
      <charset val="204"/>
    </font>
    <font>
      <sz val="24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22"/>
      <color rgb="FFFF0000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u/>
      <sz val="24"/>
      <name val="Times New Roman"/>
      <family val="1"/>
      <charset val="204"/>
    </font>
    <font>
      <b/>
      <sz val="14"/>
      <name val="Times New Roman"/>
      <family val="1"/>
      <charset val="204"/>
    </font>
    <font>
      <sz val="26"/>
      <color rgb="FF000000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9" fillId="6" borderId="0" applyNumberFormat="0" applyBorder="0" applyAlignment="0" applyProtection="0"/>
    <xf numFmtId="164" fontId="37" fillId="0" borderId="0" applyFont="0" applyFill="0" applyBorder="0" applyAlignment="0" applyProtection="0"/>
    <xf numFmtId="0" fontId="37" fillId="0" borderId="0"/>
  </cellStyleXfs>
  <cellXfs count="961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Border="1"/>
    <xf numFmtId="0" fontId="0" fillId="0" borderId="10" xfId="0" applyBorder="1" applyAlignment="1">
      <alignment wrapText="1"/>
    </xf>
    <xf numFmtId="0" fontId="2" fillId="0" borderId="0" xfId="0" applyFont="1" applyAlignment="1">
      <alignment wrapText="1"/>
    </xf>
    <xf numFmtId="0" fontId="12" fillId="0" borderId="0" xfId="0" applyFont="1" applyBorder="1"/>
    <xf numFmtId="0" fontId="13" fillId="4" borderId="0" xfId="0" applyFont="1" applyFill="1" applyBorder="1" applyAlignment="1">
      <alignment wrapText="1"/>
    </xf>
    <xf numFmtId="0" fontId="13" fillId="0" borderId="0" xfId="0" applyFont="1" applyBorder="1" applyAlignment="1">
      <alignment vertical="center" wrapText="1"/>
    </xf>
    <xf numFmtId="0" fontId="14" fillId="0" borderId="0" xfId="0" applyFont="1"/>
    <xf numFmtId="0" fontId="14" fillId="0" borderId="0" xfId="0" applyFont="1" applyBorder="1"/>
    <xf numFmtId="0" fontId="16" fillId="4" borderId="0" xfId="0" applyFont="1" applyFill="1" applyBorder="1" applyAlignment="1">
      <alignment wrapText="1"/>
    </xf>
    <xf numFmtId="0" fontId="16" fillId="0" borderId="0" xfId="0" applyFont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0" fontId="15" fillId="0" borderId="2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2" fillId="0" borderId="0" xfId="0" applyFont="1" applyFill="1"/>
    <xf numFmtId="0" fontId="12" fillId="0" borderId="0" xfId="0" applyFont="1"/>
    <xf numFmtId="0" fontId="12" fillId="0" borderId="10" xfId="0" applyFont="1" applyFill="1" applyBorder="1"/>
    <xf numFmtId="0" fontId="4" fillId="3" borderId="10" xfId="0" applyFont="1" applyFill="1" applyBorder="1" applyAlignment="1">
      <alignment horizontal="center" vertical="center"/>
    </xf>
    <xf numFmtId="0" fontId="12" fillId="5" borderId="10" xfId="0" applyFont="1" applyFill="1" applyBorder="1"/>
    <xf numFmtId="0" fontId="4" fillId="5" borderId="10" xfId="0" applyFont="1" applyFill="1" applyBorder="1" applyAlignment="1">
      <alignment horizontal="center" vertical="center"/>
    </xf>
    <xf numFmtId="0" fontId="19" fillId="6" borderId="0" xfId="2"/>
    <xf numFmtId="0" fontId="7" fillId="4" borderId="7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/>
    </xf>
    <xf numFmtId="0" fontId="0" fillId="0" borderId="15" xfId="0" applyBorder="1" applyAlignment="1">
      <alignment wrapText="1"/>
    </xf>
    <xf numFmtId="0" fontId="10" fillId="0" borderId="0" xfId="0" applyFont="1" applyAlignment="1"/>
    <xf numFmtId="0" fontId="8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vertical="center"/>
    </xf>
    <xf numFmtId="0" fontId="18" fillId="0" borderId="0" xfId="0" applyFont="1"/>
    <xf numFmtId="0" fontId="11" fillId="0" borderId="10" xfId="0" applyFont="1" applyFill="1" applyBorder="1"/>
    <xf numFmtId="0" fontId="9" fillId="0" borderId="0" xfId="0" applyFont="1" applyAlignment="1">
      <alignment vertical="center"/>
    </xf>
    <xf numFmtId="0" fontId="5" fillId="2" borderId="0" xfId="0" applyFont="1" applyFill="1" applyBorder="1" applyAlignment="1"/>
    <xf numFmtId="0" fontId="6" fillId="2" borderId="0" xfId="0" applyFont="1" applyFill="1" applyBorder="1" applyAlignment="1"/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18" fillId="0" borderId="0" xfId="0" applyFont="1" applyFill="1"/>
    <xf numFmtId="0" fontId="11" fillId="0" borderId="0" xfId="0" applyFont="1" applyFill="1"/>
    <xf numFmtId="0" fontId="5" fillId="0" borderId="5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justify" wrapText="1"/>
    </xf>
    <xf numFmtId="0" fontId="5" fillId="0" borderId="2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7" xfId="0" applyFont="1" applyFill="1" applyBorder="1" applyAlignment="1">
      <alignment horizontal="center" vertical="justify" wrapText="1"/>
    </xf>
    <xf numFmtId="0" fontId="27" fillId="0" borderId="26" xfId="0" applyFont="1" applyFill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7" fillId="0" borderId="27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21" fillId="0" borderId="10" xfId="0" applyFont="1" applyFill="1" applyBorder="1"/>
    <xf numFmtId="0" fontId="5" fillId="7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top" wrapText="1"/>
    </xf>
    <xf numFmtId="0" fontId="20" fillId="0" borderId="3" xfId="0" applyFont="1" applyFill="1" applyBorder="1" applyAlignment="1">
      <alignment horizontal="center" vertical="top" wrapText="1"/>
    </xf>
    <xf numFmtId="0" fontId="20" fillId="0" borderId="7" xfId="0" applyFont="1" applyFill="1" applyBorder="1" applyAlignment="1">
      <alignment horizontal="center" vertical="justify" wrapText="1"/>
    </xf>
    <xf numFmtId="0" fontId="27" fillId="0" borderId="5" xfId="0" applyFont="1" applyFill="1" applyBorder="1" applyAlignment="1">
      <alignment horizontal="center" vertical="top" wrapText="1"/>
    </xf>
    <xf numFmtId="0" fontId="27" fillId="0" borderId="3" xfId="0" applyFont="1" applyFill="1" applyBorder="1" applyAlignment="1">
      <alignment horizontal="center" vertical="top" wrapText="1"/>
    </xf>
    <xf numFmtId="0" fontId="27" fillId="0" borderId="7" xfId="0" applyFont="1" applyFill="1" applyBorder="1" applyAlignment="1">
      <alignment horizontal="center" vertical="justify" wrapText="1"/>
    </xf>
    <xf numFmtId="0" fontId="22" fillId="0" borderId="10" xfId="0" applyFont="1" applyFill="1" applyBorder="1"/>
    <xf numFmtId="0" fontId="20" fillId="7" borderId="10" xfId="0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24" fillId="0" borderId="0" xfId="0" applyFont="1" applyFill="1"/>
    <xf numFmtId="0" fontId="20" fillId="0" borderId="23" xfId="0" applyFont="1" applyFill="1" applyBorder="1" applyAlignment="1">
      <alignment horizontal="center" vertical="top" wrapText="1"/>
    </xf>
    <xf numFmtId="0" fontId="20" fillId="0" borderId="4" xfId="0" applyFont="1" applyFill="1" applyBorder="1" applyAlignment="1">
      <alignment horizontal="center" vertical="top" wrapText="1"/>
    </xf>
    <xf numFmtId="0" fontId="20" fillId="0" borderId="17" xfId="0" applyFont="1" applyFill="1" applyBorder="1" applyAlignment="1">
      <alignment horizontal="center" vertical="justify" wrapText="1"/>
    </xf>
    <xf numFmtId="0" fontId="27" fillId="0" borderId="39" xfId="0" applyFont="1" applyFill="1" applyBorder="1" applyAlignment="1">
      <alignment horizontal="center" vertical="center" wrapText="1"/>
    </xf>
    <xf numFmtId="0" fontId="27" fillId="0" borderId="40" xfId="0" applyFont="1" applyFill="1" applyBorder="1" applyAlignment="1">
      <alignment horizontal="center" vertical="center" wrapText="1"/>
    </xf>
    <xf numFmtId="0" fontId="27" fillId="0" borderId="23" xfId="0" applyFont="1" applyFill="1" applyBorder="1" applyAlignment="1">
      <alignment horizontal="center" vertical="top" wrapText="1"/>
    </xf>
    <xf numFmtId="0" fontId="27" fillId="0" borderId="4" xfId="0" applyFont="1" applyFill="1" applyBorder="1" applyAlignment="1">
      <alignment horizontal="center" vertical="top" wrapText="1"/>
    </xf>
    <xf numFmtId="0" fontId="27" fillId="0" borderId="17" xfId="0" applyFont="1" applyFill="1" applyBorder="1" applyAlignment="1">
      <alignment horizontal="center" vertical="justify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left" vertical="center" wrapText="1"/>
    </xf>
    <xf numFmtId="0" fontId="5" fillId="4" borderId="10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4" borderId="27" xfId="0" applyFont="1" applyFill="1" applyBorder="1" applyAlignment="1">
      <alignment horizontal="left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4" borderId="10" xfId="0" applyFont="1" applyFill="1" applyBorder="1" applyAlignment="1">
      <alignment horizontal="left" vertical="center" wrapText="1"/>
    </xf>
    <xf numFmtId="0" fontId="21" fillId="4" borderId="27" xfId="0" applyFont="1" applyFill="1" applyBorder="1" applyAlignment="1">
      <alignment horizontal="center" vertical="center" wrapText="1"/>
    </xf>
    <xf numFmtId="0" fontId="5" fillId="4" borderId="27" xfId="0" applyNumberFormat="1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left" vertical="center" wrapText="1"/>
    </xf>
    <xf numFmtId="0" fontId="27" fillId="0" borderId="38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left" vertical="center" wrapText="1"/>
    </xf>
    <xf numFmtId="0" fontId="7" fillId="4" borderId="29" xfId="0" applyFont="1" applyFill="1" applyBorder="1" applyAlignment="1">
      <alignment horizontal="left" vertical="center" wrapText="1"/>
    </xf>
    <xf numFmtId="0" fontId="29" fillId="0" borderId="30" xfId="0" applyFont="1" applyBorder="1" applyAlignment="1">
      <alignment horizontal="center" vertical="center" wrapText="1"/>
    </xf>
    <xf numFmtId="0" fontId="27" fillId="0" borderId="11" xfId="0" applyFont="1" applyFill="1" applyBorder="1" applyAlignment="1">
      <alignment horizontal="center" vertical="top" wrapText="1"/>
    </xf>
    <xf numFmtId="0" fontId="27" fillId="0" borderId="9" xfId="0" applyFont="1" applyFill="1" applyBorder="1" applyAlignment="1">
      <alignment horizontal="center" vertical="top" wrapText="1"/>
    </xf>
    <xf numFmtId="0" fontId="27" fillId="0" borderId="32" xfId="0" applyFont="1" applyFill="1" applyBorder="1" applyAlignment="1">
      <alignment horizontal="left" vertical="center" wrapText="1"/>
    </xf>
    <xf numFmtId="0" fontId="24" fillId="0" borderId="28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8" fillId="0" borderId="10" xfId="0" applyFont="1" applyFill="1" applyBorder="1"/>
    <xf numFmtId="0" fontId="27" fillId="7" borderId="10" xfId="0" applyFont="1" applyFill="1" applyBorder="1" applyAlignment="1">
      <alignment horizontal="center" vertical="center"/>
    </xf>
    <xf numFmtId="0" fontId="27" fillId="5" borderId="10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left" vertical="center" wrapText="1"/>
    </xf>
    <xf numFmtId="0" fontId="31" fillId="0" borderId="0" xfId="0" applyFont="1" applyFill="1"/>
    <xf numFmtId="0" fontId="16" fillId="0" borderId="0" xfId="0" applyFont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30" fillId="0" borderId="0" xfId="0" applyFont="1"/>
    <xf numFmtId="0" fontId="31" fillId="0" borderId="0" xfId="0" applyFont="1"/>
    <xf numFmtId="0" fontId="27" fillId="0" borderId="0" xfId="0" applyFont="1"/>
    <xf numFmtId="0" fontId="5" fillId="0" borderId="4" xfId="0" applyFont="1" applyFill="1" applyBorder="1" applyAlignment="1">
      <alignment horizontal="center" vertical="justify" wrapText="1"/>
    </xf>
    <xf numFmtId="0" fontId="5" fillId="0" borderId="17" xfId="0" applyFont="1" applyFill="1" applyBorder="1" applyAlignment="1">
      <alignment horizontal="center" vertical="top" wrapText="1"/>
    </xf>
    <xf numFmtId="0" fontId="5" fillId="0" borderId="37" xfId="0" applyFont="1" applyFill="1" applyBorder="1" applyAlignment="1">
      <alignment horizontal="center" vertical="top" wrapText="1"/>
    </xf>
    <xf numFmtId="0" fontId="5" fillId="0" borderId="41" xfId="0" applyFont="1" applyFill="1" applyBorder="1" applyAlignment="1">
      <alignment horizontal="center" vertical="justify" wrapText="1"/>
    </xf>
    <xf numFmtId="0" fontId="5" fillId="0" borderId="43" xfId="0" applyFont="1" applyFill="1" applyBorder="1" applyAlignment="1">
      <alignment horizontal="center" vertical="justify" wrapText="1"/>
    </xf>
    <xf numFmtId="0" fontId="21" fillId="4" borderId="25" xfId="0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left" vertical="center" wrapText="1"/>
    </xf>
    <xf numFmtId="0" fontId="40" fillId="0" borderId="29" xfId="0" applyFont="1" applyFill="1" applyBorder="1" applyAlignment="1">
      <alignment horizontal="left" vertical="center" wrapText="1"/>
    </xf>
    <xf numFmtId="0" fontId="40" fillId="0" borderId="30" xfId="0" applyFont="1" applyFill="1" applyBorder="1" applyAlignment="1">
      <alignment horizontal="left" vertical="center" wrapText="1"/>
    </xf>
    <xf numFmtId="0" fontId="30" fillId="0" borderId="0" xfId="0" applyFont="1" applyAlignment="1"/>
    <xf numFmtId="0" fontId="30" fillId="0" borderId="0" xfId="0" applyFont="1" applyAlignment="1">
      <alignment vertical="top"/>
    </xf>
    <xf numFmtId="0" fontId="26" fillId="0" borderId="0" xfId="0" applyFont="1" applyAlignment="1">
      <alignment wrapText="1"/>
    </xf>
    <xf numFmtId="0" fontId="27" fillId="0" borderId="32" xfId="0" applyFont="1" applyBorder="1" applyAlignment="1">
      <alignment horizontal="center" vertical="center" wrapText="1"/>
    </xf>
    <xf numFmtId="0" fontId="42" fillId="0" borderId="0" xfId="0" applyFont="1"/>
    <xf numFmtId="0" fontId="31" fillId="0" borderId="0" xfId="0" applyFont="1" applyBorder="1"/>
    <xf numFmtId="0" fontId="11" fillId="4" borderId="10" xfId="0" applyFont="1" applyFill="1" applyBorder="1" applyAlignment="1">
      <alignment horizontal="left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left" vertical="center" wrapText="1"/>
    </xf>
    <xf numFmtId="0" fontId="11" fillId="4" borderId="12" xfId="0" applyFont="1" applyFill="1" applyBorder="1" applyAlignment="1">
      <alignment horizontal="left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left" vertical="center" wrapText="1"/>
    </xf>
    <xf numFmtId="0" fontId="7" fillId="4" borderId="27" xfId="0" applyFont="1" applyFill="1" applyBorder="1" applyAlignment="1">
      <alignment horizontal="left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21" fillId="0" borderId="0" xfId="0" applyFont="1" applyFill="1"/>
    <xf numFmtId="0" fontId="5" fillId="4" borderId="31" xfId="0" applyFont="1" applyFill="1" applyBorder="1" applyAlignment="1">
      <alignment horizontal="center" vertical="center" wrapText="1"/>
    </xf>
    <xf numFmtId="0" fontId="5" fillId="4" borderId="32" xfId="0" applyNumberFormat="1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26" xfId="0" applyNumberFormat="1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left" vertical="center" wrapText="1"/>
    </xf>
    <xf numFmtId="0" fontId="5" fillId="4" borderId="32" xfId="0" applyFont="1" applyFill="1" applyBorder="1" applyAlignment="1">
      <alignment horizontal="left" vertical="center" wrapText="1"/>
    </xf>
    <xf numFmtId="0" fontId="21" fillId="4" borderId="38" xfId="0" applyFont="1" applyFill="1" applyBorder="1" applyAlignment="1">
      <alignment horizontal="center" vertical="center" wrapText="1"/>
    </xf>
    <xf numFmtId="0" fontId="21" fillId="4" borderId="39" xfId="0" applyFont="1" applyFill="1" applyBorder="1" applyAlignment="1">
      <alignment horizontal="center" vertical="center" wrapText="1"/>
    </xf>
    <xf numFmtId="0" fontId="21" fillId="4" borderId="40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left" vertical="center" wrapText="1"/>
    </xf>
    <xf numFmtId="0" fontId="27" fillId="0" borderId="31" xfId="0" applyNumberFormat="1" applyFont="1" applyBorder="1" applyAlignment="1">
      <alignment horizontal="center" vertical="center" wrapText="1"/>
    </xf>
    <xf numFmtId="0" fontId="52" fillId="0" borderId="25" xfId="0" applyFont="1" applyFill="1" applyBorder="1" applyAlignment="1">
      <alignment vertical="center" wrapText="1"/>
    </xf>
    <xf numFmtId="0" fontId="52" fillId="0" borderId="12" xfId="0" applyFont="1" applyFill="1" applyBorder="1" applyAlignment="1">
      <alignment vertical="center" wrapText="1"/>
    </xf>
    <xf numFmtId="0" fontId="52" fillId="0" borderId="13" xfId="0" applyFont="1" applyFill="1" applyBorder="1" applyAlignment="1">
      <alignment vertical="center" wrapText="1"/>
    </xf>
    <xf numFmtId="0" fontId="53" fillId="0" borderId="0" xfId="0" applyFont="1"/>
    <xf numFmtId="0" fontId="51" fillId="0" borderId="0" xfId="0" applyFont="1"/>
    <xf numFmtId="0" fontId="25" fillId="0" borderId="0" xfId="0" applyFont="1" applyAlignment="1"/>
    <xf numFmtId="0" fontId="47" fillId="0" borderId="0" xfId="0" applyFont="1" applyAlignment="1"/>
    <xf numFmtId="0" fontId="47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12" fillId="0" borderId="0" xfId="0" applyFont="1" applyFill="1" applyAlignment="1"/>
    <xf numFmtId="0" fontId="28" fillId="0" borderId="0" xfId="0" applyFont="1" applyFill="1"/>
    <xf numFmtId="0" fontId="28" fillId="0" borderId="42" xfId="0" applyFont="1" applyFill="1" applyBorder="1" applyAlignment="1"/>
    <xf numFmtId="0" fontId="51" fillId="4" borderId="26" xfId="0" applyFont="1" applyFill="1" applyBorder="1" applyAlignment="1">
      <alignment vertical="center" wrapText="1"/>
    </xf>
    <xf numFmtId="0" fontId="51" fillId="4" borderId="10" xfId="0" applyFont="1" applyFill="1" applyBorder="1" applyAlignment="1">
      <alignment vertical="center" wrapText="1"/>
    </xf>
    <xf numFmtId="0" fontId="51" fillId="4" borderId="27" xfId="0" applyFont="1" applyFill="1" applyBorder="1" applyAlignment="1">
      <alignment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 vertical="center"/>
    </xf>
    <xf numFmtId="0" fontId="50" fillId="0" borderId="26" xfId="0" applyFont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7" fillId="4" borderId="26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41" fillId="0" borderId="10" xfId="0" applyFont="1" applyFill="1" applyBorder="1"/>
    <xf numFmtId="0" fontId="21" fillId="4" borderId="25" xfId="0" applyFont="1" applyFill="1" applyBorder="1" applyAlignment="1">
      <alignment horizontal="left" vertical="center" wrapText="1"/>
    </xf>
    <xf numFmtId="0" fontId="5" fillId="4" borderId="28" xfId="0" applyNumberFormat="1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9" fillId="4" borderId="26" xfId="0" applyFont="1" applyFill="1" applyBorder="1" applyAlignment="1">
      <alignment horizontal="center" vertical="center" wrapText="1"/>
    </xf>
    <xf numFmtId="0" fontId="40" fillId="0" borderId="28" xfId="0" applyFont="1" applyFill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top" wrapText="1"/>
    </xf>
    <xf numFmtId="0" fontId="20" fillId="4" borderId="4" xfId="0" applyFont="1" applyFill="1" applyBorder="1" applyAlignment="1">
      <alignment horizontal="center" vertical="top" wrapText="1"/>
    </xf>
    <xf numFmtId="0" fontId="20" fillId="4" borderId="17" xfId="0" applyFont="1" applyFill="1" applyBorder="1" applyAlignment="1">
      <alignment horizontal="center" vertical="justify" wrapText="1"/>
    </xf>
    <xf numFmtId="0" fontId="56" fillId="4" borderId="26" xfId="0" applyFont="1" applyFill="1" applyBorder="1" applyAlignment="1">
      <alignment vertical="center" wrapText="1"/>
    </xf>
    <xf numFmtId="0" fontId="20" fillId="4" borderId="41" xfId="0" applyFont="1" applyFill="1" applyBorder="1" applyAlignment="1">
      <alignment horizontal="center" vertical="justify" wrapText="1"/>
    </xf>
    <xf numFmtId="0" fontId="20" fillId="4" borderId="37" xfId="0" applyFont="1" applyFill="1" applyBorder="1" applyAlignment="1">
      <alignment horizontal="center" vertical="top" wrapText="1"/>
    </xf>
    <xf numFmtId="0" fontId="27" fillId="4" borderId="5" xfId="0" applyFont="1" applyFill="1" applyBorder="1" applyAlignment="1">
      <alignment horizontal="center" vertical="top" wrapText="1"/>
    </xf>
    <xf numFmtId="0" fontId="27" fillId="4" borderId="3" xfId="0" applyFont="1" applyFill="1" applyBorder="1" applyAlignment="1">
      <alignment horizontal="center" vertical="top" wrapText="1"/>
    </xf>
    <xf numFmtId="0" fontId="27" fillId="4" borderId="7" xfId="0" applyFont="1" applyFill="1" applyBorder="1" applyAlignment="1">
      <alignment horizontal="center" vertical="top" wrapText="1"/>
    </xf>
    <xf numFmtId="0" fontId="27" fillId="4" borderId="9" xfId="0" applyFont="1" applyFill="1" applyBorder="1" applyAlignment="1">
      <alignment horizontal="center" vertical="top" wrapText="1"/>
    </xf>
    <xf numFmtId="0" fontId="28" fillId="4" borderId="0" xfId="0" applyFont="1" applyFill="1"/>
    <xf numFmtId="0" fontId="28" fillId="4" borderId="42" xfId="0" applyFont="1" applyFill="1" applyBorder="1" applyAlignment="1"/>
    <xf numFmtId="0" fontId="40" fillId="4" borderId="28" xfId="0" applyFont="1" applyFill="1" applyBorder="1" applyAlignment="1">
      <alignment horizontal="center" vertical="center" wrapText="1"/>
    </xf>
    <xf numFmtId="0" fontId="41" fillId="4" borderId="29" xfId="0" applyFont="1" applyFill="1" applyBorder="1" applyAlignment="1">
      <alignment horizontal="center" vertical="center" wrapText="1"/>
    </xf>
    <xf numFmtId="0" fontId="41" fillId="4" borderId="30" xfId="0" applyFont="1" applyFill="1" applyBorder="1" applyAlignment="1">
      <alignment horizontal="center" vertical="center" wrapText="1"/>
    </xf>
    <xf numFmtId="0" fontId="40" fillId="0" borderId="0" xfId="0" applyFont="1" applyBorder="1" applyAlignment="1">
      <alignment horizontal="left" vertical="center" wrapText="1"/>
    </xf>
    <xf numFmtId="0" fontId="57" fillId="0" borderId="0" xfId="0" applyFont="1"/>
    <xf numFmtId="0" fontId="40" fillId="0" borderId="0" xfId="0" applyFont="1" applyAlignment="1">
      <alignment vertical="center"/>
    </xf>
    <xf numFmtId="0" fontId="27" fillId="0" borderId="17" xfId="0" applyFont="1" applyFill="1" applyBorder="1" applyAlignment="1">
      <alignment horizontal="center" vertical="top" wrapText="1"/>
    </xf>
    <xf numFmtId="0" fontId="27" fillId="0" borderId="37" xfId="0" applyFont="1" applyFill="1" applyBorder="1" applyAlignment="1">
      <alignment horizontal="center" vertical="top" wrapText="1"/>
    </xf>
    <xf numFmtId="0" fontId="24" fillId="0" borderId="31" xfId="0" applyFont="1" applyBorder="1" applyAlignment="1">
      <alignment vertical="center"/>
    </xf>
    <xf numFmtId="0" fontId="24" fillId="0" borderId="3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7" fillId="4" borderId="10" xfId="0" applyFont="1" applyFill="1" applyBorder="1" applyAlignment="1">
      <alignment horizontal="center" vertical="center"/>
    </xf>
    <xf numFmtId="0" fontId="54" fillId="0" borderId="0" xfId="0" applyFont="1" applyAlignment="1">
      <alignment vertical="center" wrapText="1"/>
    </xf>
    <xf numFmtId="0" fontId="40" fillId="0" borderId="10" xfId="0" applyFont="1" applyFill="1" applyBorder="1" applyAlignment="1">
      <alignment horizontal="left" vertical="center" wrapText="1"/>
    </xf>
    <xf numFmtId="0" fontId="40" fillId="0" borderId="27" xfId="0" applyFont="1" applyFill="1" applyBorder="1" applyAlignment="1">
      <alignment horizontal="left" vertical="center" wrapText="1"/>
    </xf>
    <xf numFmtId="0" fontId="27" fillId="0" borderId="31" xfId="0" applyFont="1" applyFill="1" applyBorder="1" applyAlignment="1">
      <alignment horizontal="left" vertical="center" wrapText="1"/>
    </xf>
    <xf numFmtId="0" fontId="27" fillId="0" borderId="32" xfId="0" applyFont="1" applyFill="1" applyBorder="1" applyAlignment="1">
      <alignment horizontal="center" vertical="center" wrapText="1"/>
    </xf>
    <xf numFmtId="0" fontId="27" fillId="0" borderId="33" xfId="0" applyFont="1" applyFill="1" applyBorder="1" applyAlignment="1">
      <alignment horizontal="left" vertical="center" wrapText="1"/>
    </xf>
    <xf numFmtId="0" fontId="40" fillId="0" borderId="10" xfId="0" applyFont="1" applyFill="1" applyBorder="1" applyAlignment="1">
      <alignment vertical="center" wrapText="1"/>
    </xf>
    <xf numFmtId="0" fontId="40" fillId="0" borderId="26" xfId="0" applyFont="1" applyFill="1" applyBorder="1" applyAlignment="1">
      <alignment vertical="center" wrapText="1"/>
    </xf>
    <xf numFmtId="0" fontId="40" fillId="0" borderId="27" xfId="0" applyFont="1" applyFill="1" applyBorder="1" applyAlignment="1">
      <alignment vertical="center" wrapText="1"/>
    </xf>
    <xf numFmtId="0" fontId="40" fillId="0" borderId="28" xfId="0" applyFont="1" applyFill="1" applyBorder="1" applyAlignment="1">
      <alignment vertical="center" wrapText="1"/>
    </xf>
    <xf numFmtId="0" fontId="40" fillId="0" borderId="29" xfId="0" applyFont="1" applyFill="1" applyBorder="1" applyAlignment="1">
      <alignment vertical="center" wrapText="1"/>
    </xf>
    <xf numFmtId="0" fontId="40" fillId="0" borderId="30" xfId="0" applyFont="1" applyFill="1" applyBorder="1" applyAlignment="1">
      <alignment vertical="center" wrapText="1"/>
    </xf>
    <xf numFmtId="0" fontId="60" fillId="0" borderId="25" xfId="0" applyFont="1" applyBorder="1" applyAlignment="1">
      <alignment horizontal="center" vertical="top" wrapText="1"/>
    </xf>
    <xf numFmtId="0" fontId="60" fillId="0" borderId="14" xfId="0" applyFont="1" applyBorder="1" applyAlignment="1">
      <alignment horizontal="center" vertical="top" wrapText="1"/>
    </xf>
    <xf numFmtId="0" fontId="60" fillId="0" borderId="21" xfId="0" applyFont="1" applyBorder="1" applyAlignment="1">
      <alignment horizontal="center" vertical="top" wrapText="1"/>
    </xf>
    <xf numFmtId="0" fontId="41" fillId="4" borderId="10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 wrapText="1"/>
    </xf>
    <xf numFmtId="0" fontId="21" fillId="4" borderId="38" xfId="0" applyFont="1" applyFill="1" applyBorder="1" applyAlignment="1">
      <alignment horizontal="left" vertical="center" wrapText="1"/>
    </xf>
    <xf numFmtId="0" fontId="21" fillId="4" borderId="39" xfId="0" applyFont="1" applyFill="1" applyBorder="1" applyAlignment="1">
      <alignment horizontal="left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21" fillId="4" borderId="31" xfId="0" applyFont="1" applyFill="1" applyBorder="1" applyAlignment="1">
      <alignment horizontal="left" vertical="center" wrapText="1"/>
    </xf>
    <xf numFmtId="0" fontId="5" fillId="4" borderId="33" xfId="0" applyNumberFormat="1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left" vertical="center" wrapText="1"/>
    </xf>
    <xf numFmtId="0" fontId="4" fillId="5" borderId="39" xfId="0" applyFont="1" applyFill="1" applyBorder="1" applyAlignment="1">
      <alignment horizontal="center" vertical="center"/>
    </xf>
    <xf numFmtId="0" fontId="55" fillId="9" borderId="10" xfId="0" applyFont="1" applyFill="1" applyBorder="1" applyAlignment="1">
      <alignment horizontal="center" vertical="center" wrapText="1"/>
    </xf>
    <xf numFmtId="0" fontId="21" fillId="4" borderId="27" xfId="0" applyFont="1" applyFill="1" applyBorder="1" applyAlignment="1">
      <alignment horizontal="left" vertical="center"/>
    </xf>
    <xf numFmtId="0" fontId="5" fillId="4" borderId="28" xfId="0" applyFont="1" applyFill="1" applyBorder="1" applyAlignment="1">
      <alignment horizontal="left" vertical="center" wrapText="1"/>
    </xf>
    <xf numFmtId="0" fontId="11" fillId="4" borderId="26" xfId="0" applyFont="1" applyFill="1" applyBorder="1" applyAlignment="1">
      <alignment horizontal="left" vertical="center" wrapText="1"/>
    </xf>
    <xf numFmtId="0" fontId="11" fillId="4" borderId="27" xfId="0" applyFont="1" applyFill="1" applyBorder="1" applyAlignment="1">
      <alignment horizontal="left"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27" xfId="0" applyFont="1" applyFill="1" applyBorder="1" applyAlignment="1">
      <alignment vertical="center" wrapText="1"/>
    </xf>
    <xf numFmtId="0" fontId="27" fillId="4" borderId="23" xfId="0" applyFont="1" applyFill="1" applyBorder="1" applyAlignment="1">
      <alignment horizontal="center" vertical="top" wrapText="1"/>
    </xf>
    <xf numFmtId="0" fontId="27" fillId="4" borderId="4" xfId="0" applyFont="1" applyFill="1" applyBorder="1" applyAlignment="1">
      <alignment horizontal="center" vertical="top" wrapText="1"/>
    </xf>
    <xf numFmtId="0" fontId="27" fillId="4" borderId="17" xfId="0" applyFont="1" applyFill="1" applyBorder="1" applyAlignment="1">
      <alignment horizontal="center" vertical="top" wrapText="1"/>
    </xf>
    <xf numFmtId="0" fontId="5" fillId="4" borderId="0" xfId="0" applyFont="1" applyFill="1" applyBorder="1" applyAlignment="1"/>
    <xf numFmtId="0" fontId="49" fillId="0" borderId="10" xfId="0" applyFont="1" applyFill="1" applyBorder="1" applyAlignment="1">
      <alignment horizontal="left" vertical="center" wrapText="1"/>
    </xf>
    <xf numFmtId="0" fontId="48" fillId="0" borderId="10" xfId="0" applyFont="1" applyFill="1" applyBorder="1" applyAlignment="1">
      <alignment horizontal="left" vertical="center" wrapText="1"/>
    </xf>
    <xf numFmtId="0" fontId="41" fillId="0" borderId="10" xfId="0" applyFont="1" applyBorder="1" applyAlignment="1">
      <alignment horizontal="left" vertical="center" wrapText="1"/>
    </xf>
    <xf numFmtId="0" fontId="40" fillId="2" borderId="10" xfId="0" applyFont="1" applyFill="1" applyBorder="1" applyAlignment="1">
      <alignment horizontal="left" vertical="center" wrapText="1"/>
    </xf>
    <xf numFmtId="0" fontId="41" fillId="0" borderId="26" xfId="0" applyFont="1" applyBorder="1" applyAlignment="1">
      <alignment horizontal="left" vertical="center" wrapText="1"/>
    </xf>
    <xf numFmtId="0" fontId="41" fillId="0" borderId="27" xfId="0" applyFont="1" applyBorder="1" applyAlignment="1">
      <alignment horizontal="left" vertical="center" wrapText="1"/>
    </xf>
    <xf numFmtId="0" fontId="40" fillId="0" borderId="26" xfId="0" applyFont="1" applyFill="1" applyBorder="1" applyAlignment="1">
      <alignment horizontal="left" vertical="center" wrapText="1"/>
    </xf>
    <xf numFmtId="0" fontId="40" fillId="0" borderId="28" xfId="0" applyFont="1" applyFill="1" applyBorder="1" applyAlignment="1">
      <alignment horizontal="left" vertical="center" wrapText="1"/>
    </xf>
    <xf numFmtId="0" fontId="40" fillId="4" borderId="26" xfId="0" applyFont="1" applyFill="1" applyBorder="1" applyAlignment="1">
      <alignment horizontal="center" vertical="center" wrapText="1"/>
    </xf>
    <xf numFmtId="0" fontId="40" fillId="4" borderId="10" xfId="0" applyFont="1" applyFill="1" applyBorder="1" applyAlignment="1">
      <alignment horizontal="center" vertical="center" wrapText="1"/>
    </xf>
    <xf numFmtId="0" fontId="40" fillId="4" borderId="27" xfId="0" applyFont="1" applyFill="1" applyBorder="1" applyAlignment="1">
      <alignment horizontal="center" vertical="center" wrapText="1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7" xfId="0" applyFont="1" applyFill="1" applyBorder="1" applyAlignment="1">
      <alignment horizontal="center" vertical="center" wrapText="1"/>
    </xf>
    <xf numFmtId="0" fontId="41" fillId="4" borderId="26" xfId="0" applyFont="1" applyFill="1" applyBorder="1" applyAlignment="1">
      <alignment horizontal="center" vertical="center" wrapText="1"/>
    </xf>
    <xf numFmtId="0" fontId="41" fillId="4" borderId="27" xfId="0" applyFont="1" applyFill="1" applyBorder="1" applyAlignment="1">
      <alignment horizontal="center" vertical="center" wrapText="1"/>
    </xf>
    <xf numFmtId="0" fontId="41" fillId="4" borderId="28" xfId="0" applyFont="1" applyFill="1" applyBorder="1" applyAlignment="1">
      <alignment horizontal="center" vertical="center"/>
    </xf>
    <xf numFmtId="0" fontId="41" fillId="4" borderId="29" xfId="0" applyFont="1" applyFill="1" applyBorder="1" applyAlignment="1">
      <alignment horizontal="center" vertical="center"/>
    </xf>
    <xf numFmtId="0" fontId="41" fillId="4" borderId="30" xfId="0" applyFont="1" applyFill="1" applyBorder="1" applyAlignment="1">
      <alignment horizontal="center" vertical="center"/>
    </xf>
    <xf numFmtId="0" fontId="27" fillId="4" borderId="7" xfId="0" applyFont="1" applyFill="1" applyBorder="1" applyAlignment="1">
      <alignment horizontal="center" vertical="justify" wrapText="1"/>
    </xf>
    <xf numFmtId="0" fontId="40" fillId="0" borderId="0" xfId="0" applyFont="1" applyAlignment="1">
      <alignment horizontal="left" vertical="center"/>
    </xf>
    <xf numFmtId="0" fontId="41" fillId="4" borderId="25" xfId="0" applyFont="1" applyFill="1" applyBorder="1" applyAlignment="1">
      <alignment horizontal="center" vertical="center" wrapText="1"/>
    </xf>
    <xf numFmtId="0" fontId="41" fillId="4" borderId="12" xfId="0" applyFont="1" applyFill="1" applyBorder="1" applyAlignment="1">
      <alignment horizontal="center" vertical="center" wrapText="1"/>
    </xf>
    <xf numFmtId="0" fontId="41" fillId="4" borderId="13" xfId="0" applyFont="1" applyFill="1" applyBorder="1" applyAlignment="1">
      <alignment horizontal="center" vertical="center" wrapText="1"/>
    </xf>
    <xf numFmtId="0" fontId="63" fillId="4" borderId="26" xfId="0" applyFont="1" applyFill="1" applyBorder="1" applyAlignment="1">
      <alignment vertical="center" wrapText="1"/>
    </xf>
    <xf numFmtId="0" fontId="63" fillId="4" borderId="10" xfId="0" applyFont="1" applyFill="1" applyBorder="1" applyAlignment="1">
      <alignment vertical="center" wrapText="1"/>
    </xf>
    <xf numFmtId="0" fontId="63" fillId="4" borderId="27" xfId="0" applyFont="1" applyFill="1" applyBorder="1" applyAlignment="1">
      <alignment vertical="center" wrapText="1"/>
    </xf>
    <xf numFmtId="0" fontId="50" fillId="4" borderId="12" xfId="0" applyFont="1" applyFill="1" applyBorder="1" applyAlignment="1">
      <alignment horizontal="center" vertical="center" wrapText="1"/>
    </xf>
    <xf numFmtId="0" fontId="49" fillId="11" borderId="36" xfId="0" applyFont="1" applyFill="1" applyBorder="1" applyAlignment="1">
      <alignment horizontal="center" vertical="center" wrapText="1"/>
    </xf>
    <xf numFmtId="0" fontId="55" fillId="9" borderId="26" xfId="0" applyFont="1" applyFill="1" applyBorder="1" applyAlignment="1">
      <alignment horizontal="center" vertical="center" wrapText="1"/>
    </xf>
    <xf numFmtId="0" fontId="40" fillId="4" borderId="25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 wrapText="1"/>
    </xf>
    <xf numFmtId="0" fontId="41" fillId="0" borderId="38" xfId="0" applyFont="1" applyBorder="1" applyAlignment="1">
      <alignment horizontal="left" vertical="center" wrapText="1"/>
    </xf>
    <xf numFmtId="0" fontId="41" fillId="0" borderId="39" xfId="0" applyFont="1" applyBorder="1" applyAlignment="1">
      <alignment horizontal="left" vertical="center" wrapText="1"/>
    </xf>
    <xf numFmtId="0" fontId="41" fillId="0" borderId="40" xfId="0" applyFont="1" applyBorder="1" applyAlignment="1">
      <alignment horizontal="left" vertical="center" wrapText="1"/>
    </xf>
    <xf numFmtId="0" fontId="40" fillId="0" borderId="0" xfId="0" applyNumberFormat="1" applyFont="1" applyBorder="1" applyAlignment="1">
      <alignment horizontal="left" vertical="center" wrapText="1"/>
    </xf>
    <xf numFmtId="49" fontId="40" fillId="0" borderId="0" xfId="0" applyNumberFormat="1" applyFont="1" applyBorder="1" applyAlignment="1">
      <alignment horizontal="left" vertical="center" wrapText="1"/>
    </xf>
    <xf numFmtId="164" fontId="40" fillId="0" borderId="0" xfId="3" applyNumberFormat="1" applyFont="1" applyBorder="1" applyAlignment="1">
      <alignment horizontal="left" vertical="center" wrapText="1"/>
    </xf>
    <xf numFmtId="0" fontId="49" fillId="2" borderId="0" xfId="0" applyFont="1" applyFill="1" applyBorder="1" applyAlignment="1">
      <alignment horizontal="left" vertical="center" wrapText="1"/>
    </xf>
    <xf numFmtId="0" fontId="58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59" fillId="0" borderId="0" xfId="0" applyFont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50" fillId="4" borderId="25" xfId="0" applyFont="1" applyFill="1" applyBorder="1" applyAlignment="1">
      <alignment horizontal="center" vertical="center" wrapText="1"/>
    </xf>
    <xf numFmtId="0" fontId="49" fillId="4" borderId="26" xfId="0" applyFont="1" applyFill="1" applyBorder="1" applyAlignment="1">
      <alignment horizontal="center" vertical="center" wrapText="1"/>
    </xf>
    <xf numFmtId="0" fontId="49" fillId="4" borderId="27" xfId="0" applyFont="1" applyFill="1" applyBorder="1" applyAlignment="1">
      <alignment horizontal="center" vertical="center" wrapText="1"/>
    </xf>
    <xf numFmtId="0" fontId="49" fillId="4" borderId="10" xfId="0" applyFont="1" applyFill="1" applyBorder="1" applyAlignment="1">
      <alignment horizontal="center" vertical="center" wrapText="1"/>
    </xf>
    <xf numFmtId="0" fontId="65" fillId="0" borderId="0" xfId="0" applyFont="1"/>
    <xf numFmtId="0" fontId="40" fillId="4" borderId="13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50" fillId="11" borderId="39" xfId="0" applyFont="1" applyFill="1" applyBorder="1" applyAlignment="1">
      <alignment horizontal="center" vertical="center" wrapText="1"/>
    </xf>
    <xf numFmtId="0" fontId="27" fillId="4" borderId="31" xfId="0" applyFont="1" applyFill="1" applyBorder="1" applyAlignment="1">
      <alignment horizontal="left" vertical="center" wrapText="1"/>
    </xf>
    <xf numFmtId="0" fontId="27" fillId="4" borderId="32" xfId="0" applyFont="1" applyFill="1" applyBorder="1" applyAlignment="1">
      <alignment horizontal="left" vertical="center" wrapText="1"/>
    </xf>
    <xf numFmtId="0" fontId="27" fillId="4" borderId="33" xfId="0" applyFont="1" applyFill="1" applyBorder="1" applyAlignment="1">
      <alignment horizontal="center" vertical="center" wrapText="1"/>
    </xf>
    <xf numFmtId="0" fontId="29" fillId="4" borderId="10" xfId="0" applyFont="1" applyFill="1" applyBorder="1" applyAlignment="1">
      <alignment horizontal="center" vertical="center" wrapText="1"/>
    </xf>
    <xf numFmtId="0" fontId="29" fillId="4" borderId="27" xfId="0" applyFont="1" applyFill="1" applyBorder="1" applyAlignment="1">
      <alignment horizontal="center" vertical="center" wrapText="1"/>
    </xf>
    <xf numFmtId="0" fontId="29" fillId="4" borderId="30" xfId="0" applyFont="1" applyFill="1" applyBorder="1" applyAlignment="1">
      <alignment horizontal="center" vertical="center" wrapText="1"/>
    </xf>
    <xf numFmtId="0" fontId="27" fillId="4" borderId="29" xfId="0" applyFont="1" applyFill="1" applyBorder="1" applyAlignment="1">
      <alignment horizontal="left" vertical="center" wrapText="1"/>
    </xf>
    <xf numFmtId="0" fontId="39" fillId="4" borderId="37" xfId="0" applyFont="1" applyFill="1" applyBorder="1" applyAlignment="1">
      <alignment horizontal="left" vertical="center" wrapText="1"/>
    </xf>
    <xf numFmtId="0" fontId="39" fillId="4" borderId="9" xfId="0" applyFont="1" applyFill="1" applyBorder="1" applyAlignment="1">
      <alignment horizontal="left" vertical="center" wrapText="1"/>
    </xf>
    <xf numFmtId="0" fontId="39" fillId="4" borderId="9" xfId="0" applyFont="1" applyFill="1" applyBorder="1" applyAlignment="1">
      <alignment horizontal="center" vertical="center" wrapText="1"/>
    </xf>
    <xf numFmtId="0" fontId="39" fillId="4" borderId="4" xfId="0" applyFont="1" applyFill="1" applyBorder="1" applyAlignment="1">
      <alignment horizontal="left" vertical="center" wrapText="1"/>
    </xf>
    <xf numFmtId="0" fontId="39" fillId="4" borderId="3" xfId="0" applyFont="1" applyFill="1" applyBorder="1" applyAlignment="1">
      <alignment horizontal="left" vertical="center" wrapText="1"/>
    </xf>
    <xf numFmtId="0" fontId="39" fillId="4" borderId="22" xfId="0" applyFont="1" applyFill="1" applyBorder="1" applyAlignment="1">
      <alignment horizontal="center" vertical="center" wrapText="1"/>
    </xf>
    <xf numFmtId="0" fontId="39" fillId="4" borderId="3" xfId="0" applyFont="1" applyFill="1" applyBorder="1" applyAlignment="1">
      <alignment horizontal="left" vertical="center"/>
    </xf>
    <xf numFmtId="0" fontId="39" fillId="4" borderId="3" xfId="0" applyFont="1" applyFill="1" applyBorder="1" applyAlignment="1">
      <alignment horizontal="center" vertical="center" wrapText="1"/>
    </xf>
    <xf numFmtId="0" fontId="39" fillId="4" borderId="7" xfId="0" applyFont="1" applyFill="1" applyBorder="1" applyAlignment="1">
      <alignment horizontal="center" vertical="center" wrapText="1"/>
    </xf>
    <xf numFmtId="0" fontId="39" fillId="4" borderId="7" xfId="0" applyFont="1" applyFill="1" applyBorder="1" applyAlignment="1">
      <alignment horizontal="left" vertical="center" wrapText="1"/>
    </xf>
    <xf numFmtId="0" fontId="40" fillId="4" borderId="10" xfId="0" applyFont="1" applyFill="1" applyBorder="1" applyAlignment="1">
      <alignment horizontal="center" vertical="center"/>
    </xf>
    <xf numFmtId="0" fontId="34" fillId="4" borderId="10" xfId="0" applyFont="1" applyFill="1" applyBorder="1" applyAlignment="1">
      <alignment horizontal="center" vertical="center" wrapText="1"/>
    </xf>
    <xf numFmtId="0" fontId="34" fillId="4" borderId="25" xfId="0" applyFont="1" applyFill="1" applyBorder="1" applyAlignment="1">
      <alignment horizontal="center" vertical="center" wrapText="1"/>
    </xf>
    <xf numFmtId="0" fontId="34" fillId="4" borderId="12" xfId="0" applyFont="1" applyFill="1" applyBorder="1" applyAlignment="1">
      <alignment horizontal="center" vertical="center" wrapText="1"/>
    </xf>
    <xf numFmtId="0" fontId="34" fillId="4" borderId="13" xfId="0" applyFont="1" applyFill="1" applyBorder="1" applyAlignment="1">
      <alignment horizontal="center" vertical="center" wrapText="1"/>
    </xf>
    <xf numFmtId="0" fontId="34" fillId="4" borderId="26" xfId="0" applyFont="1" applyFill="1" applyBorder="1" applyAlignment="1">
      <alignment horizontal="center" vertical="center" wrapText="1"/>
    </xf>
    <xf numFmtId="0" fontId="34" fillId="4" borderId="27" xfId="0" applyFont="1" applyFill="1" applyBorder="1" applyAlignment="1">
      <alignment horizontal="center" vertical="center" wrapText="1"/>
    </xf>
    <xf numFmtId="0" fontId="34" fillId="4" borderId="27" xfId="0" applyFont="1" applyFill="1" applyBorder="1" applyAlignment="1">
      <alignment horizontal="center" vertical="center"/>
    </xf>
    <xf numFmtId="0" fontId="34" fillId="4" borderId="28" xfId="0" applyFont="1" applyFill="1" applyBorder="1" applyAlignment="1">
      <alignment horizontal="center" vertical="center" wrapText="1"/>
    </xf>
    <xf numFmtId="0" fontId="34" fillId="4" borderId="29" xfId="0" applyFont="1" applyFill="1" applyBorder="1" applyAlignment="1">
      <alignment horizontal="center" vertical="center" wrapText="1"/>
    </xf>
    <xf numFmtId="0" fontId="34" fillId="4" borderId="30" xfId="0" applyFont="1" applyFill="1" applyBorder="1" applyAlignment="1">
      <alignment horizontal="center" vertical="center" wrapText="1"/>
    </xf>
    <xf numFmtId="0" fontId="27" fillId="4" borderId="17" xfId="0" applyFont="1" applyFill="1" applyBorder="1" applyAlignment="1">
      <alignment horizontal="center" vertical="justify" wrapText="1"/>
    </xf>
    <xf numFmtId="0" fontId="27" fillId="4" borderId="30" xfId="0" applyFont="1" applyFill="1" applyBorder="1" applyAlignment="1">
      <alignment horizontal="left" vertical="center" wrapText="1"/>
    </xf>
    <xf numFmtId="0" fontId="49" fillId="4" borderId="28" xfId="0" applyFont="1" applyFill="1" applyBorder="1" applyAlignment="1">
      <alignment horizontal="left" vertical="center" wrapText="1"/>
    </xf>
    <xf numFmtId="0" fontId="48" fillId="12" borderId="12" xfId="0" applyFont="1" applyFill="1" applyBorder="1" applyAlignment="1">
      <alignment horizontal="left" vertical="center" wrapText="1"/>
    </xf>
    <xf numFmtId="0" fontId="48" fillId="8" borderId="12" xfId="0" applyFont="1" applyFill="1" applyBorder="1" applyAlignment="1">
      <alignment horizontal="left" vertical="center"/>
    </xf>
    <xf numFmtId="0" fontId="48" fillId="8" borderId="13" xfId="0" applyFont="1" applyFill="1" applyBorder="1" applyAlignment="1">
      <alignment horizontal="left" vertical="center" wrapText="1"/>
    </xf>
    <xf numFmtId="0" fontId="49" fillId="0" borderId="27" xfId="0" applyFont="1" applyFill="1" applyBorder="1" applyAlignment="1">
      <alignment horizontal="left" vertical="center" wrapText="1"/>
    </xf>
    <xf numFmtId="0" fontId="48" fillId="8" borderId="25" xfId="0" applyFont="1" applyFill="1" applyBorder="1" applyAlignment="1">
      <alignment horizontal="left" vertical="center"/>
    </xf>
    <xf numFmtId="0" fontId="48" fillId="0" borderId="27" xfId="0" applyFont="1" applyFill="1" applyBorder="1" applyAlignment="1">
      <alignment horizontal="left" vertical="center" wrapText="1"/>
    </xf>
    <xf numFmtId="0" fontId="50" fillId="11" borderId="12" xfId="0" applyFont="1" applyFill="1" applyBorder="1" applyAlignment="1">
      <alignment horizontal="center" vertical="center" wrapText="1"/>
    </xf>
    <xf numFmtId="0" fontId="50" fillId="4" borderId="13" xfId="0" applyFont="1" applyFill="1" applyBorder="1" applyAlignment="1">
      <alignment horizontal="center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48" fillId="12" borderId="10" xfId="0" applyFont="1" applyFill="1" applyBorder="1" applyAlignment="1">
      <alignment horizontal="left" vertical="center" wrapText="1"/>
    </xf>
    <xf numFmtId="0" fontId="49" fillId="9" borderId="12" xfId="0" applyFont="1" applyFill="1" applyBorder="1" applyAlignment="1">
      <alignment horizontal="center" vertical="center" wrapText="1"/>
    </xf>
    <xf numFmtId="0" fontId="48" fillId="11" borderId="10" xfId="0" applyFont="1" applyFill="1" applyBorder="1" applyAlignment="1">
      <alignment horizontal="left" vertical="center" wrapText="1"/>
    </xf>
    <xf numFmtId="0" fontId="49" fillId="9" borderId="10" xfId="0" applyFont="1" applyFill="1" applyBorder="1" applyAlignment="1">
      <alignment horizontal="center" vertical="center" wrapText="1"/>
    </xf>
    <xf numFmtId="0" fontId="49" fillId="11" borderId="62" xfId="0" applyFont="1" applyFill="1" applyBorder="1" applyAlignment="1">
      <alignment horizontal="center" vertical="center" wrapText="1"/>
    </xf>
    <xf numFmtId="0" fontId="49" fillId="9" borderId="26" xfId="0" applyFont="1" applyFill="1" applyBorder="1" applyAlignment="1">
      <alignment horizontal="center" vertical="center" wrapText="1"/>
    </xf>
    <xf numFmtId="0" fontId="49" fillId="9" borderId="38" xfId="0" applyFont="1" applyFill="1" applyBorder="1" applyAlignment="1">
      <alignment horizontal="center" vertical="center" wrapText="1"/>
    </xf>
    <xf numFmtId="0" fontId="55" fillId="9" borderId="27" xfId="0" applyFont="1" applyFill="1" applyBorder="1" applyAlignment="1">
      <alignment horizontal="center" vertical="center" wrapText="1"/>
    </xf>
    <xf numFmtId="0" fontId="5" fillId="4" borderId="31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justify" wrapText="1"/>
    </xf>
    <xf numFmtId="0" fontId="55" fillId="9" borderId="28" xfId="0" applyFont="1" applyFill="1" applyBorder="1" applyAlignment="1">
      <alignment horizontal="center" vertical="center" wrapText="1"/>
    </xf>
    <xf numFmtId="0" fontId="20" fillId="0" borderId="41" xfId="0" applyFont="1" applyFill="1" applyBorder="1" applyAlignment="1">
      <alignment horizontal="center" vertical="top" wrapText="1"/>
    </xf>
    <xf numFmtId="0" fontId="49" fillId="11" borderId="12" xfId="0" applyFont="1" applyFill="1" applyBorder="1" applyAlignment="1">
      <alignment horizontal="center" vertical="center" wrapText="1"/>
    </xf>
    <xf numFmtId="0" fontId="49" fillId="11" borderId="10" xfId="0" applyFont="1" applyFill="1" applyBorder="1" applyAlignment="1">
      <alignment horizontal="center" vertical="center" wrapText="1"/>
    </xf>
    <xf numFmtId="0" fontId="11" fillId="4" borderId="38" xfId="0" applyFont="1" applyFill="1" applyBorder="1" applyAlignment="1">
      <alignment horizontal="left" vertical="center" wrapText="1"/>
    </xf>
    <xf numFmtId="0" fontId="11" fillId="4" borderId="39" xfId="0" applyFont="1" applyFill="1" applyBorder="1" applyAlignment="1">
      <alignment horizontal="left" vertical="center" wrapText="1"/>
    </xf>
    <xf numFmtId="0" fontId="11" fillId="4" borderId="40" xfId="0" applyFont="1" applyFill="1" applyBorder="1" applyAlignment="1">
      <alignment horizontal="center" vertical="center" wrapText="1"/>
    </xf>
    <xf numFmtId="0" fontId="30" fillId="4" borderId="10" xfId="0" applyFont="1" applyFill="1" applyBorder="1" applyAlignment="1">
      <alignment horizontal="center" vertical="center"/>
    </xf>
    <xf numFmtId="0" fontId="49" fillId="10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11" fillId="4" borderId="27" xfId="0" applyFont="1" applyFill="1" applyBorder="1" applyAlignment="1">
      <alignment horizontal="left" vertical="center"/>
    </xf>
    <xf numFmtId="0" fontId="49" fillId="11" borderId="29" xfId="0" applyFont="1" applyFill="1" applyBorder="1" applyAlignment="1">
      <alignment horizontal="left" vertical="center" wrapText="1"/>
    </xf>
    <xf numFmtId="0" fontId="27" fillId="0" borderId="31" xfId="0" applyFont="1" applyFill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49" fillId="9" borderId="15" xfId="0" applyFont="1" applyFill="1" applyBorder="1" applyAlignment="1">
      <alignment horizontal="center" vertical="center" wrapText="1"/>
    </xf>
    <xf numFmtId="0" fontId="49" fillId="9" borderId="55" xfId="0" applyFont="1" applyFill="1" applyBorder="1" applyAlignment="1">
      <alignment horizontal="center" vertical="center" wrapText="1"/>
    </xf>
    <xf numFmtId="0" fontId="41" fillId="4" borderId="0" xfId="0" applyFont="1" applyFill="1" applyAlignment="1">
      <alignment horizontal="right"/>
    </xf>
    <xf numFmtId="0" fontId="53" fillId="4" borderId="0" xfId="0" applyFont="1" applyFill="1" applyAlignment="1">
      <alignment horizontal="right" vertical="center"/>
    </xf>
    <xf numFmtId="0" fontId="32" fillId="4" borderId="46" xfId="0" applyFont="1" applyFill="1" applyBorder="1" applyAlignment="1">
      <alignment horizontal="center" vertical="center" wrapText="1"/>
    </xf>
    <xf numFmtId="0" fontId="32" fillId="4" borderId="44" xfId="0" applyFont="1" applyFill="1" applyBorder="1" applyAlignment="1">
      <alignment horizontal="center" vertical="center" wrapText="1"/>
    </xf>
    <xf numFmtId="0" fontId="32" fillId="4" borderId="54" xfId="0" applyFont="1" applyFill="1" applyBorder="1" applyAlignment="1">
      <alignment horizontal="center" vertical="center" wrapText="1"/>
    </xf>
    <xf numFmtId="0" fontId="49" fillId="11" borderId="15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textRotation="90" wrapText="1"/>
    </xf>
    <xf numFmtId="0" fontId="10" fillId="0" borderId="1" xfId="0" applyFont="1" applyFill="1" applyBorder="1" applyAlignment="1">
      <alignment horizontal="center" vertical="center" textRotation="90" wrapText="1"/>
    </xf>
    <xf numFmtId="0" fontId="49" fillId="11" borderId="34" xfId="0" applyFont="1" applyFill="1" applyBorder="1" applyAlignment="1">
      <alignment horizontal="center" vertical="center" wrapText="1"/>
    </xf>
    <xf numFmtId="0" fontId="49" fillId="11" borderId="27" xfId="0" applyFont="1" applyFill="1" applyBorder="1" applyAlignment="1">
      <alignment horizontal="center" vertical="center" wrapText="1"/>
    </xf>
    <xf numFmtId="0" fontId="49" fillId="4" borderId="31" xfId="0" applyFont="1" applyFill="1" applyBorder="1" applyAlignment="1">
      <alignment horizontal="center" vertical="center" wrapText="1"/>
    </xf>
    <xf numFmtId="0" fontId="49" fillId="4" borderId="32" xfId="0" applyFont="1" applyFill="1" applyBorder="1" applyAlignment="1">
      <alignment horizontal="center" vertical="center" wrapText="1"/>
    </xf>
    <xf numFmtId="0" fontId="49" fillId="4" borderId="33" xfId="0" applyFont="1" applyFill="1" applyBorder="1" applyAlignment="1">
      <alignment horizontal="center" vertical="center" wrapText="1"/>
    </xf>
    <xf numFmtId="0" fontId="49" fillId="11" borderId="26" xfId="0" applyFont="1" applyFill="1" applyBorder="1" applyAlignment="1">
      <alignment horizontal="center" vertical="center" wrapText="1"/>
    </xf>
    <xf numFmtId="0" fontId="49" fillId="11" borderId="32" xfId="0" applyFont="1" applyFill="1" applyBorder="1" applyAlignment="1">
      <alignment horizontal="center" vertical="center" wrapText="1"/>
    </xf>
    <xf numFmtId="0" fontId="49" fillId="4" borderId="33" xfId="0" applyNumberFormat="1" applyFont="1" applyFill="1" applyBorder="1" applyAlignment="1">
      <alignment horizontal="center"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49" fillId="4" borderId="28" xfId="0" applyFont="1" applyFill="1" applyBorder="1" applyAlignment="1">
      <alignment horizontal="center" vertical="center"/>
    </xf>
    <xf numFmtId="0" fontId="49" fillId="4" borderId="29" xfId="0" applyFont="1" applyFill="1" applyBorder="1" applyAlignment="1">
      <alignment horizontal="center" vertical="center"/>
    </xf>
    <xf numFmtId="0" fontId="49" fillId="4" borderId="30" xfId="0" applyFont="1" applyFill="1" applyBorder="1" applyAlignment="1">
      <alignment horizontal="center" vertical="center"/>
    </xf>
    <xf numFmtId="0" fontId="4" fillId="0" borderId="0" xfId="0" applyFont="1" applyFill="1" applyAlignment="1"/>
    <xf numFmtId="0" fontId="27" fillId="14" borderId="10" xfId="0" applyFont="1" applyFill="1" applyBorder="1" applyAlignment="1">
      <alignment horizontal="center" vertical="center"/>
    </xf>
    <xf numFmtId="0" fontId="49" fillId="4" borderId="28" xfId="0" applyFont="1" applyFill="1" applyBorder="1" applyAlignment="1">
      <alignment horizontal="center" vertical="center" wrapText="1"/>
    </xf>
    <xf numFmtId="0" fontId="49" fillId="11" borderId="29" xfId="0" applyFont="1" applyFill="1" applyBorder="1" applyAlignment="1">
      <alignment horizontal="center" vertical="center" wrapText="1"/>
    </xf>
    <xf numFmtId="0" fontId="49" fillId="4" borderId="29" xfId="0" applyFont="1" applyFill="1" applyBorder="1" applyAlignment="1">
      <alignment horizontal="center" vertical="center" wrapText="1"/>
    </xf>
    <xf numFmtId="0" fontId="49" fillId="4" borderId="30" xfId="0" applyFont="1" applyFill="1" applyBorder="1" applyAlignment="1">
      <alignment horizontal="center" vertical="center" wrapText="1"/>
    </xf>
    <xf numFmtId="0" fontId="49" fillId="4" borderId="38" xfId="0" applyFont="1" applyFill="1" applyBorder="1" applyAlignment="1">
      <alignment horizontal="center" vertical="center" wrapText="1"/>
    </xf>
    <xf numFmtId="0" fontId="49" fillId="4" borderId="39" xfId="0" applyFont="1" applyFill="1" applyBorder="1" applyAlignment="1">
      <alignment horizontal="center" vertical="center" wrapText="1"/>
    </xf>
    <xf numFmtId="0" fontId="49" fillId="4" borderId="40" xfId="0" applyFont="1" applyFill="1" applyBorder="1" applyAlignment="1">
      <alignment horizontal="center" vertical="center" wrapText="1"/>
    </xf>
    <xf numFmtId="0" fontId="49" fillId="4" borderId="25" xfId="0" applyFont="1" applyFill="1" applyBorder="1" applyAlignment="1">
      <alignment horizontal="center" vertical="center" wrapText="1"/>
    </xf>
    <xf numFmtId="0" fontId="49" fillId="4" borderId="12" xfId="0" applyFont="1" applyFill="1" applyBorder="1" applyAlignment="1">
      <alignment horizontal="center" vertical="center" wrapText="1"/>
    </xf>
    <xf numFmtId="0" fontId="49" fillId="4" borderId="13" xfId="0" applyFont="1" applyFill="1" applyBorder="1" applyAlignment="1">
      <alignment horizontal="center" vertical="center" wrapText="1"/>
    </xf>
    <xf numFmtId="0" fontId="28" fillId="4" borderId="10" xfId="0" applyFont="1" applyFill="1" applyBorder="1"/>
    <xf numFmtId="0" fontId="49" fillId="9" borderId="48" xfId="0" applyFont="1" applyFill="1" applyBorder="1" applyAlignment="1">
      <alignment horizontal="center" vertical="center" wrapText="1"/>
    </xf>
    <xf numFmtId="0" fontId="50" fillId="4" borderId="44" xfId="0" applyFont="1" applyFill="1" applyBorder="1" applyAlignment="1">
      <alignment horizontal="center" vertical="center" wrapText="1"/>
    </xf>
    <xf numFmtId="0" fontId="49" fillId="11" borderId="55" xfId="0" applyFont="1" applyFill="1" applyBorder="1" applyAlignment="1">
      <alignment horizontal="center" vertical="center" wrapText="1"/>
    </xf>
    <xf numFmtId="0" fontId="49" fillId="11" borderId="33" xfId="0" applyFont="1" applyFill="1" applyBorder="1" applyAlignment="1">
      <alignment horizontal="center" vertical="center" wrapText="1"/>
    </xf>
    <xf numFmtId="0" fontId="49" fillId="4" borderId="25" xfId="0" applyFont="1" applyFill="1" applyBorder="1" applyAlignment="1">
      <alignment horizontal="center" vertical="center" wrapText="1"/>
    </xf>
    <xf numFmtId="0" fontId="49" fillId="4" borderId="12" xfId="0" applyFont="1" applyFill="1" applyBorder="1" applyAlignment="1">
      <alignment horizontal="center" vertical="center" wrapText="1"/>
    </xf>
    <xf numFmtId="0" fontId="49" fillId="4" borderId="13" xfId="0" applyFont="1" applyFill="1" applyBorder="1" applyAlignment="1">
      <alignment horizontal="center" vertical="center" wrapText="1"/>
    </xf>
    <xf numFmtId="0" fontId="49" fillId="11" borderId="63" xfId="0" applyFont="1" applyFill="1" applyBorder="1" applyAlignment="1">
      <alignment horizontal="center" vertical="center" wrapText="1"/>
    </xf>
    <xf numFmtId="0" fontId="41" fillId="0" borderId="10" xfId="0" applyFont="1" applyBorder="1" applyAlignment="1">
      <alignment vertical="center" wrapText="1"/>
    </xf>
    <xf numFmtId="0" fontId="41" fillId="0" borderId="25" xfId="0" applyFont="1" applyBorder="1" applyAlignment="1">
      <alignment vertical="center" wrapText="1"/>
    </xf>
    <xf numFmtId="0" fontId="41" fillId="0" borderId="12" xfId="0" applyFont="1" applyBorder="1" applyAlignment="1">
      <alignment vertical="center" wrapText="1"/>
    </xf>
    <xf numFmtId="0" fontId="41" fillId="0" borderId="13" xfId="0" applyFont="1" applyBorder="1" applyAlignment="1">
      <alignment vertical="center" wrapText="1"/>
    </xf>
    <xf numFmtId="0" fontId="41" fillId="0" borderId="26" xfId="0" applyFont="1" applyBorder="1" applyAlignment="1">
      <alignment vertical="center" wrapText="1"/>
    </xf>
    <xf numFmtId="0" fontId="41" fillId="0" borderId="27" xfId="0" applyFont="1" applyBorder="1" applyAlignment="1">
      <alignment vertical="center" wrapText="1"/>
    </xf>
    <xf numFmtId="0" fontId="49" fillId="4" borderId="32" xfId="0" applyNumberFormat="1" applyFont="1" applyFill="1" applyBorder="1" applyAlignment="1">
      <alignment horizontal="center" vertical="center" wrapText="1"/>
    </xf>
    <xf numFmtId="0" fontId="40" fillId="4" borderId="29" xfId="0" applyFont="1" applyFill="1" applyBorder="1" applyAlignment="1">
      <alignment horizontal="center" vertical="center" wrapText="1"/>
    </xf>
    <xf numFmtId="0" fontId="40" fillId="4" borderId="30" xfId="0" applyFont="1" applyFill="1" applyBorder="1" applyAlignment="1">
      <alignment horizontal="center" vertical="center" wrapText="1"/>
    </xf>
    <xf numFmtId="0" fontId="40" fillId="4" borderId="30" xfId="0" applyNumberFormat="1" applyFont="1" applyFill="1" applyBorder="1" applyAlignment="1">
      <alignment horizontal="center" vertical="center" wrapText="1"/>
    </xf>
    <xf numFmtId="0" fontId="50" fillId="11" borderId="10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horizontal="left" vertical="center" wrapText="1"/>
    </xf>
    <xf numFmtId="0" fontId="49" fillId="11" borderId="44" xfId="0" applyFont="1" applyFill="1" applyBorder="1" applyAlignment="1">
      <alignment horizontal="left" vertical="center" wrapText="1"/>
    </xf>
    <xf numFmtId="0" fontId="40" fillId="4" borderId="39" xfId="0" applyFont="1" applyFill="1" applyBorder="1" applyAlignment="1">
      <alignment horizontal="center" vertical="center" wrapText="1"/>
    </xf>
    <xf numFmtId="0" fontId="40" fillId="4" borderId="40" xfId="0" applyFont="1" applyFill="1" applyBorder="1" applyAlignment="1">
      <alignment horizontal="center" vertical="center" wrapText="1"/>
    </xf>
    <xf numFmtId="0" fontId="40" fillId="4" borderId="29" xfId="0" applyNumberFormat="1" applyFont="1" applyFill="1" applyBorder="1" applyAlignment="1">
      <alignment horizontal="center" vertical="center" wrapText="1"/>
    </xf>
    <xf numFmtId="0" fontId="49" fillId="9" borderId="25" xfId="0" applyFont="1" applyFill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top" wrapText="1"/>
    </xf>
    <xf numFmtId="0" fontId="23" fillId="0" borderId="37" xfId="0" applyFont="1" applyBorder="1" applyAlignment="1">
      <alignment horizontal="center" vertical="top" wrapText="1"/>
    </xf>
    <xf numFmtId="0" fontId="23" fillId="0" borderId="43" xfId="0" applyFont="1" applyBorder="1" applyAlignment="1">
      <alignment horizontal="center" vertical="justify" wrapText="1"/>
    </xf>
    <xf numFmtId="0" fontId="49" fillId="11" borderId="22" xfId="0" applyFont="1" applyFill="1" applyBorder="1" applyAlignment="1">
      <alignment horizontal="center" vertical="center" wrapText="1"/>
    </xf>
    <xf numFmtId="0" fontId="50" fillId="9" borderId="10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textRotation="90" wrapText="1"/>
    </xf>
    <xf numFmtId="0" fontId="5" fillId="0" borderId="17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textRotation="90" wrapText="1"/>
    </xf>
    <xf numFmtId="0" fontId="20" fillId="0" borderId="2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50" fillId="9" borderId="27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41" xfId="0" applyFont="1" applyFill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9" fillId="9" borderId="29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50" fillId="11" borderId="27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55" fillId="9" borderId="31" xfId="0" applyFont="1" applyFill="1" applyBorder="1" applyAlignment="1">
      <alignment horizontal="center" vertical="center" wrapText="1"/>
    </xf>
    <xf numFmtId="0" fontId="21" fillId="4" borderId="32" xfId="0" applyFont="1" applyFill="1" applyBorder="1" applyAlignment="1">
      <alignment horizontal="center" vertical="center" wrapText="1"/>
    </xf>
    <xf numFmtId="0" fontId="21" fillId="4" borderId="33" xfId="0" applyFont="1" applyFill="1" applyBorder="1" applyAlignment="1">
      <alignment horizontal="left" vertical="center" wrapText="1"/>
    </xf>
    <xf numFmtId="0" fontId="20" fillId="4" borderId="37" xfId="0" applyFont="1" applyFill="1" applyBorder="1" applyAlignment="1">
      <alignment horizontal="center" vertical="center" wrapText="1"/>
    </xf>
    <xf numFmtId="0" fontId="49" fillId="11" borderId="38" xfId="0" applyFont="1" applyFill="1" applyBorder="1" applyAlignment="1">
      <alignment horizontal="center" vertical="center" wrapText="1"/>
    </xf>
    <xf numFmtId="0" fontId="50" fillId="11" borderId="33" xfId="0" applyFont="1" applyFill="1" applyBorder="1" applyAlignment="1">
      <alignment horizontal="center" vertical="center" wrapText="1"/>
    </xf>
    <xf numFmtId="0" fontId="49" fillId="9" borderId="39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52" fillId="4" borderId="27" xfId="0" applyFont="1" applyFill="1" applyBorder="1" applyAlignment="1">
      <alignment vertical="center" wrapText="1"/>
    </xf>
    <xf numFmtId="0" fontId="49" fillId="11" borderId="48" xfId="0" applyFont="1" applyFill="1" applyBorder="1" applyAlignment="1">
      <alignment horizontal="center" vertical="center" wrapText="1"/>
    </xf>
    <xf numFmtId="0" fontId="50" fillId="10" borderId="12" xfId="0" applyFont="1" applyFill="1" applyBorder="1" applyAlignment="1">
      <alignment horizontal="center" vertical="center" wrapText="1"/>
    </xf>
    <xf numFmtId="0" fontId="40" fillId="10" borderId="10" xfId="0" applyFont="1" applyFill="1" applyBorder="1" applyAlignment="1">
      <alignment horizontal="center" vertical="center" wrapText="1"/>
    </xf>
    <xf numFmtId="0" fontId="50" fillId="10" borderId="26" xfId="0" applyFont="1" applyFill="1" applyBorder="1" applyAlignment="1">
      <alignment horizontal="center" vertical="center" wrapText="1"/>
    </xf>
    <xf numFmtId="0" fontId="50" fillId="10" borderId="25" xfId="0" applyFont="1" applyFill="1" applyBorder="1" applyAlignment="1">
      <alignment horizontal="center" vertical="center" wrapText="1"/>
    </xf>
    <xf numFmtId="0" fontId="50" fillId="13" borderId="10" xfId="0" applyFont="1" applyFill="1" applyBorder="1" applyAlignment="1">
      <alignment horizontal="center" vertical="center" wrapText="1"/>
    </xf>
    <xf numFmtId="0" fontId="22" fillId="4" borderId="0" xfId="0" applyFont="1" applyFill="1"/>
    <xf numFmtId="0" fontId="29" fillId="9" borderId="0" xfId="0" applyFont="1" applyFill="1"/>
    <xf numFmtId="0" fontId="49" fillId="11" borderId="32" xfId="0" applyFont="1" applyFill="1" applyBorder="1" applyAlignment="1">
      <alignment horizontal="left" vertical="center" wrapText="1"/>
    </xf>
    <xf numFmtId="0" fontId="50" fillId="9" borderId="12" xfId="0" applyFont="1" applyFill="1" applyBorder="1" applyAlignment="1">
      <alignment horizontal="center" vertical="center" wrapText="1"/>
    </xf>
    <xf numFmtId="0" fontId="50" fillId="13" borderId="12" xfId="0" applyFont="1" applyFill="1" applyBorder="1" applyAlignment="1">
      <alignment horizontal="center" vertical="center" wrapText="1"/>
    </xf>
    <xf numFmtId="0" fontId="50" fillId="10" borderId="13" xfId="0" applyFont="1" applyFill="1" applyBorder="1" applyAlignment="1">
      <alignment horizontal="center" vertical="center" wrapText="1"/>
    </xf>
    <xf numFmtId="0" fontId="49" fillId="13" borderId="26" xfId="0" applyFont="1" applyFill="1" applyBorder="1" applyAlignment="1">
      <alignment horizontal="center" vertical="center" wrapText="1"/>
    </xf>
    <xf numFmtId="0" fontId="49" fillId="13" borderId="10" xfId="0" applyFont="1" applyFill="1" applyBorder="1" applyAlignment="1">
      <alignment horizontal="center" vertical="center" wrapText="1"/>
    </xf>
    <xf numFmtId="0" fontId="52" fillId="10" borderId="27" xfId="0" applyFont="1" applyFill="1" applyBorder="1" applyAlignment="1">
      <alignment vertical="center" wrapText="1"/>
    </xf>
    <xf numFmtId="0" fontId="50" fillId="13" borderId="27" xfId="0" applyFont="1" applyFill="1" applyBorder="1" applyAlignment="1">
      <alignment horizontal="center" vertical="center" wrapText="1"/>
    </xf>
    <xf numFmtId="0" fontId="40" fillId="4" borderId="38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left" vertical="center" wrapText="1"/>
    </xf>
    <xf numFmtId="0" fontId="28" fillId="4" borderId="10" xfId="0" applyFont="1" applyFill="1" applyBorder="1" applyAlignment="1">
      <alignment horizontal="left" vertical="center" wrapText="1"/>
    </xf>
    <xf numFmtId="0" fontId="27" fillId="4" borderId="26" xfId="0" applyFont="1" applyFill="1" applyBorder="1" applyAlignment="1">
      <alignment horizontal="left" vertical="center"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0" fillId="4" borderId="32" xfId="0" applyFont="1" applyFill="1" applyBorder="1" applyAlignment="1">
      <alignment horizontal="center" vertical="center" wrapText="1"/>
    </xf>
    <xf numFmtId="0" fontId="55" fillId="0" borderId="43" xfId="0" applyFont="1" applyBorder="1" applyAlignment="1">
      <alignment horizontal="center" vertical="justify" wrapText="1"/>
    </xf>
    <xf numFmtId="0" fontId="55" fillId="0" borderId="4" xfId="0" applyFont="1" applyBorder="1" applyAlignment="1">
      <alignment horizontal="center" vertical="justify" wrapText="1"/>
    </xf>
    <xf numFmtId="0" fontId="69" fillId="11" borderId="26" xfId="0" applyFont="1" applyFill="1" applyBorder="1" applyAlignment="1">
      <alignment horizontal="center" vertical="center" wrapText="1"/>
    </xf>
    <xf numFmtId="0" fontId="69" fillId="11" borderId="12" xfId="0" applyFont="1" applyFill="1" applyBorder="1" applyAlignment="1">
      <alignment horizontal="center" vertical="center" wrapText="1"/>
    </xf>
    <xf numFmtId="0" fontId="49" fillId="9" borderId="27" xfId="0" applyFont="1" applyFill="1" applyBorder="1" applyAlignment="1">
      <alignment horizontal="center" vertical="center" wrapText="1"/>
    </xf>
    <xf numFmtId="0" fontId="27" fillId="0" borderId="32" xfId="0" applyFont="1" applyFill="1" applyBorder="1" applyAlignment="1">
      <alignment horizontal="center" vertical="center"/>
    </xf>
    <xf numFmtId="0" fontId="28" fillId="0" borderId="39" xfId="0" applyFont="1" applyFill="1" applyBorder="1"/>
    <xf numFmtId="0" fontId="27" fillId="0" borderId="39" xfId="0" applyFont="1" applyFill="1" applyBorder="1" applyAlignment="1">
      <alignment horizontal="center" vertical="center"/>
    </xf>
    <xf numFmtId="0" fontId="28" fillId="4" borderId="56" xfId="0" applyFont="1" applyFill="1" applyBorder="1"/>
    <xf numFmtId="0" fontId="27" fillId="0" borderId="12" xfId="0" applyFont="1" applyFill="1" applyBorder="1" applyAlignment="1">
      <alignment horizontal="center" vertical="center"/>
    </xf>
    <xf numFmtId="0" fontId="27" fillId="0" borderId="29" xfId="0" applyFont="1" applyFill="1" applyBorder="1" applyAlignment="1">
      <alignment horizontal="center" vertical="center"/>
    </xf>
    <xf numFmtId="0" fontId="28" fillId="0" borderId="43" xfId="0" applyFont="1" applyFill="1" applyBorder="1"/>
    <xf numFmtId="0" fontId="31" fillId="0" borderId="56" xfId="0" applyFont="1" applyFill="1" applyBorder="1"/>
    <xf numFmtId="0" fontId="31" fillId="0" borderId="43" xfId="0" applyFont="1" applyFill="1" applyBorder="1"/>
    <xf numFmtId="0" fontId="20" fillId="0" borderId="5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49" fillId="9" borderId="28" xfId="0" applyFont="1" applyFill="1" applyBorder="1" applyAlignment="1">
      <alignment horizontal="center" vertical="center" wrapText="1"/>
    </xf>
    <xf numFmtId="0" fontId="41" fillId="10" borderId="25" xfId="0" applyFont="1" applyFill="1" applyBorder="1" applyAlignment="1">
      <alignment horizontal="center" vertical="center" wrapText="1"/>
    </xf>
    <xf numFmtId="0" fontId="41" fillId="10" borderId="12" xfId="0" applyFont="1" applyFill="1" applyBorder="1" applyAlignment="1">
      <alignment horizontal="center" vertical="center" wrapText="1"/>
    </xf>
    <xf numFmtId="0" fontId="41" fillId="10" borderId="13" xfId="0" applyFont="1" applyFill="1" applyBorder="1" applyAlignment="1">
      <alignment horizontal="center" vertical="center" wrapText="1"/>
    </xf>
    <xf numFmtId="0" fontId="41" fillId="10" borderId="10" xfId="0" applyFont="1" applyFill="1" applyBorder="1" applyAlignment="1">
      <alignment horizontal="center" vertical="center" wrapText="1"/>
    </xf>
    <xf numFmtId="0" fontId="41" fillId="10" borderId="27" xfId="0" applyFont="1" applyFill="1" applyBorder="1" applyAlignment="1">
      <alignment horizontal="center" vertical="center" wrapText="1"/>
    </xf>
    <xf numFmtId="0" fontId="50" fillId="10" borderId="10" xfId="0" applyFont="1" applyFill="1" applyBorder="1" applyAlignment="1">
      <alignment horizontal="center" vertical="center" wrapText="1"/>
    </xf>
    <xf numFmtId="0" fontId="50" fillId="10" borderId="27" xfId="0" applyFont="1" applyFill="1" applyBorder="1" applyAlignment="1">
      <alignment horizontal="center" vertical="center" wrapText="1"/>
    </xf>
    <xf numFmtId="0" fontId="41" fillId="10" borderId="28" xfId="0" applyFont="1" applyFill="1" applyBorder="1" applyAlignment="1">
      <alignment horizontal="center" vertical="center"/>
    </xf>
    <xf numFmtId="0" fontId="41" fillId="10" borderId="29" xfId="0" applyFont="1" applyFill="1" applyBorder="1" applyAlignment="1">
      <alignment horizontal="center" vertical="center"/>
    </xf>
    <xf numFmtId="0" fontId="41" fillId="10" borderId="30" xfId="0" applyFont="1" applyFill="1" applyBorder="1" applyAlignment="1">
      <alignment horizontal="center" vertical="center"/>
    </xf>
    <xf numFmtId="0" fontId="40" fillId="4" borderId="31" xfId="0" applyFont="1" applyFill="1" applyBorder="1" applyAlignment="1">
      <alignment horizontal="center" vertical="center" wrapText="1"/>
    </xf>
    <xf numFmtId="0" fontId="40" fillId="4" borderId="32" xfId="0" applyNumberFormat="1" applyFont="1" applyFill="1" applyBorder="1" applyAlignment="1">
      <alignment horizontal="center" vertical="center" wrapText="1"/>
    </xf>
    <xf numFmtId="0" fontId="40" fillId="4" borderId="33" xfId="0" applyNumberFormat="1" applyFont="1" applyFill="1" applyBorder="1" applyAlignment="1">
      <alignment horizontal="center" vertical="center" wrapText="1"/>
    </xf>
    <xf numFmtId="0" fontId="50" fillId="9" borderId="26" xfId="0" applyFont="1" applyFill="1" applyBorder="1" applyAlignment="1">
      <alignment horizontal="center" vertical="center" wrapText="1"/>
    </xf>
    <xf numFmtId="0" fontId="28" fillId="4" borderId="32" xfId="0" applyFont="1" applyFill="1" applyBorder="1"/>
    <xf numFmtId="0" fontId="28" fillId="4" borderId="12" xfId="0" applyFont="1" applyFill="1" applyBorder="1"/>
    <xf numFmtId="0" fontId="22" fillId="4" borderId="43" xfId="0" applyFont="1" applyFill="1" applyBorder="1"/>
    <xf numFmtId="0" fontId="28" fillId="4" borderId="29" xfId="0" applyFont="1" applyFill="1" applyBorder="1"/>
    <xf numFmtId="0" fontId="27" fillId="4" borderId="11" xfId="0" applyFont="1" applyFill="1" applyBorder="1" applyAlignment="1">
      <alignment horizontal="center" vertical="top" wrapText="1"/>
    </xf>
    <xf numFmtId="0" fontId="40" fillId="4" borderId="55" xfId="0" applyFont="1" applyFill="1" applyBorder="1" applyAlignment="1">
      <alignment horizontal="center" vertical="center" wrapText="1"/>
    </xf>
    <xf numFmtId="0" fontId="40" fillId="4" borderId="15" xfId="0" applyFont="1" applyFill="1" applyBorder="1" applyAlignment="1">
      <alignment horizontal="center" vertical="center" wrapText="1"/>
    </xf>
    <xf numFmtId="0" fontId="40" fillId="4" borderId="69" xfId="0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center" vertical="center" wrapText="1"/>
    </xf>
    <xf numFmtId="0" fontId="27" fillId="4" borderId="37" xfId="0" applyFont="1" applyFill="1" applyBorder="1" applyAlignment="1">
      <alignment horizontal="center" vertical="top" wrapText="1"/>
    </xf>
    <xf numFmtId="0" fontId="41" fillId="4" borderId="32" xfId="0" applyFont="1" applyFill="1" applyBorder="1" applyAlignment="1">
      <alignment horizontal="center" vertical="center" wrapText="1"/>
    </xf>
    <xf numFmtId="0" fontId="41" fillId="4" borderId="33" xfId="0" applyFont="1" applyFill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34" fillId="4" borderId="38" xfId="0" applyFont="1" applyFill="1" applyBorder="1" applyAlignment="1">
      <alignment horizontal="center" vertical="center" wrapText="1"/>
    </xf>
    <xf numFmtId="0" fontId="34" fillId="4" borderId="39" xfId="0" applyFont="1" applyFill="1" applyBorder="1" applyAlignment="1">
      <alignment horizontal="center" vertical="center" wrapText="1"/>
    </xf>
    <xf numFmtId="0" fontId="34" fillId="4" borderId="40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center" vertical="center"/>
    </xf>
    <xf numFmtId="0" fontId="68" fillId="4" borderId="13" xfId="0" applyFont="1" applyFill="1" applyBorder="1" applyAlignment="1">
      <alignment horizontal="center" vertical="center" wrapText="1"/>
    </xf>
    <xf numFmtId="0" fontId="66" fillId="11" borderId="10" xfId="0" applyFont="1" applyFill="1" applyBorder="1" applyAlignment="1">
      <alignment horizontal="center" vertical="center" wrapText="1"/>
    </xf>
    <xf numFmtId="0" fontId="14" fillId="4" borderId="28" xfId="0" applyFont="1" applyFill="1" applyBorder="1" applyAlignment="1">
      <alignment horizontal="center" vertical="center"/>
    </xf>
    <xf numFmtId="0" fontId="30" fillId="11" borderId="62" xfId="0" applyFont="1" applyFill="1" applyBorder="1" applyAlignment="1">
      <alignment horizontal="center" vertical="center" wrapText="1"/>
    </xf>
    <xf numFmtId="0" fontId="52" fillId="10" borderId="26" xfId="0" applyFont="1" applyFill="1" applyBorder="1" applyAlignment="1">
      <alignment vertical="center" wrapText="1"/>
    </xf>
    <xf numFmtId="0" fontId="52" fillId="10" borderId="10" xfId="0" applyFont="1" applyFill="1" applyBorder="1" applyAlignment="1">
      <alignment vertical="center" wrapText="1"/>
    </xf>
    <xf numFmtId="0" fontId="27" fillId="10" borderId="28" xfId="0" applyFont="1" applyFill="1" applyBorder="1" applyAlignment="1">
      <alignment horizontal="left" vertical="center" wrapText="1"/>
    </xf>
    <xf numFmtId="0" fontId="27" fillId="10" borderId="29" xfId="0" applyFont="1" applyFill="1" applyBorder="1" applyAlignment="1">
      <alignment horizontal="left" vertical="center" wrapText="1"/>
    </xf>
    <xf numFmtId="0" fontId="27" fillId="10" borderId="30" xfId="0" applyFont="1" applyFill="1" applyBorder="1" applyAlignment="1">
      <alignment horizontal="left" vertical="center" wrapText="1"/>
    </xf>
    <xf numFmtId="0" fontId="49" fillId="11" borderId="25" xfId="0" applyFont="1" applyFill="1" applyBorder="1" applyAlignment="1">
      <alignment horizontal="center" vertical="center" wrapText="1"/>
    </xf>
    <xf numFmtId="0" fontId="0" fillId="4" borderId="28" xfId="0" applyFill="1" applyBorder="1"/>
    <xf numFmtId="0" fontId="0" fillId="4" borderId="29" xfId="0" applyFill="1" applyBorder="1"/>
    <xf numFmtId="0" fontId="0" fillId="4" borderId="30" xfId="0" applyFill="1" applyBorder="1"/>
    <xf numFmtId="0" fontId="29" fillId="11" borderId="38" xfId="0" applyFont="1" applyFill="1" applyBorder="1" applyAlignment="1">
      <alignment horizontal="center" vertical="center" wrapText="1"/>
    </xf>
    <xf numFmtId="0" fontId="29" fillId="11" borderId="55" xfId="0" applyFont="1" applyFill="1" applyBorder="1" applyAlignment="1">
      <alignment horizontal="center" vertical="center" wrapText="1"/>
    </xf>
    <xf numFmtId="0" fontId="29" fillId="11" borderId="64" xfId="0" applyFont="1" applyFill="1" applyBorder="1" applyAlignment="1">
      <alignment horizontal="center" vertical="center" wrapText="1"/>
    </xf>
    <xf numFmtId="0" fontId="67" fillId="11" borderId="46" xfId="0" applyFont="1" applyFill="1" applyBorder="1" applyAlignment="1">
      <alignment horizontal="left" vertical="center" wrapText="1"/>
    </xf>
    <xf numFmtId="0" fontId="67" fillId="11" borderId="65" xfId="0" applyFont="1" applyFill="1" applyBorder="1" applyAlignment="1">
      <alignment horizontal="left" vertical="center" wrapText="1"/>
    </xf>
    <xf numFmtId="0" fontId="29" fillId="11" borderId="58" xfId="0" applyFont="1" applyFill="1" applyBorder="1" applyAlignment="1">
      <alignment horizontal="center" vertical="center" wrapText="1"/>
    </xf>
    <xf numFmtId="0" fontId="49" fillId="11" borderId="39" xfId="0" applyFont="1" applyFill="1" applyBorder="1" applyAlignment="1">
      <alignment horizontal="center" vertical="center" wrapText="1"/>
    </xf>
    <xf numFmtId="0" fontId="49" fillId="11" borderId="2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left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37" xfId="0" applyFont="1" applyFill="1" applyBorder="1" applyAlignment="1">
      <alignment horizontal="left" vertical="center" wrapText="1"/>
    </xf>
    <xf numFmtId="0" fontId="50" fillId="11" borderId="26" xfId="0" applyFont="1" applyFill="1" applyBorder="1" applyAlignment="1">
      <alignment horizontal="center" vertical="center" wrapText="1"/>
    </xf>
    <xf numFmtId="0" fontId="50" fillId="11" borderId="13" xfId="0" applyFont="1" applyFill="1" applyBorder="1" applyAlignment="1">
      <alignment horizontal="center" vertical="center" wrapText="1"/>
    </xf>
    <xf numFmtId="0" fontId="41" fillId="4" borderId="38" xfId="0" applyFont="1" applyFill="1" applyBorder="1" applyAlignment="1">
      <alignment horizontal="center" vertical="center" wrapText="1"/>
    </xf>
    <xf numFmtId="0" fontId="50" fillId="4" borderId="39" xfId="0" applyFont="1" applyFill="1" applyBorder="1" applyAlignment="1">
      <alignment horizontal="center" vertical="center" wrapText="1"/>
    </xf>
    <xf numFmtId="0" fontId="41" fillId="4" borderId="39" xfId="0" applyFont="1" applyFill="1" applyBorder="1" applyAlignment="1">
      <alignment horizontal="center" vertical="center" wrapText="1"/>
    </xf>
    <xf numFmtId="0" fontId="41" fillId="4" borderId="40" xfId="0" applyFont="1" applyFill="1" applyBorder="1" applyAlignment="1">
      <alignment horizontal="center" vertical="center" wrapText="1"/>
    </xf>
    <xf numFmtId="0" fontId="49" fillId="9" borderId="14" xfId="0" applyFont="1" applyFill="1" applyBorder="1" applyAlignment="1">
      <alignment horizontal="center" vertical="center" wrapText="1"/>
    </xf>
    <xf numFmtId="0" fontId="28" fillId="4" borderId="39" xfId="0" applyFont="1" applyFill="1" applyBorder="1"/>
    <xf numFmtId="0" fontId="27" fillId="4" borderId="12" xfId="0" applyFont="1" applyFill="1" applyBorder="1" applyAlignment="1">
      <alignment horizontal="center" vertical="center"/>
    </xf>
    <xf numFmtId="0" fontId="27" fillId="4" borderId="29" xfId="0" applyFont="1" applyFill="1" applyBorder="1" applyAlignment="1">
      <alignment horizontal="center" vertical="center"/>
    </xf>
    <xf numFmtId="0" fontId="40" fillId="10" borderId="38" xfId="0" applyFont="1" applyFill="1" applyBorder="1" applyAlignment="1">
      <alignment horizontal="center" vertical="center" wrapText="1"/>
    </xf>
    <xf numFmtId="0" fontId="40" fillId="10" borderId="39" xfId="0" applyFont="1" applyFill="1" applyBorder="1" applyAlignment="1">
      <alignment horizontal="center" vertical="center" wrapText="1"/>
    </xf>
    <xf numFmtId="0" fontId="40" fillId="10" borderId="40" xfId="0" applyFont="1" applyFill="1" applyBorder="1" applyAlignment="1">
      <alignment horizontal="center" vertical="center" wrapText="1"/>
    </xf>
    <xf numFmtId="0" fontId="40" fillId="10" borderId="26" xfId="0" applyFont="1" applyFill="1" applyBorder="1" applyAlignment="1">
      <alignment horizontal="center" vertical="center" wrapText="1"/>
    </xf>
    <xf numFmtId="0" fontId="40" fillId="10" borderId="27" xfId="0" applyFont="1" applyFill="1" applyBorder="1" applyAlignment="1">
      <alignment horizontal="center" vertical="center" wrapText="1"/>
    </xf>
    <xf numFmtId="0" fontId="49" fillId="13" borderId="15" xfId="0" applyFont="1" applyFill="1" applyBorder="1" applyAlignment="1">
      <alignment horizontal="center" vertical="center" wrapText="1"/>
    </xf>
    <xf numFmtId="0" fontId="40" fillId="10" borderId="28" xfId="0" applyFont="1" applyFill="1" applyBorder="1" applyAlignment="1">
      <alignment horizontal="center" vertical="center" wrapText="1"/>
    </xf>
    <xf numFmtId="0" fontId="40" fillId="10" borderId="29" xfId="0" applyFont="1" applyFill="1" applyBorder="1" applyAlignment="1">
      <alignment horizontal="center" vertical="center" wrapText="1"/>
    </xf>
    <xf numFmtId="0" fontId="41" fillId="10" borderId="29" xfId="0" applyFont="1" applyFill="1" applyBorder="1" applyAlignment="1">
      <alignment horizontal="center" vertical="center" wrapText="1"/>
    </xf>
    <xf numFmtId="0" fontId="41" fillId="10" borderId="30" xfId="0" applyFont="1" applyFill="1" applyBorder="1" applyAlignment="1">
      <alignment horizontal="center" vertical="center" wrapText="1"/>
    </xf>
    <xf numFmtId="0" fontId="40" fillId="10" borderId="25" xfId="0" applyFont="1" applyFill="1" applyBorder="1" applyAlignment="1">
      <alignment horizontal="center" vertical="center" wrapText="1"/>
    </xf>
    <xf numFmtId="0" fontId="40" fillId="10" borderId="12" xfId="0" applyFont="1" applyFill="1" applyBorder="1" applyAlignment="1">
      <alignment horizontal="center" vertical="center" wrapText="1"/>
    </xf>
    <xf numFmtId="0" fontId="40" fillId="10" borderId="13" xfId="0" applyFont="1" applyFill="1" applyBorder="1" applyAlignment="1">
      <alignment horizontal="center" vertical="center" wrapText="1"/>
    </xf>
    <xf numFmtId="0" fontId="49" fillId="13" borderId="55" xfId="0" applyFont="1" applyFill="1" applyBorder="1" applyAlignment="1">
      <alignment horizontal="center" vertical="center" wrapText="1"/>
    </xf>
    <xf numFmtId="0" fontId="49" fillId="13" borderId="22" xfId="0" applyFont="1" applyFill="1" applyBorder="1" applyAlignment="1">
      <alignment horizontal="center" vertical="center" wrapText="1"/>
    </xf>
    <xf numFmtId="0" fontId="49" fillId="13" borderId="38" xfId="0" applyFont="1" applyFill="1" applyBorder="1" applyAlignment="1">
      <alignment horizontal="center" vertical="center" wrapText="1"/>
    </xf>
    <xf numFmtId="0" fontId="40" fillId="10" borderId="31" xfId="0" applyFont="1" applyFill="1" applyBorder="1" applyAlignment="1">
      <alignment horizontal="center" vertical="center" wrapText="1"/>
    </xf>
    <xf numFmtId="0" fontId="40" fillId="10" borderId="32" xfId="0" applyNumberFormat="1" applyFont="1" applyFill="1" applyBorder="1" applyAlignment="1">
      <alignment horizontal="center" vertical="center" wrapText="1"/>
    </xf>
    <xf numFmtId="0" fontId="40" fillId="10" borderId="32" xfId="0" applyFont="1" applyFill="1" applyBorder="1" applyAlignment="1">
      <alignment horizontal="center" vertical="center" wrapText="1"/>
    </xf>
    <xf numFmtId="0" fontId="40" fillId="10" borderId="33" xfId="0" applyNumberFormat="1" applyFont="1" applyFill="1" applyBorder="1" applyAlignment="1">
      <alignment horizontal="center" vertical="center" wrapText="1"/>
    </xf>
    <xf numFmtId="0" fontId="49" fillId="10" borderId="4" xfId="0" applyFont="1" applyFill="1" applyBorder="1" applyAlignment="1">
      <alignment horizontal="center" vertical="center" wrapText="1"/>
    </xf>
    <xf numFmtId="0" fontId="34" fillId="10" borderId="25" xfId="0" applyFont="1" applyFill="1" applyBorder="1" applyAlignment="1">
      <alignment horizontal="center" vertical="center" wrapText="1"/>
    </xf>
    <xf numFmtId="0" fontId="34" fillId="10" borderId="12" xfId="0" applyFont="1" applyFill="1" applyBorder="1" applyAlignment="1">
      <alignment horizontal="center" vertical="center" wrapText="1"/>
    </xf>
    <xf numFmtId="0" fontId="34" fillId="10" borderId="13" xfId="0" applyFont="1" applyFill="1" applyBorder="1" applyAlignment="1">
      <alignment horizontal="center" vertical="center" wrapText="1"/>
    </xf>
    <xf numFmtId="0" fontId="34" fillId="10" borderId="26" xfId="0" applyFont="1" applyFill="1" applyBorder="1" applyAlignment="1">
      <alignment horizontal="center" vertical="center" wrapText="1"/>
    </xf>
    <xf numFmtId="0" fontId="34" fillId="10" borderId="10" xfId="0" applyFont="1" applyFill="1" applyBorder="1" applyAlignment="1">
      <alignment horizontal="center" vertical="center" wrapText="1"/>
    </xf>
    <xf numFmtId="0" fontId="34" fillId="10" borderId="27" xfId="0" applyFont="1" applyFill="1" applyBorder="1" applyAlignment="1">
      <alignment horizontal="center" vertical="center" wrapText="1"/>
    </xf>
    <xf numFmtId="0" fontId="34" fillId="10" borderId="27" xfId="0" applyFont="1" applyFill="1" applyBorder="1" applyAlignment="1">
      <alignment horizontal="center" vertical="center"/>
    </xf>
    <xf numFmtId="0" fontId="34" fillId="10" borderId="28" xfId="0" applyFont="1" applyFill="1" applyBorder="1" applyAlignment="1">
      <alignment horizontal="center" vertical="center" wrapText="1"/>
    </xf>
    <xf numFmtId="0" fontId="34" fillId="10" borderId="29" xfId="0" applyFont="1" applyFill="1" applyBorder="1" applyAlignment="1">
      <alignment horizontal="center" vertical="center" wrapText="1"/>
    </xf>
    <xf numFmtId="0" fontId="34" fillId="10" borderId="30" xfId="0" applyFont="1" applyFill="1" applyBorder="1" applyAlignment="1">
      <alignment horizontal="center" vertical="center" wrapText="1"/>
    </xf>
    <xf numFmtId="0" fontId="21" fillId="4" borderId="0" xfId="0" applyFont="1" applyFill="1"/>
    <xf numFmtId="0" fontId="21" fillId="4" borderId="42" xfId="0" applyFont="1" applyFill="1" applyBorder="1" applyAlignment="1"/>
    <xf numFmtId="0" fontId="55" fillId="9" borderId="0" xfId="0" applyFont="1" applyFill="1"/>
    <xf numFmtId="0" fontId="30" fillId="4" borderId="10" xfId="0" applyFont="1" applyFill="1" applyBorder="1"/>
    <xf numFmtId="0" fontId="30" fillId="9" borderId="10" xfId="0" applyFont="1" applyFill="1" applyBorder="1"/>
    <xf numFmtId="0" fontId="30" fillId="11" borderId="10" xfId="0" applyFont="1" applyFill="1" applyBorder="1"/>
    <xf numFmtId="0" fontId="68" fillId="4" borderId="29" xfId="0" applyFont="1" applyFill="1" applyBorder="1" applyAlignment="1">
      <alignment horizontal="center" vertical="center" wrapText="1"/>
    </xf>
    <xf numFmtId="0" fontId="68" fillId="4" borderId="30" xfId="0" applyFont="1" applyFill="1" applyBorder="1" applyAlignment="1">
      <alignment horizontal="center" vertical="center" wrapText="1"/>
    </xf>
    <xf numFmtId="0" fontId="49" fillId="11" borderId="47" xfId="0" applyFont="1" applyFill="1" applyBorder="1" applyAlignment="1">
      <alignment horizontal="left" vertical="center" wrapText="1"/>
    </xf>
    <xf numFmtId="0" fontId="49" fillId="11" borderId="49" xfId="0" applyFont="1" applyFill="1" applyBorder="1" applyAlignment="1">
      <alignment horizontal="left" vertical="center" wrapText="1"/>
    </xf>
    <xf numFmtId="0" fontId="49" fillId="4" borderId="25" xfId="0" applyFont="1" applyFill="1" applyBorder="1" applyAlignment="1">
      <alignment horizontal="left" vertical="center" wrapText="1"/>
    </xf>
    <xf numFmtId="0" fontId="49" fillId="4" borderId="12" xfId="0" applyFont="1" applyFill="1" applyBorder="1" applyAlignment="1">
      <alignment horizontal="left" vertical="center" wrapText="1"/>
    </xf>
    <xf numFmtId="0" fontId="49" fillId="11" borderId="12" xfId="0" applyFont="1" applyFill="1" applyBorder="1" applyAlignment="1">
      <alignment horizontal="left" vertical="center" wrapText="1"/>
    </xf>
    <xf numFmtId="0" fontId="49" fillId="4" borderId="13" xfId="0" applyFont="1" applyFill="1" applyBorder="1" applyAlignment="1">
      <alignment horizontal="left" vertical="center" wrapText="1"/>
    </xf>
    <xf numFmtId="0" fontId="49" fillId="4" borderId="28" xfId="0" applyFont="1" applyFill="1" applyBorder="1" applyAlignment="1">
      <alignment vertical="center" wrapText="1"/>
    </xf>
    <xf numFmtId="0" fontId="49" fillId="11" borderId="44" xfId="0" applyFont="1" applyFill="1" applyBorder="1" applyAlignment="1">
      <alignment vertical="center" wrapText="1"/>
    </xf>
    <xf numFmtId="0" fontId="49" fillId="4" borderId="29" xfId="0" applyFont="1" applyFill="1" applyBorder="1" applyAlignment="1">
      <alignment vertical="center" wrapText="1"/>
    </xf>
    <xf numFmtId="0" fontId="49" fillId="4" borderId="30" xfId="0" applyFont="1" applyFill="1" applyBorder="1" applyAlignment="1">
      <alignment vertical="center" wrapText="1"/>
    </xf>
    <xf numFmtId="0" fontId="49" fillId="4" borderId="29" xfId="0" applyFont="1" applyFill="1" applyBorder="1" applyAlignment="1">
      <alignment horizontal="left" vertical="center" wrapText="1"/>
    </xf>
    <xf numFmtId="0" fontId="49" fillId="4" borderId="30" xfId="0" applyFont="1" applyFill="1" applyBorder="1" applyAlignment="1">
      <alignment horizontal="left" vertical="center" wrapText="1"/>
    </xf>
    <xf numFmtId="0" fontId="49" fillId="4" borderId="31" xfId="0" applyFont="1" applyFill="1" applyBorder="1" applyAlignment="1">
      <alignment vertical="center" wrapText="1"/>
    </xf>
    <xf numFmtId="0" fontId="49" fillId="11" borderId="47" xfId="0" applyFont="1" applyFill="1" applyBorder="1" applyAlignment="1">
      <alignment vertical="center" wrapText="1"/>
    </xf>
    <xf numFmtId="0" fontId="49" fillId="4" borderId="33" xfId="0" applyFont="1" applyFill="1" applyBorder="1" applyAlignment="1">
      <alignment vertical="center" wrapText="1"/>
    </xf>
    <xf numFmtId="0" fontId="49" fillId="4" borderId="26" xfId="0" applyFont="1" applyFill="1" applyBorder="1" applyAlignment="1">
      <alignment horizontal="left" vertical="center"/>
    </xf>
    <xf numFmtId="0" fontId="49" fillId="11" borderId="10" xfId="0" applyFont="1" applyFill="1" applyBorder="1" applyAlignment="1">
      <alignment horizontal="left" vertical="center" wrapText="1"/>
    </xf>
    <xf numFmtId="0" fontId="49" fillId="4" borderId="10" xfId="0" applyFont="1" applyFill="1" applyBorder="1" applyAlignment="1">
      <alignment horizontal="left" vertical="center" wrapText="1"/>
    </xf>
    <xf numFmtId="0" fontId="49" fillId="4" borderId="27" xfId="0" applyFont="1" applyFill="1" applyBorder="1" applyAlignment="1">
      <alignment horizontal="left" vertical="center" wrapText="1"/>
    </xf>
    <xf numFmtId="0" fontId="49" fillId="4" borderId="26" xfId="0" applyFont="1" applyFill="1" applyBorder="1" applyAlignment="1">
      <alignment horizontal="left" vertical="center" wrapText="1"/>
    </xf>
    <xf numFmtId="0" fontId="64" fillId="0" borderId="28" xfId="0" applyFont="1" applyFill="1" applyBorder="1" applyAlignment="1">
      <alignment vertical="center" wrapText="1"/>
    </xf>
    <xf numFmtId="0" fontId="64" fillId="0" borderId="29" xfId="0" applyFont="1" applyFill="1" applyBorder="1" applyAlignment="1">
      <alignment vertical="center" wrapText="1"/>
    </xf>
    <xf numFmtId="0" fontId="64" fillId="0" borderId="30" xfId="0" applyFont="1" applyFill="1" applyBorder="1" applyAlignment="1">
      <alignment vertical="center" wrapText="1"/>
    </xf>
    <xf numFmtId="0" fontId="27" fillId="15" borderId="10" xfId="0" applyFont="1" applyFill="1" applyBorder="1" applyAlignment="1">
      <alignment horizontal="center" vertical="center"/>
    </xf>
    <xf numFmtId="0" fontId="49" fillId="4" borderId="32" xfId="0" applyFont="1" applyFill="1" applyBorder="1" applyAlignment="1">
      <alignment horizontal="left" vertical="center" wrapText="1"/>
    </xf>
    <xf numFmtId="0" fontId="48" fillId="8" borderId="10" xfId="0" applyFont="1" applyFill="1" applyBorder="1" applyAlignment="1">
      <alignment horizontal="left" vertical="center" wrapText="1"/>
    </xf>
    <xf numFmtId="0" fontId="31" fillId="0" borderId="26" xfId="0" applyFont="1" applyBorder="1"/>
    <xf numFmtId="0" fontId="31" fillId="0" borderId="28" xfId="0" applyFont="1" applyBorder="1"/>
    <xf numFmtId="0" fontId="31" fillId="0" borderId="31" xfId="0" applyFont="1" applyBorder="1"/>
    <xf numFmtId="0" fontId="49" fillId="0" borderId="32" xfId="0" applyFont="1" applyFill="1" applyBorder="1" applyAlignment="1">
      <alignment horizontal="left" vertical="center" wrapText="1"/>
    </xf>
    <xf numFmtId="0" fontId="49" fillId="0" borderId="33" xfId="0" applyFont="1" applyFill="1" applyBorder="1" applyAlignment="1">
      <alignment horizontal="left" vertical="center" wrapText="1"/>
    </xf>
    <xf numFmtId="0" fontId="48" fillId="0" borderId="29" xfId="0" applyFont="1" applyFill="1" applyBorder="1" applyAlignment="1">
      <alignment horizontal="left" vertical="center" wrapText="1"/>
    </xf>
    <xf numFmtId="0" fontId="48" fillId="0" borderId="30" xfId="0" applyFont="1" applyFill="1" applyBorder="1" applyAlignment="1">
      <alignment horizontal="left" vertical="center" wrapText="1"/>
    </xf>
    <xf numFmtId="0" fontId="55" fillId="9" borderId="39" xfId="0" applyFont="1" applyFill="1" applyBorder="1" applyAlignment="1">
      <alignment horizontal="center" vertical="center" wrapText="1"/>
    </xf>
    <xf numFmtId="0" fontId="55" fillId="9" borderId="32" xfId="0" applyFont="1" applyFill="1" applyBorder="1" applyAlignment="1">
      <alignment horizontal="center" vertical="center" wrapText="1"/>
    </xf>
    <xf numFmtId="0" fontId="49" fillId="9" borderId="36" xfId="0" applyFont="1" applyFill="1" applyBorder="1" applyAlignment="1">
      <alignment horizontal="center" vertical="center" wrapText="1"/>
    </xf>
    <xf numFmtId="0" fontId="49" fillId="9" borderId="70" xfId="0" applyFont="1" applyFill="1" applyBorder="1" applyAlignment="1">
      <alignment horizontal="center" vertical="center" wrapText="1"/>
    </xf>
    <xf numFmtId="0" fontId="49" fillId="9" borderId="68" xfId="0" applyFont="1" applyFill="1" applyBorder="1" applyAlignment="1">
      <alignment horizontal="center" vertical="center" wrapText="1"/>
    </xf>
    <xf numFmtId="0" fontId="39" fillId="9" borderId="36" xfId="0" applyFont="1" applyFill="1" applyBorder="1" applyAlignment="1">
      <alignment horizontal="center" vertical="center" wrapText="1"/>
    </xf>
    <xf numFmtId="0" fontId="39" fillId="9" borderId="70" xfId="0" applyFont="1" applyFill="1" applyBorder="1" applyAlignment="1">
      <alignment horizontal="center" vertical="center" wrapText="1"/>
    </xf>
    <xf numFmtId="0" fontId="39" fillId="9" borderId="68" xfId="0" applyFont="1" applyFill="1" applyBorder="1" applyAlignment="1">
      <alignment horizontal="center" vertical="center" wrapText="1"/>
    </xf>
    <xf numFmtId="0" fontId="73" fillId="9" borderId="46" xfId="0" applyFont="1" applyFill="1" applyBorder="1" applyAlignment="1">
      <alignment horizontal="center" vertical="center" wrapText="1"/>
    </xf>
    <xf numFmtId="0" fontId="73" fillId="9" borderId="65" xfId="0" applyFont="1" applyFill="1" applyBorder="1" applyAlignment="1">
      <alignment horizontal="center" vertical="center" wrapText="1"/>
    </xf>
    <xf numFmtId="0" fontId="73" fillId="9" borderId="58" xfId="0" applyFont="1" applyFill="1" applyBorder="1" applyAlignment="1">
      <alignment horizontal="center" vertical="center" wrapText="1"/>
    </xf>
    <xf numFmtId="0" fontId="34" fillId="9" borderId="36" xfId="0" applyFont="1" applyFill="1" applyBorder="1" applyAlignment="1">
      <alignment horizontal="center" vertical="center" wrapText="1"/>
    </xf>
    <xf numFmtId="0" fontId="34" fillId="9" borderId="70" xfId="0" applyFont="1" applyFill="1" applyBorder="1" applyAlignment="1">
      <alignment horizontal="center" vertical="center" wrapText="1"/>
    </xf>
    <xf numFmtId="0" fontId="34" fillId="9" borderId="68" xfId="0" applyFont="1" applyFill="1" applyBorder="1" applyAlignment="1">
      <alignment horizontal="center" vertical="center" wrapText="1"/>
    </xf>
    <xf numFmtId="0" fontId="32" fillId="9" borderId="36" xfId="0" applyFont="1" applyFill="1" applyBorder="1" applyAlignment="1">
      <alignment horizontal="center" vertical="center" wrapText="1"/>
    </xf>
    <xf numFmtId="0" fontId="32" fillId="9" borderId="70" xfId="0" applyFont="1" applyFill="1" applyBorder="1" applyAlignment="1">
      <alignment horizontal="center" vertical="center" wrapText="1"/>
    </xf>
    <xf numFmtId="0" fontId="32" fillId="9" borderId="68" xfId="0" applyFont="1" applyFill="1" applyBorder="1" applyAlignment="1">
      <alignment horizontal="center" vertical="center" wrapText="1"/>
    </xf>
    <xf numFmtId="0" fontId="41" fillId="4" borderId="71" xfId="0" applyFont="1" applyFill="1" applyBorder="1" applyAlignment="1">
      <alignment horizontal="center" vertical="center" wrapText="1"/>
    </xf>
    <xf numFmtId="0" fontId="50" fillId="9" borderId="25" xfId="0" applyFont="1" applyFill="1" applyBorder="1" applyAlignment="1">
      <alignment horizontal="center" vertical="center" wrapText="1"/>
    </xf>
    <xf numFmtId="0" fontId="50" fillId="9" borderId="14" xfId="0" applyFont="1" applyFill="1" applyBorder="1" applyAlignment="1">
      <alignment horizontal="center" vertical="center" wrapText="1"/>
    </xf>
    <xf numFmtId="0" fontId="50" fillId="9" borderId="21" xfId="0" applyFont="1" applyFill="1" applyBorder="1" applyAlignment="1">
      <alignment horizontal="center" vertical="center" wrapText="1"/>
    </xf>
    <xf numFmtId="0" fontId="50" fillId="9" borderId="38" xfId="0" applyFont="1" applyFill="1" applyBorder="1" applyAlignment="1">
      <alignment horizontal="center" vertical="center" wrapText="1"/>
    </xf>
    <xf numFmtId="0" fontId="50" fillId="9" borderId="55" xfId="0" applyFont="1" applyFill="1" applyBorder="1" applyAlignment="1">
      <alignment horizontal="center" vertical="center" wrapText="1"/>
    </xf>
    <xf numFmtId="0" fontId="50" fillId="9" borderId="64" xfId="0" applyFont="1" applyFill="1" applyBorder="1" applyAlignment="1">
      <alignment horizontal="center" vertical="center" wrapText="1"/>
    </xf>
    <xf numFmtId="0" fontId="49" fillId="9" borderId="64" xfId="0" applyFont="1" applyFill="1" applyBorder="1" applyAlignment="1">
      <alignment horizontal="center" vertical="center" wrapText="1"/>
    </xf>
    <xf numFmtId="0" fontId="49" fillId="9" borderId="22" xfId="0" applyFont="1" applyFill="1" applyBorder="1" applyAlignment="1">
      <alignment horizontal="center" vertical="center" wrapText="1"/>
    </xf>
    <xf numFmtId="0" fontId="28" fillId="4" borderId="29" xfId="0" applyFont="1" applyFill="1" applyBorder="1" applyAlignment="1">
      <alignment horizontal="left" vertical="center" wrapText="1"/>
    </xf>
    <xf numFmtId="0" fontId="27" fillId="4" borderId="30" xfId="0" applyFont="1" applyFill="1" applyBorder="1" applyAlignment="1">
      <alignment horizontal="center" vertical="center" wrapText="1"/>
    </xf>
    <xf numFmtId="0" fontId="49" fillId="11" borderId="31" xfId="0" applyFont="1" applyFill="1" applyBorder="1" applyAlignment="1">
      <alignment horizontal="left" vertical="center" wrapText="1"/>
    </xf>
    <xf numFmtId="0" fontId="49" fillId="11" borderId="72" xfId="0" applyFont="1" applyFill="1" applyBorder="1" applyAlignment="1">
      <alignment horizontal="left" vertical="center" wrapText="1"/>
    </xf>
    <xf numFmtId="0" fontId="49" fillId="11" borderId="69" xfId="0" applyFont="1" applyFill="1" applyBorder="1" applyAlignment="1">
      <alignment horizontal="left" vertical="center" wrapText="1"/>
    </xf>
    <xf numFmtId="0" fontId="49" fillId="11" borderId="61" xfId="0" applyFont="1" applyFill="1" applyBorder="1" applyAlignment="1">
      <alignment horizontal="left" vertical="center" wrapText="1"/>
    </xf>
    <xf numFmtId="0" fontId="48" fillId="8" borderId="38" xfId="0" applyFont="1" applyFill="1" applyBorder="1" applyAlignment="1">
      <alignment horizontal="left" vertical="center" wrapText="1"/>
    </xf>
    <xf numFmtId="0" fontId="48" fillId="12" borderId="39" xfId="0" applyFont="1" applyFill="1" applyBorder="1" applyAlignment="1">
      <alignment horizontal="left" vertical="center" wrapText="1"/>
    </xf>
    <xf numFmtId="0" fontId="48" fillId="8" borderId="39" xfId="0" applyFont="1" applyFill="1" applyBorder="1" applyAlignment="1">
      <alignment horizontal="left" vertical="center"/>
    </xf>
    <xf numFmtId="0" fontId="48" fillId="8" borderId="40" xfId="0" applyFont="1" applyFill="1" applyBorder="1" applyAlignment="1">
      <alignment horizontal="left" vertical="center" wrapText="1"/>
    </xf>
    <xf numFmtId="0" fontId="74" fillId="9" borderId="64" xfId="0" applyFont="1" applyFill="1" applyBorder="1" applyAlignment="1">
      <alignment vertical="center" wrapText="1"/>
    </xf>
    <xf numFmtId="0" fontId="50" fillId="9" borderId="42" xfId="0" applyFont="1" applyFill="1" applyBorder="1" applyAlignment="1">
      <alignment horizontal="center" vertical="center" wrapText="1"/>
    </xf>
    <xf numFmtId="0" fontId="50" fillId="9" borderId="61" xfId="0" applyFont="1" applyFill="1" applyBorder="1" applyAlignment="1">
      <alignment horizontal="center" vertical="center" wrapText="1"/>
    </xf>
    <xf numFmtId="0" fontId="50" fillId="9" borderId="46" xfId="0" applyFont="1" applyFill="1" applyBorder="1" applyAlignment="1">
      <alignment horizontal="center" vertical="center"/>
    </xf>
    <xf numFmtId="0" fontId="50" fillId="9" borderId="65" xfId="0" applyFont="1" applyFill="1" applyBorder="1" applyAlignment="1">
      <alignment horizontal="center" vertical="center"/>
    </xf>
    <xf numFmtId="0" fontId="50" fillId="9" borderId="58" xfId="0" applyFont="1" applyFill="1" applyBorder="1" applyAlignment="1">
      <alignment horizontal="center" vertical="center"/>
    </xf>
    <xf numFmtId="0" fontId="50" fillId="11" borderId="25" xfId="0" applyFont="1" applyFill="1" applyBorder="1" applyAlignment="1">
      <alignment horizontal="center" vertical="center" wrapText="1"/>
    </xf>
    <xf numFmtId="0" fontId="50" fillId="11" borderId="14" xfId="0" applyFont="1" applyFill="1" applyBorder="1" applyAlignment="1">
      <alignment horizontal="center" vertical="center" wrapText="1"/>
    </xf>
    <xf numFmtId="0" fontId="50" fillId="11" borderId="21" xfId="0" applyFont="1" applyFill="1" applyBorder="1" applyAlignment="1">
      <alignment horizontal="center" vertical="center" wrapText="1"/>
    </xf>
    <xf numFmtId="0" fontId="74" fillId="11" borderId="64" xfId="0" applyFont="1" applyFill="1" applyBorder="1" applyAlignment="1">
      <alignment vertical="center" wrapText="1"/>
    </xf>
    <xf numFmtId="0" fontId="50" fillId="11" borderId="55" xfId="0" applyFont="1" applyFill="1" applyBorder="1" applyAlignment="1">
      <alignment horizontal="center" vertical="center" wrapText="1"/>
    </xf>
    <xf numFmtId="0" fontId="50" fillId="11" borderId="64" xfId="0" applyFont="1" applyFill="1" applyBorder="1" applyAlignment="1">
      <alignment horizontal="center" vertical="center" wrapText="1"/>
    </xf>
    <xf numFmtId="0" fontId="29" fillId="11" borderId="46" xfId="0" applyFont="1" applyFill="1" applyBorder="1" applyAlignment="1">
      <alignment horizontal="left" vertical="center" wrapText="1"/>
    </xf>
    <xf numFmtId="0" fontId="29" fillId="11" borderId="65" xfId="0" applyFont="1" applyFill="1" applyBorder="1" applyAlignment="1">
      <alignment horizontal="left" vertical="center" wrapText="1"/>
    </xf>
    <xf numFmtId="0" fontId="29" fillId="11" borderId="58" xfId="0" applyFont="1" applyFill="1" applyBorder="1" applyAlignment="1">
      <alignment horizontal="left" vertical="center" wrapText="1"/>
    </xf>
    <xf numFmtId="0" fontId="50" fillId="11" borderId="42" xfId="0" applyFont="1" applyFill="1" applyBorder="1" applyAlignment="1">
      <alignment horizontal="center" vertical="center" wrapText="1"/>
    </xf>
    <xf numFmtId="0" fontId="50" fillId="11" borderId="61" xfId="0" applyFont="1" applyFill="1" applyBorder="1" applyAlignment="1">
      <alignment horizontal="center" vertical="center" wrapText="1"/>
    </xf>
    <xf numFmtId="0" fontId="29" fillId="11" borderId="31" xfId="0" applyFont="1" applyFill="1" applyBorder="1" applyAlignment="1">
      <alignment horizontal="left" vertical="center" wrapText="1"/>
    </xf>
    <xf numFmtId="0" fontId="49" fillId="11" borderId="69" xfId="0" applyFont="1" applyFill="1" applyBorder="1" applyAlignment="1">
      <alignment horizontal="center" vertical="center" wrapText="1"/>
    </xf>
    <xf numFmtId="0" fontId="29" fillId="11" borderId="69" xfId="0" applyFont="1" applyFill="1" applyBorder="1" applyAlignment="1">
      <alignment horizontal="left" vertical="center" wrapText="1"/>
    </xf>
    <xf numFmtId="0" fontId="29" fillId="11" borderId="73" xfId="0" applyFont="1" applyFill="1" applyBorder="1" applyAlignment="1">
      <alignment horizontal="center" vertical="center" wrapText="1"/>
    </xf>
    <xf numFmtId="0" fontId="50" fillId="11" borderId="38" xfId="0" applyFont="1" applyFill="1" applyBorder="1" applyAlignment="1">
      <alignment horizontal="center" vertical="center" wrapText="1"/>
    </xf>
    <xf numFmtId="0" fontId="50" fillId="11" borderId="46" xfId="0" applyFont="1" applyFill="1" applyBorder="1" applyAlignment="1">
      <alignment horizontal="center" vertical="center" wrapText="1"/>
    </xf>
    <xf numFmtId="0" fontId="50" fillId="11" borderId="65" xfId="0" applyFont="1" applyFill="1" applyBorder="1" applyAlignment="1">
      <alignment horizontal="center" vertical="center" wrapText="1"/>
    </xf>
    <xf numFmtId="0" fontId="50" fillId="11" borderId="58" xfId="0" applyFont="1" applyFill="1" applyBorder="1" applyAlignment="1">
      <alignment horizontal="center" vertical="center" wrapText="1"/>
    </xf>
    <xf numFmtId="0" fontId="49" fillId="11" borderId="64" xfId="0" applyFont="1" applyFill="1" applyBorder="1" applyAlignment="1">
      <alignment horizontal="center" vertical="center" wrapText="1"/>
    </xf>
    <xf numFmtId="0" fontId="50" fillId="11" borderId="46" xfId="0" applyFont="1" applyFill="1" applyBorder="1" applyAlignment="1">
      <alignment horizontal="center" vertical="center"/>
    </xf>
    <xf numFmtId="0" fontId="50" fillId="11" borderId="65" xfId="0" applyFont="1" applyFill="1" applyBorder="1" applyAlignment="1">
      <alignment horizontal="center" vertical="center"/>
    </xf>
    <xf numFmtId="0" fontId="50" fillId="11" borderId="58" xfId="0" applyFont="1" applyFill="1" applyBorder="1" applyAlignment="1">
      <alignment horizontal="center" vertical="center"/>
    </xf>
    <xf numFmtId="0" fontId="50" fillId="11" borderId="20" xfId="0" applyFont="1" applyFill="1" applyBorder="1" applyAlignment="1">
      <alignment horizontal="center" vertical="center" wrapText="1"/>
    </xf>
    <xf numFmtId="0" fontId="50" fillId="9" borderId="48" xfId="0" applyFont="1" applyFill="1" applyBorder="1" applyAlignment="1">
      <alignment horizontal="center" vertical="center" wrapText="1"/>
    </xf>
    <xf numFmtId="0" fontId="50" fillId="11" borderId="29" xfId="0" applyFont="1" applyFill="1" applyBorder="1" applyAlignment="1">
      <alignment horizontal="center" vertical="center" wrapText="1"/>
    </xf>
    <xf numFmtId="0" fontId="50" fillId="11" borderId="28" xfId="0" applyFont="1" applyFill="1" applyBorder="1" applyAlignment="1">
      <alignment horizontal="center" vertical="center" wrapText="1"/>
    </xf>
    <xf numFmtId="0" fontId="50" fillId="11" borderId="30" xfId="0" applyFont="1" applyFill="1" applyBorder="1" applyAlignment="1">
      <alignment horizontal="center" vertical="center" wrapText="1"/>
    </xf>
    <xf numFmtId="0" fontId="50" fillId="11" borderId="48" xfId="0" applyFont="1" applyFill="1" applyBorder="1" applyAlignment="1">
      <alignment horizontal="center" vertical="center" wrapText="1"/>
    </xf>
    <xf numFmtId="0" fontId="50" fillId="9" borderId="15" xfId="0" applyFont="1" applyFill="1" applyBorder="1" applyAlignment="1">
      <alignment horizontal="center" vertical="center" wrapText="1"/>
    </xf>
    <xf numFmtId="0" fontId="50" fillId="9" borderId="22" xfId="0" applyFont="1" applyFill="1" applyBorder="1" applyAlignment="1">
      <alignment horizontal="center" vertical="center" wrapText="1"/>
    </xf>
    <xf numFmtId="0" fontId="28" fillId="16" borderId="10" xfId="0" applyFont="1" applyFill="1" applyBorder="1"/>
    <xf numFmtId="0" fontId="29" fillId="9" borderId="48" xfId="0" applyFont="1" applyFill="1" applyBorder="1" applyAlignment="1">
      <alignment horizontal="left" vertical="center" wrapText="1"/>
    </xf>
    <xf numFmtId="0" fontId="29" fillId="9" borderId="42" xfId="0" applyFont="1" applyFill="1" applyBorder="1" applyAlignment="1">
      <alignment horizontal="left" vertical="center" wrapText="1"/>
    </xf>
    <xf numFmtId="0" fontId="29" fillId="9" borderId="61" xfId="0" applyFont="1" applyFill="1" applyBorder="1" applyAlignment="1">
      <alignment horizontal="left" vertical="center" wrapText="1"/>
    </xf>
    <xf numFmtId="0" fontId="50" fillId="9" borderId="13" xfId="0" applyFont="1" applyFill="1" applyBorder="1" applyAlignment="1">
      <alignment horizontal="center" vertical="center" wrapText="1"/>
    </xf>
    <xf numFmtId="0" fontId="29" fillId="9" borderId="28" xfId="0" applyFont="1" applyFill="1" applyBorder="1" applyAlignment="1">
      <alignment horizontal="left" vertical="center" wrapText="1"/>
    </xf>
    <xf numFmtId="0" fontId="29" fillId="9" borderId="29" xfId="0" applyFont="1" applyFill="1" applyBorder="1" applyAlignment="1">
      <alignment horizontal="left" vertical="center" wrapText="1"/>
    </xf>
    <xf numFmtId="0" fontId="29" fillId="9" borderId="30" xfId="0" applyFont="1" applyFill="1" applyBorder="1" applyAlignment="1">
      <alignment horizontal="center" vertical="center" wrapText="1"/>
    </xf>
    <xf numFmtId="0" fontId="49" fillId="4" borderId="23" xfId="0" applyFont="1" applyFill="1" applyBorder="1" applyAlignment="1">
      <alignment horizontal="center" vertical="center" wrapText="1"/>
    </xf>
    <xf numFmtId="0" fontId="49" fillId="4" borderId="20" xfId="0" applyFont="1" applyFill="1" applyBorder="1" applyAlignment="1">
      <alignment horizontal="center" vertical="center" wrapText="1"/>
    </xf>
    <xf numFmtId="0" fontId="49" fillId="4" borderId="21" xfId="0" applyFont="1" applyFill="1" applyBorder="1" applyAlignment="1">
      <alignment horizontal="center" vertical="center" wrapText="1"/>
    </xf>
    <xf numFmtId="0" fontId="27" fillId="0" borderId="45" xfId="0" applyNumberFormat="1" applyFont="1" applyBorder="1" applyAlignment="1">
      <alignment horizontal="center" vertical="center" wrapText="1"/>
    </xf>
    <xf numFmtId="0" fontId="27" fillId="0" borderId="48" xfId="0" applyNumberFormat="1" applyFont="1" applyBorder="1" applyAlignment="1">
      <alignment horizontal="center" vertical="center" wrapText="1"/>
    </xf>
    <xf numFmtId="0" fontId="27" fillId="0" borderId="46" xfId="0" applyNumberFormat="1" applyFont="1" applyBorder="1" applyAlignment="1">
      <alignment horizontal="center" vertical="center" wrapText="1"/>
    </xf>
    <xf numFmtId="0" fontId="49" fillId="4" borderId="34" xfId="0" applyFont="1" applyFill="1" applyBorder="1" applyAlignment="1">
      <alignment horizontal="center" vertical="center" wrapText="1"/>
    </xf>
    <xf numFmtId="0" fontId="49" fillId="4" borderId="47" xfId="0" applyFont="1" applyFill="1" applyBorder="1" applyAlignment="1">
      <alignment horizontal="center" vertical="center" wrapText="1"/>
    </xf>
    <xf numFmtId="0" fontId="49" fillId="4" borderId="44" xfId="0" applyFont="1" applyFill="1" applyBorder="1" applyAlignment="1">
      <alignment horizontal="center" vertical="center" wrapText="1"/>
    </xf>
    <xf numFmtId="49" fontId="27" fillId="4" borderId="34" xfId="0" applyNumberFormat="1" applyFont="1" applyFill="1" applyBorder="1" applyAlignment="1">
      <alignment horizontal="center" vertical="center" wrapText="1"/>
    </xf>
    <xf numFmtId="49" fontId="27" fillId="4" borderId="47" xfId="0" applyNumberFormat="1" applyFont="1" applyFill="1" applyBorder="1" applyAlignment="1">
      <alignment horizontal="center" vertical="center" wrapText="1"/>
    </xf>
    <xf numFmtId="49" fontId="27" fillId="4" borderId="44" xfId="0" applyNumberFormat="1" applyFont="1" applyFill="1" applyBorder="1" applyAlignment="1">
      <alignment horizontal="center" vertical="center" wrapText="1"/>
    </xf>
    <xf numFmtId="164" fontId="27" fillId="4" borderId="51" xfId="3" applyNumberFormat="1" applyFont="1" applyFill="1" applyBorder="1" applyAlignment="1">
      <alignment horizontal="center" vertical="center" wrapText="1"/>
    </xf>
    <xf numFmtId="164" fontId="27" fillId="4" borderId="52" xfId="3" applyNumberFormat="1" applyFont="1" applyFill="1" applyBorder="1" applyAlignment="1">
      <alignment horizontal="center" vertical="center" wrapText="1"/>
    </xf>
    <xf numFmtId="164" fontId="27" fillId="4" borderId="53" xfId="3" applyNumberFormat="1" applyFont="1" applyFill="1" applyBorder="1" applyAlignment="1">
      <alignment horizontal="center" vertical="center" wrapText="1"/>
    </xf>
    <xf numFmtId="0" fontId="29" fillId="0" borderId="45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49" fontId="29" fillId="4" borderId="34" xfId="0" applyNumberFormat="1" applyFont="1" applyFill="1" applyBorder="1" applyAlignment="1">
      <alignment horizontal="center" vertical="center" wrapText="1"/>
    </xf>
    <xf numFmtId="49" fontId="29" fillId="4" borderId="47" xfId="0" applyNumberFormat="1" applyFont="1" applyFill="1" applyBorder="1" applyAlignment="1">
      <alignment horizontal="center" vertical="center" wrapText="1"/>
    </xf>
    <xf numFmtId="49" fontId="29" fillId="4" borderId="44" xfId="0" applyNumberFormat="1" applyFont="1" applyFill="1" applyBorder="1" applyAlignment="1">
      <alignment horizontal="center" vertical="center" wrapText="1"/>
    </xf>
    <xf numFmtId="49" fontId="29" fillId="4" borderId="51" xfId="0" applyNumberFormat="1" applyFont="1" applyFill="1" applyBorder="1" applyAlignment="1">
      <alignment horizontal="center" vertical="center" wrapText="1"/>
    </xf>
    <xf numFmtId="49" fontId="29" fillId="4" borderId="52" xfId="0" applyNumberFormat="1" applyFont="1" applyFill="1" applyBorder="1" applyAlignment="1">
      <alignment horizontal="center" vertical="center" wrapText="1"/>
    </xf>
    <xf numFmtId="49" fontId="29" fillId="4" borderId="53" xfId="0" applyNumberFormat="1" applyFont="1" applyFill="1" applyBorder="1" applyAlignment="1">
      <alignment horizontal="center" vertical="center" wrapText="1"/>
    </xf>
    <xf numFmtId="0" fontId="27" fillId="0" borderId="25" xfId="0" applyNumberFormat="1" applyFont="1" applyBorder="1" applyAlignment="1">
      <alignment horizontal="center" vertical="center" wrapText="1"/>
    </xf>
    <xf numFmtId="0" fontId="27" fillId="0" borderId="26" xfId="0" applyNumberFormat="1" applyFont="1" applyBorder="1" applyAlignment="1">
      <alignment horizontal="center" vertical="center" wrapText="1"/>
    </xf>
    <xf numFmtId="49" fontId="30" fillId="4" borderId="34" xfId="0" applyNumberFormat="1" applyFont="1" applyFill="1" applyBorder="1" applyAlignment="1">
      <alignment horizontal="center" vertical="center" wrapText="1"/>
    </xf>
    <xf numFmtId="49" fontId="30" fillId="4" borderId="44" xfId="0" applyNumberFormat="1" applyFont="1" applyFill="1" applyBorder="1" applyAlignment="1">
      <alignment horizontal="center" vertical="center" wrapText="1"/>
    </xf>
    <xf numFmtId="49" fontId="30" fillId="4" borderId="35" xfId="0" applyNumberFormat="1" applyFont="1" applyFill="1" applyBorder="1" applyAlignment="1">
      <alignment horizontal="center" vertical="center" wrapText="1"/>
    </xf>
    <xf numFmtId="49" fontId="30" fillId="4" borderId="54" xfId="0" applyNumberFormat="1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26" fillId="0" borderId="25" xfId="0" applyNumberFormat="1" applyFont="1" applyBorder="1" applyAlignment="1">
      <alignment horizontal="center" vertical="center" wrapText="1"/>
    </xf>
    <xf numFmtId="0" fontId="26" fillId="0" borderId="26" xfId="0" applyNumberFormat="1" applyFont="1" applyBorder="1" applyAlignment="1">
      <alignment horizontal="center" vertical="center" wrapText="1"/>
    </xf>
    <xf numFmtId="0" fontId="35" fillId="4" borderId="0" xfId="0" applyFont="1" applyFill="1" applyAlignment="1">
      <alignment horizontal="center" vertical="center"/>
    </xf>
    <xf numFmtId="0" fontId="27" fillId="0" borderId="28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left" vertical="center" wrapText="1"/>
    </xf>
    <xf numFmtId="0" fontId="49" fillId="4" borderId="25" xfId="0" applyFont="1" applyFill="1" applyBorder="1" applyAlignment="1">
      <alignment horizontal="center" vertical="center" wrapText="1"/>
    </xf>
    <xf numFmtId="0" fontId="49" fillId="4" borderId="12" xfId="0" applyFont="1" applyFill="1" applyBorder="1" applyAlignment="1">
      <alignment horizontal="center" vertical="center" wrapText="1"/>
    </xf>
    <xf numFmtId="0" fontId="49" fillId="4" borderId="13" xfId="0" applyFont="1" applyFill="1" applyBorder="1" applyAlignment="1">
      <alignment horizontal="center" vertical="center" wrapText="1"/>
    </xf>
    <xf numFmtId="164" fontId="30" fillId="4" borderId="51" xfId="3" applyNumberFormat="1" applyFont="1" applyFill="1" applyBorder="1" applyAlignment="1">
      <alignment horizontal="center" vertical="center" wrapText="1"/>
    </xf>
    <xf numFmtId="164" fontId="30" fillId="4" borderId="53" xfId="3" applyNumberFormat="1" applyFont="1" applyFill="1" applyBorder="1" applyAlignment="1">
      <alignment horizontal="center" vertical="center" wrapText="1"/>
    </xf>
    <xf numFmtId="0" fontId="49" fillId="4" borderId="37" xfId="0" applyFont="1" applyFill="1" applyBorder="1" applyAlignment="1">
      <alignment horizontal="center" vertical="center" wrapText="1"/>
    </xf>
    <xf numFmtId="0" fontId="49" fillId="4" borderId="24" xfId="0" applyFont="1" applyFill="1" applyBorder="1" applyAlignment="1">
      <alignment horizontal="center" vertical="center" wrapText="1"/>
    </xf>
    <xf numFmtId="0" fontId="49" fillId="4" borderId="64" xfId="0" applyFont="1" applyFill="1" applyBorder="1" applyAlignment="1">
      <alignment horizontal="center" vertical="center" wrapText="1"/>
    </xf>
    <xf numFmtId="49" fontId="30" fillId="4" borderId="51" xfId="0" applyNumberFormat="1" applyFont="1" applyFill="1" applyBorder="1" applyAlignment="1">
      <alignment horizontal="center" vertical="center" wrapText="1"/>
    </xf>
    <xf numFmtId="49" fontId="30" fillId="4" borderId="53" xfId="0" applyNumberFormat="1" applyFont="1" applyFill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26" fillId="4" borderId="66" xfId="0" applyFont="1" applyFill="1" applyBorder="1" applyAlignment="1">
      <alignment horizontal="center" vertical="center" wrapText="1"/>
    </xf>
    <xf numFmtId="0" fontId="26" fillId="4" borderId="67" xfId="0" applyFont="1" applyFill="1" applyBorder="1" applyAlignment="1">
      <alignment horizontal="center" vertical="center" wrapText="1"/>
    </xf>
    <xf numFmtId="0" fontId="26" fillId="4" borderId="68" xfId="0" applyFont="1" applyFill="1" applyBorder="1" applyAlignment="1">
      <alignment horizontal="center" vertical="center" wrapText="1"/>
    </xf>
    <xf numFmtId="0" fontId="49" fillId="4" borderId="17" xfId="0" applyFont="1" applyFill="1" applyBorder="1" applyAlignment="1">
      <alignment horizontal="center" vertical="center" wrapText="1"/>
    </xf>
    <xf numFmtId="0" fontId="49" fillId="4" borderId="16" xfId="0" applyFont="1" applyFill="1" applyBorder="1" applyAlignment="1">
      <alignment horizontal="center" vertical="center" wrapText="1"/>
    </xf>
    <xf numFmtId="0" fontId="49" fillId="4" borderId="18" xfId="0" applyFont="1" applyFill="1" applyBorder="1" applyAlignment="1">
      <alignment horizontal="center" vertical="center" wrapText="1"/>
    </xf>
    <xf numFmtId="0" fontId="49" fillId="4" borderId="23" xfId="0" applyFont="1" applyFill="1" applyBorder="1" applyAlignment="1">
      <alignment horizontal="center" vertical="center"/>
    </xf>
    <xf numFmtId="0" fontId="49" fillId="4" borderId="20" xfId="0" applyFont="1" applyFill="1" applyBorder="1" applyAlignment="1">
      <alignment horizontal="center" vertical="center"/>
    </xf>
    <xf numFmtId="0" fontId="49" fillId="4" borderId="21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left"/>
    </xf>
    <xf numFmtId="0" fontId="4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0" fontId="46" fillId="4" borderId="50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8" fillId="0" borderId="3" xfId="0" applyFont="1" applyFill="1" applyBorder="1" applyAlignment="1">
      <alignment horizontal="center" vertical="center" textRotation="90" wrapText="1"/>
    </xf>
    <xf numFmtId="0" fontId="8" fillId="0" borderId="7" xfId="0" applyFont="1" applyFill="1" applyBorder="1" applyAlignment="1">
      <alignment horizontal="center" vertical="center" textRotation="90" wrapText="1"/>
    </xf>
    <xf numFmtId="0" fontId="47" fillId="4" borderId="5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textRotation="90" wrapText="1"/>
    </xf>
    <xf numFmtId="0" fontId="8" fillId="0" borderId="1" xfId="0" applyFont="1" applyFill="1" applyBorder="1" applyAlignment="1">
      <alignment horizontal="center" vertical="center" textRotation="90" wrapText="1"/>
    </xf>
    <xf numFmtId="0" fontId="8" fillId="0" borderId="9" xfId="0" applyFont="1" applyFill="1" applyBorder="1" applyAlignment="1">
      <alignment horizontal="center" vertical="center" textRotation="90" wrapText="1"/>
    </xf>
    <xf numFmtId="0" fontId="61" fillId="0" borderId="0" xfId="0" applyFont="1" applyAlignment="1">
      <alignment horizontal="center" vertical="center" wrapText="1"/>
    </xf>
    <xf numFmtId="0" fontId="33" fillId="0" borderId="5" xfId="0" applyFont="1" applyFill="1" applyBorder="1" applyAlignment="1">
      <alignment horizontal="center" vertical="center" textRotation="90"/>
    </xf>
    <xf numFmtId="0" fontId="33" fillId="0" borderId="7" xfId="0" applyFont="1" applyFill="1" applyBorder="1" applyAlignment="1">
      <alignment horizontal="center" vertical="center" textRotation="90"/>
    </xf>
    <xf numFmtId="0" fontId="5" fillId="0" borderId="23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textRotation="90" wrapText="1"/>
    </xf>
    <xf numFmtId="0" fontId="47" fillId="4" borderId="0" xfId="0" applyFont="1" applyFill="1" applyAlignment="1">
      <alignment horizontal="center" vertical="center"/>
    </xf>
    <xf numFmtId="0" fontId="27" fillId="0" borderId="5" xfId="0" applyFont="1" applyFill="1" applyBorder="1" applyAlignment="1">
      <alignment horizontal="center" vertical="center" wrapText="1"/>
    </xf>
    <xf numFmtId="0" fontId="27" fillId="0" borderId="7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6" fillId="0" borderId="25" xfId="0" applyFont="1" applyFill="1" applyBorder="1" applyAlignment="1">
      <alignment horizontal="center" vertical="center" wrapText="1"/>
    </xf>
    <xf numFmtId="0" fontId="36" fillId="0" borderId="12" xfId="0" applyFont="1" applyFill="1" applyBorder="1" applyAlignment="1">
      <alignment horizontal="center" vertical="center" wrapText="1"/>
    </xf>
    <xf numFmtId="0" fontId="36" fillId="0" borderId="13" xfId="0" applyFont="1" applyFill="1" applyBorder="1" applyAlignment="1">
      <alignment horizontal="center" vertical="center" wrapText="1"/>
    </xf>
    <xf numFmtId="0" fontId="27" fillId="0" borderId="23" xfId="0" applyFont="1" applyFill="1" applyBorder="1" applyAlignment="1">
      <alignment horizontal="center" vertical="center" wrapText="1"/>
    </xf>
    <xf numFmtId="0" fontId="27" fillId="0" borderId="20" xfId="0" applyFont="1" applyFill="1" applyBorder="1" applyAlignment="1">
      <alignment horizontal="center" vertical="center" wrapText="1"/>
    </xf>
    <xf numFmtId="0" fontId="27" fillId="0" borderId="21" xfId="0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27" fillId="0" borderId="19" xfId="0" applyFont="1" applyFill="1" applyBorder="1" applyAlignment="1">
      <alignment horizontal="center" vertical="center" wrapText="1"/>
    </xf>
    <xf numFmtId="0" fontId="27" fillId="0" borderId="22" xfId="0" applyFont="1" applyFill="1" applyBorder="1" applyAlignment="1">
      <alignment horizontal="center" vertical="center" wrapText="1"/>
    </xf>
    <xf numFmtId="0" fontId="35" fillId="4" borderId="50" xfId="0" applyFont="1" applyFill="1" applyBorder="1" applyAlignment="1">
      <alignment horizontal="center" vertical="center"/>
    </xf>
    <xf numFmtId="0" fontId="36" fillId="0" borderId="26" xfId="0" applyFont="1" applyFill="1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27" xfId="0" applyFont="1" applyFill="1" applyBorder="1" applyAlignment="1">
      <alignment horizontal="center" vertical="center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textRotation="90" wrapText="1"/>
    </xf>
    <xf numFmtId="14" fontId="26" fillId="0" borderId="9" xfId="0" applyNumberFormat="1" applyFont="1" applyFill="1" applyBorder="1" applyAlignment="1">
      <alignment horizontal="center" vertical="center" textRotation="90" wrapText="1"/>
    </xf>
    <xf numFmtId="0" fontId="26" fillId="0" borderId="7" xfId="0" applyFont="1" applyFill="1" applyBorder="1" applyAlignment="1">
      <alignment horizontal="center" vertical="center" textRotation="90" wrapText="1"/>
    </xf>
    <xf numFmtId="14" fontId="10" fillId="0" borderId="3" xfId="0" applyNumberFormat="1" applyFont="1" applyFill="1" applyBorder="1" applyAlignment="1">
      <alignment horizontal="center" vertical="center" textRotation="90" wrapText="1"/>
    </xf>
    <xf numFmtId="0" fontId="10" fillId="0" borderId="3" xfId="0" applyFont="1" applyFill="1" applyBorder="1" applyAlignment="1">
      <alignment horizontal="center" vertical="center" textRotation="90" wrapText="1"/>
    </xf>
    <xf numFmtId="0" fontId="10" fillId="0" borderId="7" xfId="0" applyFont="1" applyFill="1" applyBorder="1" applyAlignment="1">
      <alignment horizontal="center" vertical="center" textRotation="90" wrapText="1"/>
    </xf>
    <xf numFmtId="14" fontId="26" fillId="0" borderId="3" xfId="0" applyNumberFormat="1" applyFont="1" applyFill="1" applyBorder="1" applyAlignment="1">
      <alignment horizontal="center" vertical="center" textRotation="90" wrapText="1"/>
    </xf>
    <xf numFmtId="0" fontId="31" fillId="0" borderId="3" xfId="0" applyFont="1" applyFill="1" applyBorder="1"/>
    <xf numFmtId="0" fontId="32" fillId="0" borderId="5" xfId="0" applyFont="1" applyFill="1" applyBorder="1" applyAlignment="1">
      <alignment horizontal="center" vertical="center" textRotation="90"/>
    </xf>
    <xf numFmtId="0" fontId="32" fillId="0" borderId="7" xfId="0" applyFont="1" applyFill="1" applyBorder="1" applyAlignment="1">
      <alignment horizontal="center" vertical="center" textRotation="90"/>
    </xf>
    <xf numFmtId="0" fontId="10" fillId="0" borderId="9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7" xfId="0" applyFont="1" applyFill="1" applyBorder="1" applyAlignment="1">
      <alignment horizontal="center" vertical="center" textRotation="90" wrapText="1"/>
    </xf>
    <xf numFmtId="0" fontId="47" fillId="0" borderId="5" xfId="0" applyFont="1" applyFill="1" applyBorder="1" applyAlignment="1">
      <alignment horizontal="center" vertical="center" textRotation="90"/>
    </xf>
    <xf numFmtId="0" fontId="47" fillId="0" borderId="7" xfId="0" applyFont="1" applyFill="1" applyBorder="1" applyAlignment="1">
      <alignment horizontal="center" vertical="center" textRotation="90"/>
    </xf>
    <xf numFmtId="0" fontId="5" fillId="0" borderId="5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textRotation="90"/>
    </xf>
    <xf numFmtId="0" fontId="25" fillId="0" borderId="7" xfId="0" applyFont="1" applyFill="1" applyBorder="1" applyAlignment="1">
      <alignment horizontal="center" vertical="center" textRotation="90"/>
    </xf>
    <xf numFmtId="0" fontId="10" fillId="4" borderId="9" xfId="0" applyFont="1" applyFill="1" applyBorder="1" applyAlignment="1">
      <alignment horizontal="center" vertical="center" textRotation="90" wrapText="1"/>
    </xf>
    <xf numFmtId="14" fontId="60" fillId="4" borderId="2" xfId="0" applyNumberFormat="1" applyFont="1" applyFill="1" applyBorder="1" applyAlignment="1">
      <alignment horizontal="center" vertical="center" textRotation="90" wrapText="1"/>
    </xf>
    <xf numFmtId="14" fontId="60" fillId="4" borderId="1" xfId="0" applyNumberFormat="1" applyFont="1" applyFill="1" applyBorder="1" applyAlignment="1">
      <alignment horizontal="center" vertical="center" textRotation="90" wrapText="1"/>
    </xf>
    <xf numFmtId="14" fontId="60" fillId="4" borderId="9" xfId="0" applyNumberFormat="1" applyFont="1" applyFill="1" applyBorder="1" applyAlignment="1">
      <alignment horizontal="center" vertical="center" textRotation="90" wrapText="1"/>
    </xf>
    <xf numFmtId="14" fontId="26" fillId="4" borderId="3" xfId="0" applyNumberFormat="1" applyFont="1" applyFill="1" applyBorder="1" applyAlignment="1">
      <alignment horizontal="center" vertical="center" textRotation="90" wrapText="1"/>
    </xf>
    <xf numFmtId="0" fontId="26" fillId="4" borderId="3" xfId="0" applyFont="1" applyFill="1" applyBorder="1" applyAlignment="1">
      <alignment horizontal="center" vertical="center" textRotation="90" wrapText="1"/>
    </xf>
    <xf numFmtId="0" fontId="26" fillId="4" borderId="7" xfId="0" applyFont="1" applyFill="1" applyBorder="1" applyAlignment="1">
      <alignment horizontal="center" vertical="center" textRotation="90" wrapText="1"/>
    </xf>
    <xf numFmtId="0" fontId="49" fillId="9" borderId="4" xfId="0" applyFont="1" applyFill="1" applyBorder="1" applyAlignment="1">
      <alignment horizontal="center" vertical="center" wrapText="1"/>
    </xf>
    <xf numFmtId="0" fontId="49" fillId="9" borderId="19" xfId="0" applyFont="1" applyFill="1" applyBorder="1" applyAlignment="1">
      <alignment horizontal="center" vertical="center" wrapText="1"/>
    </xf>
    <xf numFmtId="0" fontId="49" fillId="9" borderId="22" xfId="0" applyFont="1" applyFill="1" applyBorder="1" applyAlignment="1">
      <alignment horizontal="center" vertical="center" wrapText="1"/>
    </xf>
    <xf numFmtId="14" fontId="26" fillId="4" borderId="11" xfId="0" applyNumberFormat="1" applyFont="1" applyFill="1" applyBorder="1" applyAlignment="1">
      <alignment horizontal="center" vertical="center" textRotation="90" wrapText="1"/>
    </xf>
    <xf numFmtId="14" fontId="26" fillId="4" borderId="1" xfId="0" applyNumberFormat="1" applyFont="1" applyFill="1" applyBorder="1" applyAlignment="1">
      <alignment horizontal="center" vertical="center" textRotation="90" wrapText="1"/>
    </xf>
    <xf numFmtId="14" fontId="26" fillId="4" borderId="9" xfId="0" applyNumberFormat="1" applyFont="1" applyFill="1" applyBorder="1" applyAlignment="1">
      <alignment horizontal="center" vertical="center" textRotation="90" wrapText="1"/>
    </xf>
    <xf numFmtId="0" fontId="24" fillId="4" borderId="3" xfId="0" applyFont="1" applyFill="1" applyBorder="1"/>
    <xf numFmtId="0" fontId="24" fillId="0" borderId="3" xfId="0" applyFont="1" applyFill="1" applyBorder="1"/>
    <xf numFmtId="0" fontId="54" fillId="0" borderId="0" xfId="0" applyFont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textRotation="90"/>
    </xf>
    <xf numFmtId="0" fontId="25" fillId="0" borderId="6" xfId="0" applyFont="1" applyFill="1" applyBorder="1" applyAlignment="1">
      <alignment horizontal="center" vertical="center" textRotation="90"/>
    </xf>
    <xf numFmtId="14" fontId="10" fillId="0" borderId="9" xfId="0" applyNumberFormat="1" applyFont="1" applyFill="1" applyBorder="1" applyAlignment="1">
      <alignment horizontal="center" vertical="center" textRotation="90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textRotation="90" wrapText="1"/>
    </xf>
    <xf numFmtId="14" fontId="10" fillId="0" borderId="5" xfId="0" applyNumberFormat="1" applyFont="1" applyFill="1" applyBorder="1" applyAlignment="1">
      <alignment horizontal="center" vertical="center" textRotation="90" wrapText="1"/>
    </xf>
    <xf numFmtId="0" fontId="10" fillId="4" borderId="11" xfId="0" applyFont="1" applyFill="1" applyBorder="1" applyAlignment="1">
      <alignment horizontal="center" vertical="center" textRotation="90" wrapText="1"/>
    </xf>
    <xf numFmtId="14" fontId="10" fillId="4" borderId="3" xfId="0" applyNumberFormat="1" applyFont="1" applyFill="1" applyBorder="1" applyAlignment="1">
      <alignment horizontal="center" vertical="center" textRotation="90" wrapText="1"/>
    </xf>
    <xf numFmtId="14" fontId="10" fillId="4" borderId="4" xfId="0" applyNumberFormat="1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14" fontId="10" fillId="4" borderId="9" xfId="0" applyNumberFormat="1" applyFont="1" applyFill="1" applyBorder="1" applyAlignment="1">
      <alignment horizontal="center" vertical="center" textRotation="90" wrapText="1"/>
    </xf>
    <xf numFmtId="0" fontId="10" fillId="0" borderId="2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/>
    <xf numFmtId="0" fontId="24" fillId="0" borderId="6" xfId="0" applyFont="1" applyFill="1" applyBorder="1"/>
    <xf numFmtId="0" fontId="10" fillId="4" borderId="6" xfId="0" applyFont="1" applyFill="1" applyBorder="1" applyAlignment="1">
      <alignment horizontal="center" vertical="center" textRotation="90" wrapText="1"/>
    </xf>
    <xf numFmtId="0" fontId="10" fillId="0" borderId="1" xfId="0" applyFont="1" applyFill="1" applyBorder="1" applyAlignment="1">
      <alignment horizontal="center" vertical="center" textRotation="90" wrapText="1"/>
    </xf>
    <xf numFmtId="14" fontId="8" fillId="0" borderId="3" xfId="0" applyNumberFormat="1" applyFont="1" applyFill="1" applyBorder="1" applyAlignment="1">
      <alignment horizontal="center" vertical="center" textRotation="90" wrapText="1"/>
    </xf>
    <xf numFmtId="0" fontId="10" fillId="0" borderId="6" xfId="0" applyFont="1" applyFill="1" applyBorder="1" applyAlignment="1">
      <alignment horizontal="center" vertical="center" textRotation="90" wrapText="1"/>
    </xf>
    <xf numFmtId="0" fontId="9" fillId="0" borderId="3" xfId="0" applyFont="1" applyFill="1" applyBorder="1" applyAlignment="1">
      <alignment horizontal="center" vertical="center" textRotation="90" wrapText="1"/>
    </xf>
    <xf numFmtId="0" fontId="9" fillId="0" borderId="7" xfId="0" applyFont="1" applyFill="1" applyBorder="1" applyAlignment="1">
      <alignment horizontal="center" vertical="center" textRotation="90" wrapText="1"/>
    </xf>
    <xf numFmtId="14" fontId="9" fillId="0" borderId="3" xfId="0" applyNumberFormat="1" applyFont="1" applyFill="1" applyBorder="1" applyAlignment="1">
      <alignment horizontal="center" vertical="center" textRotation="90" wrapText="1"/>
    </xf>
    <xf numFmtId="0" fontId="24" fillId="4" borderId="1" xfId="0" applyFont="1" applyFill="1" applyBorder="1"/>
    <xf numFmtId="0" fontId="24" fillId="4" borderId="6" xfId="0" applyFont="1" applyFill="1" applyBorder="1"/>
    <xf numFmtId="0" fontId="10" fillId="0" borderId="11" xfId="0" applyFont="1" applyFill="1" applyBorder="1" applyAlignment="1">
      <alignment horizontal="center" vertical="center" textRotation="90" wrapText="1"/>
    </xf>
    <xf numFmtId="14" fontId="10" fillId="4" borderId="5" xfId="0" applyNumberFormat="1" applyFont="1" applyFill="1" applyBorder="1" applyAlignment="1">
      <alignment horizontal="center" vertical="center" textRotation="90" wrapText="1"/>
    </xf>
    <xf numFmtId="14" fontId="25" fillId="0" borderId="3" xfId="0" applyNumberFormat="1" applyFont="1" applyFill="1" applyBorder="1" applyAlignment="1">
      <alignment horizontal="center" vertical="center" textRotation="90" wrapText="1"/>
    </xf>
    <xf numFmtId="0" fontId="25" fillId="0" borderId="3" xfId="0" applyFont="1" applyFill="1" applyBorder="1" applyAlignment="1">
      <alignment horizontal="center" vertical="center" textRotation="90" wrapText="1"/>
    </xf>
    <xf numFmtId="0" fontId="25" fillId="0" borderId="2" xfId="0" applyFont="1" applyFill="1" applyBorder="1" applyAlignment="1">
      <alignment horizontal="center" vertical="center" textRotation="90" wrapText="1"/>
    </xf>
    <xf numFmtId="0" fontId="25" fillId="0" borderId="1" xfId="0" applyFont="1" applyFill="1" applyBorder="1" applyAlignment="1">
      <alignment horizontal="center" vertical="center" textRotation="90" wrapText="1"/>
    </xf>
    <xf numFmtId="0" fontId="25" fillId="0" borderId="6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textRotation="90" wrapText="1"/>
    </xf>
    <xf numFmtId="0" fontId="31" fillId="0" borderId="1" xfId="0" applyFont="1" applyFill="1" applyBorder="1" applyAlignment="1">
      <alignment horizontal="center" vertical="center"/>
    </xf>
    <xf numFmtId="0" fontId="31" fillId="0" borderId="6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6" xfId="0" applyFont="1" applyFill="1" applyBorder="1" applyAlignment="1">
      <alignment horizontal="center" vertical="center" textRotation="90" wrapText="1"/>
    </xf>
    <xf numFmtId="14" fontId="26" fillId="0" borderId="5" xfId="0" applyNumberFormat="1" applyFont="1" applyFill="1" applyBorder="1" applyAlignment="1">
      <alignment horizontal="center" vertical="center" textRotation="90" wrapText="1"/>
    </xf>
    <xf numFmtId="0" fontId="26" fillId="0" borderId="11" xfId="0" applyFont="1" applyFill="1" applyBorder="1" applyAlignment="1">
      <alignment horizontal="center" vertical="center" textRotation="90" wrapText="1"/>
    </xf>
    <xf numFmtId="0" fontId="26" fillId="4" borderId="9" xfId="0" applyFont="1" applyFill="1" applyBorder="1" applyAlignment="1">
      <alignment horizontal="center" vertical="center" textRotation="90" wrapText="1"/>
    </xf>
    <xf numFmtId="0" fontId="26" fillId="4" borderId="2" xfId="0" applyFont="1" applyFill="1" applyBorder="1" applyAlignment="1">
      <alignment horizontal="center" vertical="center" textRotation="90" wrapText="1"/>
    </xf>
    <xf numFmtId="0" fontId="26" fillId="4" borderId="1" xfId="0" applyFont="1" applyFill="1" applyBorder="1" applyAlignment="1">
      <alignment horizontal="center" vertical="center" textRotation="90" wrapText="1"/>
    </xf>
    <xf numFmtId="0" fontId="26" fillId="4" borderId="6" xfId="0" applyFont="1" applyFill="1" applyBorder="1" applyAlignment="1">
      <alignment horizontal="center" vertical="center" textRotation="90" wrapText="1"/>
    </xf>
    <xf numFmtId="0" fontId="31" fillId="0" borderId="1" xfId="0" applyFont="1" applyFill="1" applyBorder="1"/>
    <xf numFmtId="0" fontId="31" fillId="0" borderId="6" xfId="0" applyFont="1" applyFill="1" applyBorder="1"/>
    <xf numFmtId="0" fontId="26" fillId="0" borderId="5" xfId="0" applyFont="1" applyFill="1" applyBorder="1" applyAlignment="1">
      <alignment horizontal="center" vertical="center" textRotation="90" wrapText="1"/>
    </xf>
    <xf numFmtId="14" fontId="26" fillId="0" borderId="20" xfId="0" applyNumberFormat="1" applyFont="1" applyFill="1" applyBorder="1" applyAlignment="1">
      <alignment horizontal="center" vertical="center" textRotation="90" wrapText="1"/>
    </xf>
    <xf numFmtId="0" fontId="26" fillId="0" borderId="19" xfId="0" applyFont="1" applyFill="1" applyBorder="1" applyAlignment="1">
      <alignment horizontal="center" vertical="center" textRotation="90" wrapText="1"/>
    </xf>
    <xf numFmtId="0" fontId="26" fillId="0" borderId="16" xfId="0" applyFont="1" applyFill="1" applyBorder="1" applyAlignment="1">
      <alignment horizontal="center" vertical="center" textRotation="90" wrapText="1"/>
    </xf>
    <xf numFmtId="0" fontId="51" fillId="0" borderId="51" xfId="0" applyFont="1" applyBorder="1" applyAlignment="1">
      <alignment horizontal="center" vertical="center"/>
    </xf>
    <xf numFmtId="0" fontId="51" fillId="0" borderId="57" xfId="0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0" fontId="51" fillId="0" borderId="53" xfId="0" applyFont="1" applyBorder="1" applyAlignment="1">
      <alignment horizontal="center" vertical="center"/>
    </xf>
    <xf numFmtId="0" fontId="51" fillId="0" borderId="50" xfId="0" applyFont="1" applyBorder="1" applyAlignment="1">
      <alignment horizontal="center" vertical="center"/>
    </xf>
    <xf numFmtId="0" fontId="51" fillId="0" borderId="58" xfId="0" applyFont="1" applyBorder="1" applyAlignment="1">
      <alignment horizontal="center" vertical="center"/>
    </xf>
    <xf numFmtId="0" fontId="70" fillId="0" borderId="51" xfId="0" applyFont="1" applyBorder="1" applyAlignment="1">
      <alignment horizontal="center" vertical="center"/>
    </xf>
    <xf numFmtId="0" fontId="70" fillId="0" borderId="57" xfId="0" applyFont="1" applyBorder="1" applyAlignment="1">
      <alignment horizontal="center" vertical="center"/>
    </xf>
    <xf numFmtId="0" fontId="70" fillId="0" borderId="8" xfId="0" applyFont="1" applyBorder="1" applyAlignment="1">
      <alignment horizontal="center" vertical="center"/>
    </xf>
    <xf numFmtId="0" fontId="70" fillId="0" borderId="53" xfId="0" applyFont="1" applyBorder="1" applyAlignment="1">
      <alignment horizontal="center" vertical="center"/>
    </xf>
    <xf numFmtId="0" fontId="70" fillId="0" borderId="50" xfId="0" applyFont="1" applyBorder="1" applyAlignment="1">
      <alignment horizontal="center" vertical="center"/>
    </xf>
    <xf numFmtId="0" fontId="70" fillId="0" borderId="58" xfId="0" applyFont="1" applyBorder="1" applyAlignment="1">
      <alignment horizontal="center" vertical="center"/>
    </xf>
    <xf numFmtId="14" fontId="26" fillId="0" borderId="23" xfId="0" applyNumberFormat="1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7" xfId="0" applyFont="1" applyFill="1" applyBorder="1" applyAlignment="1">
      <alignment horizontal="center" vertical="center" textRotation="90" wrapText="1"/>
    </xf>
    <xf numFmtId="14" fontId="26" fillId="0" borderId="37" xfId="0" applyNumberFormat="1" applyFont="1" applyFill="1" applyBorder="1" applyAlignment="1">
      <alignment horizontal="center" vertical="center" textRotation="90" wrapText="1"/>
    </xf>
  </cellXfs>
  <cellStyles count="5">
    <cellStyle name="Денежный" xfId="3" builtinId="4"/>
    <cellStyle name="Обычный" xfId="0" builtinId="0"/>
    <cellStyle name="Обычный 2" xfId="1"/>
    <cellStyle name="Обычный 3 2" xfId="4"/>
    <cellStyle name="Хороший" xfId="2" builtinId="26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243840</xdr:colOff>
      <xdr:row>56</xdr:row>
      <xdr:rowOff>36576</xdr:rowOff>
    </xdr:to>
    <xdr:pic>
      <xdr:nvPicPr>
        <xdr:cNvPr id="2" name="Рисунок 1" descr="180528142749000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559040" cy="10704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4" sqref="V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view="pageBreakPreview" topLeftCell="A28" zoomScale="40" zoomScaleNormal="40" zoomScaleSheetLayoutView="40" zoomScalePageLayoutView="40" workbookViewId="0">
      <selection activeCell="H39" sqref="H39"/>
    </sheetView>
  </sheetViews>
  <sheetFormatPr defaultRowHeight="26.25" x14ac:dyDescent="0.4"/>
  <cols>
    <col min="1" max="1" width="6.5703125" style="116" customWidth="1"/>
    <col min="2" max="2" width="57.140625" style="116" customWidth="1"/>
    <col min="3" max="3" width="16.42578125" style="116" customWidth="1"/>
    <col min="4" max="4" width="21.140625" style="116" customWidth="1"/>
    <col min="5" max="10" width="55.42578125" style="116" customWidth="1"/>
    <col min="11" max="234" width="9.140625" style="116"/>
    <col min="235" max="235" width="4.28515625" style="116" customWidth="1"/>
    <col min="236" max="236" width="25" style="116" customWidth="1"/>
    <col min="237" max="237" width="5.7109375" style="116" customWidth="1"/>
    <col min="238" max="238" width="10.140625" style="116" customWidth="1"/>
    <col min="239" max="239" width="17.140625" style="116" customWidth="1"/>
    <col min="240" max="243" width="2.85546875" style="116" customWidth="1"/>
    <col min="244" max="244" width="6.5703125" style="116" customWidth="1"/>
    <col min="245" max="248" width="2.85546875" style="116" customWidth="1"/>
    <col min="249" max="249" width="6" style="116" customWidth="1"/>
    <col min="250" max="253" width="2.85546875" style="116" customWidth="1"/>
    <col min="254" max="254" width="5.5703125" style="116" customWidth="1"/>
    <col min="255" max="258" width="2.85546875" style="116" customWidth="1"/>
    <col min="259" max="259" width="7.5703125" style="116" customWidth="1"/>
    <col min="260" max="263" width="2.85546875" style="116" customWidth="1"/>
    <col min="264" max="264" width="7.42578125" style="116" customWidth="1"/>
    <col min="265" max="266" width="0" style="116" hidden="1" customWidth="1"/>
    <col min="267" max="490" width="9.140625" style="116"/>
    <col min="491" max="491" width="4.28515625" style="116" customWidth="1"/>
    <col min="492" max="492" width="25" style="116" customWidth="1"/>
    <col min="493" max="493" width="5.7109375" style="116" customWidth="1"/>
    <col min="494" max="494" width="10.140625" style="116" customWidth="1"/>
    <col min="495" max="495" width="17.140625" style="116" customWidth="1"/>
    <col min="496" max="499" width="2.85546875" style="116" customWidth="1"/>
    <col min="500" max="500" width="6.5703125" style="116" customWidth="1"/>
    <col min="501" max="504" width="2.85546875" style="116" customWidth="1"/>
    <col min="505" max="505" width="6" style="116" customWidth="1"/>
    <col min="506" max="509" width="2.85546875" style="116" customWidth="1"/>
    <col min="510" max="510" width="5.5703125" style="116" customWidth="1"/>
    <col min="511" max="514" width="2.85546875" style="116" customWidth="1"/>
    <col min="515" max="515" width="7.5703125" style="116" customWidth="1"/>
    <col min="516" max="519" width="2.85546875" style="116" customWidth="1"/>
    <col min="520" max="520" width="7.42578125" style="116" customWidth="1"/>
    <col min="521" max="522" width="0" style="116" hidden="1" customWidth="1"/>
    <col min="523" max="746" width="9.140625" style="116"/>
    <col min="747" max="747" width="4.28515625" style="116" customWidth="1"/>
    <col min="748" max="748" width="25" style="116" customWidth="1"/>
    <col min="749" max="749" width="5.7109375" style="116" customWidth="1"/>
    <col min="750" max="750" width="10.140625" style="116" customWidth="1"/>
    <col min="751" max="751" width="17.140625" style="116" customWidth="1"/>
    <col min="752" max="755" width="2.85546875" style="116" customWidth="1"/>
    <col min="756" max="756" width="6.5703125" style="116" customWidth="1"/>
    <col min="757" max="760" width="2.85546875" style="116" customWidth="1"/>
    <col min="761" max="761" width="6" style="116" customWidth="1"/>
    <col min="762" max="765" width="2.85546875" style="116" customWidth="1"/>
    <col min="766" max="766" width="5.5703125" style="116" customWidth="1"/>
    <col min="767" max="770" width="2.85546875" style="116" customWidth="1"/>
    <col min="771" max="771" width="7.5703125" style="116" customWidth="1"/>
    <col min="772" max="775" width="2.85546875" style="116" customWidth="1"/>
    <col min="776" max="776" width="7.42578125" style="116" customWidth="1"/>
    <col min="777" max="778" width="0" style="116" hidden="1" customWidth="1"/>
    <col min="779" max="1002" width="9.140625" style="116"/>
    <col min="1003" max="1003" width="4.28515625" style="116" customWidth="1"/>
    <col min="1004" max="1004" width="25" style="116" customWidth="1"/>
    <col min="1005" max="1005" width="5.7109375" style="116" customWidth="1"/>
    <col min="1006" max="1006" width="10.140625" style="116" customWidth="1"/>
    <col min="1007" max="1007" width="17.140625" style="116" customWidth="1"/>
    <col min="1008" max="1011" width="2.85546875" style="116" customWidth="1"/>
    <col min="1012" max="1012" width="6.5703125" style="116" customWidth="1"/>
    <col min="1013" max="1016" width="2.85546875" style="116" customWidth="1"/>
    <col min="1017" max="1017" width="6" style="116" customWidth="1"/>
    <col min="1018" max="1021" width="2.85546875" style="116" customWidth="1"/>
    <col min="1022" max="1022" width="5.5703125" style="116" customWidth="1"/>
    <col min="1023" max="1026" width="2.85546875" style="116" customWidth="1"/>
    <col min="1027" max="1027" width="7.5703125" style="116" customWidth="1"/>
    <col min="1028" max="1031" width="2.85546875" style="116" customWidth="1"/>
    <col min="1032" max="1032" width="7.42578125" style="116" customWidth="1"/>
    <col min="1033" max="1034" width="0" style="116" hidden="1" customWidth="1"/>
    <col min="1035" max="1258" width="9.140625" style="116"/>
    <col min="1259" max="1259" width="4.28515625" style="116" customWidth="1"/>
    <col min="1260" max="1260" width="25" style="116" customWidth="1"/>
    <col min="1261" max="1261" width="5.7109375" style="116" customWidth="1"/>
    <col min="1262" max="1262" width="10.140625" style="116" customWidth="1"/>
    <col min="1263" max="1263" width="17.140625" style="116" customWidth="1"/>
    <col min="1264" max="1267" width="2.85546875" style="116" customWidth="1"/>
    <col min="1268" max="1268" width="6.5703125" style="116" customWidth="1"/>
    <col min="1269" max="1272" width="2.85546875" style="116" customWidth="1"/>
    <col min="1273" max="1273" width="6" style="116" customWidth="1"/>
    <col min="1274" max="1277" width="2.85546875" style="116" customWidth="1"/>
    <col min="1278" max="1278" width="5.5703125" style="116" customWidth="1"/>
    <col min="1279" max="1282" width="2.85546875" style="116" customWidth="1"/>
    <col min="1283" max="1283" width="7.5703125" style="116" customWidth="1"/>
    <col min="1284" max="1287" width="2.85546875" style="116" customWidth="1"/>
    <col min="1288" max="1288" width="7.42578125" style="116" customWidth="1"/>
    <col min="1289" max="1290" width="0" style="116" hidden="1" customWidth="1"/>
    <col min="1291" max="1514" width="9.140625" style="116"/>
    <col min="1515" max="1515" width="4.28515625" style="116" customWidth="1"/>
    <col min="1516" max="1516" width="25" style="116" customWidth="1"/>
    <col min="1517" max="1517" width="5.7109375" style="116" customWidth="1"/>
    <col min="1518" max="1518" width="10.140625" style="116" customWidth="1"/>
    <col min="1519" max="1519" width="17.140625" style="116" customWidth="1"/>
    <col min="1520" max="1523" width="2.85546875" style="116" customWidth="1"/>
    <col min="1524" max="1524" width="6.5703125" style="116" customWidth="1"/>
    <col min="1525" max="1528" width="2.85546875" style="116" customWidth="1"/>
    <col min="1529" max="1529" width="6" style="116" customWidth="1"/>
    <col min="1530" max="1533" width="2.85546875" style="116" customWidth="1"/>
    <col min="1534" max="1534" width="5.5703125" style="116" customWidth="1"/>
    <col min="1535" max="1538" width="2.85546875" style="116" customWidth="1"/>
    <col min="1539" max="1539" width="7.5703125" style="116" customWidth="1"/>
    <col min="1540" max="1543" width="2.85546875" style="116" customWidth="1"/>
    <col min="1544" max="1544" width="7.42578125" style="116" customWidth="1"/>
    <col min="1545" max="1546" width="0" style="116" hidden="1" customWidth="1"/>
    <col min="1547" max="1770" width="9.140625" style="116"/>
    <col min="1771" max="1771" width="4.28515625" style="116" customWidth="1"/>
    <col min="1772" max="1772" width="25" style="116" customWidth="1"/>
    <col min="1773" max="1773" width="5.7109375" style="116" customWidth="1"/>
    <col min="1774" max="1774" width="10.140625" style="116" customWidth="1"/>
    <col min="1775" max="1775" width="17.140625" style="116" customWidth="1"/>
    <col min="1776" max="1779" width="2.85546875" style="116" customWidth="1"/>
    <col min="1780" max="1780" width="6.5703125" style="116" customWidth="1"/>
    <col min="1781" max="1784" width="2.85546875" style="116" customWidth="1"/>
    <col min="1785" max="1785" width="6" style="116" customWidth="1"/>
    <col min="1786" max="1789" width="2.85546875" style="116" customWidth="1"/>
    <col min="1790" max="1790" width="5.5703125" style="116" customWidth="1"/>
    <col min="1791" max="1794" width="2.85546875" style="116" customWidth="1"/>
    <col min="1795" max="1795" width="7.5703125" style="116" customWidth="1"/>
    <col min="1796" max="1799" width="2.85546875" style="116" customWidth="1"/>
    <col min="1800" max="1800" width="7.42578125" style="116" customWidth="1"/>
    <col min="1801" max="1802" width="0" style="116" hidden="1" customWidth="1"/>
    <col min="1803" max="2026" width="9.140625" style="116"/>
    <col min="2027" max="2027" width="4.28515625" style="116" customWidth="1"/>
    <col min="2028" max="2028" width="25" style="116" customWidth="1"/>
    <col min="2029" max="2029" width="5.7109375" style="116" customWidth="1"/>
    <col min="2030" max="2030" width="10.140625" style="116" customWidth="1"/>
    <col min="2031" max="2031" width="17.140625" style="116" customWidth="1"/>
    <col min="2032" max="2035" width="2.85546875" style="116" customWidth="1"/>
    <col min="2036" max="2036" width="6.5703125" style="116" customWidth="1"/>
    <col min="2037" max="2040" width="2.85546875" style="116" customWidth="1"/>
    <col min="2041" max="2041" width="6" style="116" customWidth="1"/>
    <col min="2042" max="2045" width="2.85546875" style="116" customWidth="1"/>
    <col min="2046" max="2046" width="5.5703125" style="116" customWidth="1"/>
    <col min="2047" max="2050" width="2.85546875" style="116" customWidth="1"/>
    <col min="2051" max="2051" width="7.5703125" style="116" customWidth="1"/>
    <col min="2052" max="2055" width="2.85546875" style="116" customWidth="1"/>
    <col min="2056" max="2056" width="7.42578125" style="116" customWidth="1"/>
    <col min="2057" max="2058" width="0" style="116" hidden="1" customWidth="1"/>
    <col min="2059" max="2282" width="9.140625" style="116"/>
    <col min="2283" max="2283" width="4.28515625" style="116" customWidth="1"/>
    <col min="2284" max="2284" width="25" style="116" customWidth="1"/>
    <col min="2285" max="2285" width="5.7109375" style="116" customWidth="1"/>
    <col min="2286" max="2286" width="10.140625" style="116" customWidth="1"/>
    <col min="2287" max="2287" width="17.140625" style="116" customWidth="1"/>
    <col min="2288" max="2291" width="2.85546875" style="116" customWidth="1"/>
    <col min="2292" max="2292" width="6.5703125" style="116" customWidth="1"/>
    <col min="2293" max="2296" width="2.85546875" style="116" customWidth="1"/>
    <col min="2297" max="2297" width="6" style="116" customWidth="1"/>
    <col min="2298" max="2301" width="2.85546875" style="116" customWidth="1"/>
    <col min="2302" max="2302" width="5.5703125" style="116" customWidth="1"/>
    <col min="2303" max="2306" width="2.85546875" style="116" customWidth="1"/>
    <col min="2307" max="2307" width="7.5703125" style="116" customWidth="1"/>
    <col min="2308" max="2311" width="2.85546875" style="116" customWidth="1"/>
    <col min="2312" max="2312" width="7.42578125" style="116" customWidth="1"/>
    <col min="2313" max="2314" width="0" style="116" hidden="1" customWidth="1"/>
    <col min="2315" max="2538" width="9.140625" style="116"/>
    <col min="2539" max="2539" width="4.28515625" style="116" customWidth="1"/>
    <col min="2540" max="2540" width="25" style="116" customWidth="1"/>
    <col min="2541" max="2541" width="5.7109375" style="116" customWidth="1"/>
    <col min="2542" max="2542" width="10.140625" style="116" customWidth="1"/>
    <col min="2543" max="2543" width="17.140625" style="116" customWidth="1"/>
    <col min="2544" max="2547" width="2.85546875" style="116" customWidth="1"/>
    <col min="2548" max="2548" width="6.5703125" style="116" customWidth="1"/>
    <col min="2549" max="2552" width="2.85546875" style="116" customWidth="1"/>
    <col min="2553" max="2553" width="6" style="116" customWidth="1"/>
    <col min="2554" max="2557" width="2.85546875" style="116" customWidth="1"/>
    <col min="2558" max="2558" width="5.5703125" style="116" customWidth="1"/>
    <col min="2559" max="2562" width="2.85546875" style="116" customWidth="1"/>
    <col min="2563" max="2563" width="7.5703125" style="116" customWidth="1"/>
    <col min="2564" max="2567" width="2.85546875" style="116" customWidth="1"/>
    <col min="2568" max="2568" width="7.42578125" style="116" customWidth="1"/>
    <col min="2569" max="2570" width="0" style="116" hidden="1" customWidth="1"/>
    <col min="2571" max="2794" width="9.140625" style="116"/>
    <col min="2795" max="2795" width="4.28515625" style="116" customWidth="1"/>
    <col min="2796" max="2796" width="25" style="116" customWidth="1"/>
    <col min="2797" max="2797" width="5.7109375" style="116" customWidth="1"/>
    <col min="2798" max="2798" width="10.140625" style="116" customWidth="1"/>
    <col min="2799" max="2799" width="17.140625" style="116" customWidth="1"/>
    <col min="2800" max="2803" width="2.85546875" style="116" customWidth="1"/>
    <col min="2804" max="2804" width="6.5703125" style="116" customWidth="1"/>
    <col min="2805" max="2808" width="2.85546875" style="116" customWidth="1"/>
    <col min="2809" max="2809" width="6" style="116" customWidth="1"/>
    <col min="2810" max="2813" width="2.85546875" style="116" customWidth="1"/>
    <col min="2814" max="2814" width="5.5703125" style="116" customWidth="1"/>
    <col min="2815" max="2818" width="2.85546875" style="116" customWidth="1"/>
    <col min="2819" max="2819" width="7.5703125" style="116" customWidth="1"/>
    <col min="2820" max="2823" width="2.85546875" style="116" customWidth="1"/>
    <col min="2824" max="2824" width="7.42578125" style="116" customWidth="1"/>
    <col min="2825" max="2826" width="0" style="116" hidden="1" customWidth="1"/>
    <col min="2827" max="3050" width="9.140625" style="116"/>
    <col min="3051" max="3051" width="4.28515625" style="116" customWidth="1"/>
    <col min="3052" max="3052" width="25" style="116" customWidth="1"/>
    <col min="3053" max="3053" width="5.7109375" style="116" customWidth="1"/>
    <col min="3054" max="3054" width="10.140625" style="116" customWidth="1"/>
    <col min="3055" max="3055" width="17.140625" style="116" customWidth="1"/>
    <col min="3056" max="3059" width="2.85546875" style="116" customWidth="1"/>
    <col min="3060" max="3060" width="6.5703125" style="116" customWidth="1"/>
    <col min="3061" max="3064" width="2.85546875" style="116" customWidth="1"/>
    <col min="3065" max="3065" width="6" style="116" customWidth="1"/>
    <col min="3066" max="3069" width="2.85546875" style="116" customWidth="1"/>
    <col min="3070" max="3070" width="5.5703125" style="116" customWidth="1"/>
    <col min="3071" max="3074" width="2.85546875" style="116" customWidth="1"/>
    <col min="3075" max="3075" width="7.5703125" style="116" customWidth="1"/>
    <col min="3076" max="3079" width="2.85546875" style="116" customWidth="1"/>
    <col min="3080" max="3080" width="7.42578125" style="116" customWidth="1"/>
    <col min="3081" max="3082" width="0" style="116" hidden="1" customWidth="1"/>
    <col min="3083" max="3306" width="9.140625" style="116"/>
    <col min="3307" max="3307" width="4.28515625" style="116" customWidth="1"/>
    <col min="3308" max="3308" width="25" style="116" customWidth="1"/>
    <col min="3309" max="3309" width="5.7109375" style="116" customWidth="1"/>
    <col min="3310" max="3310" width="10.140625" style="116" customWidth="1"/>
    <col min="3311" max="3311" width="17.140625" style="116" customWidth="1"/>
    <col min="3312" max="3315" width="2.85546875" style="116" customWidth="1"/>
    <col min="3316" max="3316" width="6.5703125" style="116" customWidth="1"/>
    <col min="3317" max="3320" width="2.85546875" style="116" customWidth="1"/>
    <col min="3321" max="3321" width="6" style="116" customWidth="1"/>
    <col min="3322" max="3325" width="2.85546875" style="116" customWidth="1"/>
    <col min="3326" max="3326" width="5.5703125" style="116" customWidth="1"/>
    <col min="3327" max="3330" width="2.85546875" style="116" customWidth="1"/>
    <col min="3331" max="3331" width="7.5703125" style="116" customWidth="1"/>
    <col min="3332" max="3335" width="2.85546875" style="116" customWidth="1"/>
    <col min="3336" max="3336" width="7.42578125" style="116" customWidth="1"/>
    <col min="3337" max="3338" width="0" style="116" hidden="1" customWidth="1"/>
    <col min="3339" max="3562" width="9.140625" style="116"/>
    <col min="3563" max="3563" width="4.28515625" style="116" customWidth="1"/>
    <col min="3564" max="3564" width="25" style="116" customWidth="1"/>
    <col min="3565" max="3565" width="5.7109375" style="116" customWidth="1"/>
    <col min="3566" max="3566" width="10.140625" style="116" customWidth="1"/>
    <col min="3567" max="3567" width="17.140625" style="116" customWidth="1"/>
    <col min="3568" max="3571" width="2.85546875" style="116" customWidth="1"/>
    <col min="3572" max="3572" width="6.5703125" style="116" customWidth="1"/>
    <col min="3573" max="3576" width="2.85546875" style="116" customWidth="1"/>
    <col min="3577" max="3577" width="6" style="116" customWidth="1"/>
    <col min="3578" max="3581" width="2.85546875" style="116" customWidth="1"/>
    <col min="3582" max="3582" width="5.5703125" style="116" customWidth="1"/>
    <col min="3583" max="3586" width="2.85546875" style="116" customWidth="1"/>
    <col min="3587" max="3587" width="7.5703125" style="116" customWidth="1"/>
    <col min="3588" max="3591" width="2.85546875" style="116" customWidth="1"/>
    <col min="3592" max="3592" width="7.42578125" style="116" customWidth="1"/>
    <col min="3593" max="3594" width="0" style="116" hidden="1" customWidth="1"/>
    <col min="3595" max="3818" width="9.140625" style="116"/>
    <col min="3819" max="3819" width="4.28515625" style="116" customWidth="1"/>
    <col min="3820" max="3820" width="25" style="116" customWidth="1"/>
    <col min="3821" max="3821" width="5.7109375" style="116" customWidth="1"/>
    <col min="3822" max="3822" width="10.140625" style="116" customWidth="1"/>
    <col min="3823" max="3823" width="17.140625" style="116" customWidth="1"/>
    <col min="3824" max="3827" width="2.85546875" style="116" customWidth="1"/>
    <col min="3828" max="3828" width="6.5703125" style="116" customWidth="1"/>
    <col min="3829" max="3832" width="2.85546875" style="116" customWidth="1"/>
    <col min="3833" max="3833" width="6" style="116" customWidth="1"/>
    <col min="3834" max="3837" width="2.85546875" style="116" customWidth="1"/>
    <col min="3838" max="3838" width="5.5703125" style="116" customWidth="1"/>
    <col min="3839" max="3842" width="2.85546875" style="116" customWidth="1"/>
    <col min="3843" max="3843" width="7.5703125" style="116" customWidth="1"/>
    <col min="3844" max="3847" width="2.85546875" style="116" customWidth="1"/>
    <col min="3848" max="3848" width="7.42578125" style="116" customWidth="1"/>
    <col min="3849" max="3850" width="0" style="116" hidden="1" customWidth="1"/>
    <col min="3851" max="4074" width="9.140625" style="116"/>
    <col min="4075" max="4075" width="4.28515625" style="116" customWidth="1"/>
    <col min="4076" max="4076" width="25" style="116" customWidth="1"/>
    <col min="4077" max="4077" width="5.7109375" style="116" customWidth="1"/>
    <col min="4078" max="4078" width="10.140625" style="116" customWidth="1"/>
    <col min="4079" max="4079" width="17.140625" style="116" customWidth="1"/>
    <col min="4080" max="4083" width="2.85546875" style="116" customWidth="1"/>
    <col min="4084" max="4084" width="6.5703125" style="116" customWidth="1"/>
    <col min="4085" max="4088" width="2.85546875" style="116" customWidth="1"/>
    <col min="4089" max="4089" width="6" style="116" customWidth="1"/>
    <col min="4090" max="4093" width="2.85546875" style="116" customWidth="1"/>
    <col min="4094" max="4094" width="5.5703125" style="116" customWidth="1"/>
    <col min="4095" max="4098" width="2.85546875" style="116" customWidth="1"/>
    <col min="4099" max="4099" width="7.5703125" style="116" customWidth="1"/>
    <col min="4100" max="4103" width="2.85546875" style="116" customWidth="1"/>
    <col min="4104" max="4104" width="7.42578125" style="116" customWidth="1"/>
    <col min="4105" max="4106" width="0" style="116" hidden="1" customWidth="1"/>
    <col min="4107" max="4330" width="9.140625" style="116"/>
    <col min="4331" max="4331" width="4.28515625" style="116" customWidth="1"/>
    <col min="4332" max="4332" width="25" style="116" customWidth="1"/>
    <col min="4333" max="4333" width="5.7109375" style="116" customWidth="1"/>
    <col min="4334" max="4334" width="10.140625" style="116" customWidth="1"/>
    <col min="4335" max="4335" width="17.140625" style="116" customWidth="1"/>
    <col min="4336" max="4339" width="2.85546875" style="116" customWidth="1"/>
    <col min="4340" max="4340" width="6.5703125" style="116" customWidth="1"/>
    <col min="4341" max="4344" width="2.85546875" style="116" customWidth="1"/>
    <col min="4345" max="4345" width="6" style="116" customWidth="1"/>
    <col min="4346" max="4349" width="2.85546875" style="116" customWidth="1"/>
    <col min="4350" max="4350" width="5.5703125" style="116" customWidth="1"/>
    <col min="4351" max="4354" width="2.85546875" style="116" customWidth="1"/>
    <col min="4355" max="4355" width="7.5703125" style="116" customWidth="1"/>
    <col min="4356" max="4359" width="2.85546875" style="116" customWidth="1"/>
    <col min="4360" max="4360" width="7.42578125" style="116" customWidth="1"/>
    <col min="4361" max="4362" width="0" style="116" hidden="1" customWidth="1"/>
    <col min="4363" max="4586" width="9.140625" style="116"/>
    <col min="4587" max="4587" width="4.28515625" style="116" customWidth="1"/>
    <col min="4588" max="4588" width="25" style="116" customWidth="1"/>
    <col min="4589" max="4589" width="5.7109375" style="116" customWidth="1"/>
    <col min="4590" max="4590" width="10.140625" style="116" customWidth="1"/>
    <col min="4591" max="4591" width="17.140625" style="116" customWidth="1"/>
    <col min="4592" max="4595" width="2.85546875" style="116" customWidth="1"/>
    <col min="4596" max="4596" width="6.5703125" style="116" customWidth="1"/>
    <col min="4597" max="4600" width="2.85546875" style="116" customWidth="1"/>
    <col min="4601" max="4601" width="6" style="116" customWidth="1"/>
    <col min="4602" max="4605" width="2.85546875" style="116" customWidth="1"/>
    <col min="4606" max="4606" width="5.5703125" style="116" customWidth="1"/>
    <col min="4607" max="4610" width="2.85546875" style="116" customWidth="1"/>
    <col min="4611" max="4611" width="7.5703125" style="116" customWidth="1"/>
    <col min="4612" max="4615" width="2.85546875" style="116" customWidth="1"/>
    <col min="4616" max="4616" width="7.42578125" style="116" customWidth="1"/>
    <col min="4617" max="4618" width="0" style="116" hidden="1" customWidth="1"/>
    <col min="4619" max="4842" width="9.140625" style="116"/>
    <col min="4843" max="4843" width="4.28515625" style="116" customWidth="1"/>
    <col min="4844" max="4844" width="25" style="116" customWidth="1"/>
    <col min="4845" max="4845" width="5.7109375" style="116" customWidth="1"/>
    <col min="4846" max="4846" width="10.140625" style="116" customWidth="1"/>
    <col min="4847" max="4847" width="17.140625" style="116" customWidth="1"/>
    <col min="4848" max="4851" width="2.85546875" style="116" customWidth="1"/>
    <col min="4852" max="4852" width="6.5703125" style="116" customWidth="1"/>
    <col min="4853" max="4856" width="2.85546875" style="116" customWidth="1"/>
    <col min="4857" max="4857" width="6" style="116" customWidth="1"/>
    <col min="4858" max="4861" width="2.85546875" style="116" customWidth="1"/>
    <col min="4862" max="4862" width="5.5703125" style="116" customWidth="1"/>
    <col min="4863" max="4866" width="2.85546875" style="116" customWidth="1"/>
    <col min="4867" max="4867" width="7.5703125" style="116" customWidth="1"/>
    <col min="4868" max="4871" width="2.85546875" style="116" customWidth="1"/>
    <col min="4872" max="4872" width="7.42578125" style="116" customWidth="1"/>
    <col min="4873" max="4874" width="0" style="116" hidden="1" customWidth="1"/>
    <col min="4875" max="5098" width="9.140625" style="116"/>
    <col min="5099" max="5099" width="4.28515625" style="116" customWidth="1"/>
    <col min="5100" max="5100" width="25" style="116" customWidth="1"/>
    <col min="5101" max="5101" width="5.7109375" style="116" customWidth="1"/>
    <col min="5102" max="5102" width="10.140625" style="116" customWidth="1"/>
    <col min="5103" max="5103" width="17.140625" style="116" customWidth="1"/>
    <col min="5104" max="5107" width="2.85546875" style="116" customWidth="1"/>
    <col min="5108" max="5108" width="6.5703125" style="116" customWidth="1"/>
    <col min="5109" max="5112" width="2.85546875" style="116" customWidth="1"/>
    <col min="5113" max="5113" width="6" style="116" customWidth="1"/>
    <col min="5114" max="5117" width="2.85546875" style="116" customWidth="1"/>
    <col min="5118" max="5118" width="5.5703125" style="116" customWidth="1"/>
    <col min="5119" max="5122" width="2.85546875" style="116" customWidth="1"/>
    <col min="5123" max="5123" width="7.5703125" style="116" customWidth="1"/>
    <col min="5124" max="5127" width="2.85546875" style="116" customWidth="1"/>
    <col min="5128" max="5128" width="7.42578125" style="116" customWidth="1"/>
    <col min="5129" max="5130" width="0" style="116" hidden="1" customWidth="1"/>
    <col min="5131" max="5354" width="9.140625" style="116"/>
    <col min="5355" max="5355" width="4.28515625" style="116" customWidth="1"/>
    <col min="5356" max="5356" width="25" style="116" customWidth="1"/>
    <col min="5357" max="5357" width="5.7109375" style="116" customWidth="1"/>
    <col min="5358" max="5358" width="10.140625" style="116" customWidth="1"/>
    <col min="5359" max="5359" width="17.140625" style="116" customWidth="1"/>
    <col min="5360" max="5363" width="2.85546875" style="116" customWidth="1"/>
    <col min="5364" max="5364" width="6.5703125" style="116" customWidth="1"/>
    <col min="5365" max="5368" width="2.85546875" style="116" customWidth="1"/>
    <col min="5369" max="5369" width="6" style="116" customWidth="1"/>
    <col min="5370" max="5373" width="2.85546875" style="116" customWidth="1"/>
    <col min="5374" max="5374" width="5.5703125" style="116" customWidth="1"/>
    <col min="5375" max="5378" width="2.85546875" style="116" customWidth="1"/>
    <col min="5379" max="5379" width="7.5703125" style="116" customWidth="1"/>
    <col min="5380" max="5383" width="2.85546875" style="116" customWidth="1"/>
    <col min="5384" max="5384" width="7.42578125" style="116" customWidth="1"/>
    <col min="5385" max="5386" width="0" style="116" hidden="1" customWidth="1"/>
    <col min="5387" max="5610" width="9.140625" style="116"/>
    <col min="5611" max="5611" width="4.28515625" style="116" customWidth="1"/>
    <col min="5612" max="5612" width="25" style="116" customWidth="1"/>
    <col min="5613" max="5613" width="5.7109375" style="116" customWidth="1"/>
    <col min="5614" max="5614" width="10.140625" style="116" customWidth="1"/>
    <col min="5615" max="5615" width="17.140625" style="116" customWidth="1"/>
    <col min="5616" max="5619" width="2.85546875" style="116" customWidth="1"/>
    <col min="5620" max="5620" width="6.5703125" style="116" customWidth="1"/>
    <col min="5621" max="5624" width="2.85546875" style="116" customWidth="1"/>
    <col min="5625" max="5625" width="6" style="116" customWidth="1"/>
    <col min="5626" max="5629" width="2.85546875" style="116" customWidth="1"/>
    <col min="5630" max="5630" width="5.5703125" style="116" customWidth="1"/>
    <col min="5631" max="5634" width="2.85546875" style="116" customWidth="1"/>
    <col min="5635" max="5635" width="7.5703125" style="116" customWidth="1"/>
    <col min="5636" max="5639" width="2.85546875" style="116" customWidth="1"/>
    <col min="5640" max="5640" width="7.42578125" style="116" customWidth="1"/>
    <col min="5641" max="5642" width="0" style="116" hidden="1" customWidth="1"/>
    <col min="5643" max="5866" width="9.140625" style="116"/>
    <col min="5867" max="5867" width="4.28515625" style="116" customWidth="1"/>
    <col min="5868" max="5868" width="25" style="116" customWidth="1"/>
    <col min="5869" max="5869" width="5.7109375" style="116" customWidth="1"/>
    <col min="5870" max="5870" width="10.140625" style="116" customWidth="1"/>
    <col min="5871" max="5871" width="17.140625" style="116" customWidth="1"/>
    <col min="5872" max="5875" width="2.85546875" style="116" customWidth="1"/>
    <col min="5876" max="5876" width="6.5703125" style="116" customWidth="1"/>
    <col min="5877" max="5880" width="2.85546875" style="116" customWidth="1"/>
    <col min="5881" max="5881" width="6" style="116" customWidth="1"/>
    <col min="5882" max="5885" width="2.85546875" style="116" customWidth="1"/>
    <col min="5886" max="5886" width="5.5703125" style="116" customWidth="1"/>
    <col min="5887" max="5890" width="2.85546875" style="116" customWidth="1"/>
    <col min="5891" max="5891" width="7.5703125" style="116" customWidth="1"/>
    <col min="5892" max="5895" width="2.85546875" style="116" customWidth="1"/>
    <col min="5896" max="5896" width="7.42578125" style="116" customWidth="1"/>
    <col min="5897" max="5898" width="0" style="116" hidden="1" customWidth="1"/>
    <col min="5899" max="6122" width="9.140625" style="116"/>
    <col min="6123" max="6123" width="4.28515625" style="116" customWidth="1"/>
    <col min="6124" max="6124" width="25" style="116" customWidth="1"/>
    <col min="6125" max="6125" width="5.7109375" style="116" customWidth="1"/>
    <col min="6126" max="6126" width="10.140625" style="116" customWidth="1"/>
    <col min="6127" max="6127" width="17.140625" style="116" customWidth="1"/>
    <col min="6128" max="6131" width="2.85546875" style="116" customWidth="1"/>
    <col min="6132" max="6132" width="6.5703125" style="116" customWidth="1"/>
    <col min="6133" max="6136" width="2.85546875" style="116" customWidth="1"/>
    <col min="6137" max="6137" width="6" style="116" customWidth="1"/>
    <col min="6138" max="6141" width="2.85546875" style="116" customWidth="1"/>
    <col min="6142" max="6142" width="5.5703125" style="116" customWidth="1"/>
    <col min="6143" max="6146" width="2.85546875" style="116" customWidth="1"/>
    <col min="6147" max="6147" width="7.5703125" style="116" customWidth="1"/>
    <col min="6148" max="6151" width="2.85546875" style="116" customWidth="1"/>
    <col min="6152" max="6152" width="7.42578125" style="116" customWidth="1"/>
    <col min="6153" max="6154" width="0" style="116" hidden="1" customWidth="1"/>
    <col min="6155" max="6378" width="9.140625" style="116"/>
    <col min="6379" max="6379" width="4.28515625" style="116" customWidth="1"/>
    <col min="6380" max="6380" width="25" style="116" customWidth="1"/>
    <col min="6381" max="6381" width="5.7109375" style="116" customWidth="1"/>
    <col min="6382" max="6382" width="10.140625" style="116" customWidth="1"/>
    <col min="6383" max="6383" width="17.140625" style="116" customWidth="1"/>
    <col min="6384" max="6387" width="2.85546875" style="116" customWidth="1"/>
    <col min="6388" max="6388" width="6.5703125" style="116" customWidth="1"/>
    <col min="6389" max="6392" width="2.85546875" style="116" customWidth="1"/>
    <col min="6393" max="6393" width="6" style="116" customWidth="1"/>
    <col min="6394" max="6397" width="2.85546875" style="116" customWidth="1"/>
    <col min="6398" max="6398" width="5.5703125" style="116" customWidth="1"/>
    <col min="6399" max="6402" width="2.85546875" style="116" customWidth="1"/>
    <col min="6403" max="6403" width="7.5703125" style="116" customWidth="1"/>
    <col min="6404" max="6407" width="2.85546875" style="116" customWidth="1"/>
    <col min="6408" max="6408" width="7.42578125" style="116" customWidth="1"/>
    <col min="6409" max="6410" width="0" style="116" hidden="1" customWidth="1"/>
    <col min="6411" max="6634" width="9.140625" style="116"/>
    <col min="6635" max="6635" width="4.28515625" style="116" customWidth="1"/>
    <col min="6636" max="6636" width="25" style="116" customWidth="1"/>
    <col min="6637" max="6637" width="5.7109375" style="116" customWidth="1"/>
    <col min="6638" max="6638" width="10.140625" style="116" customWidth="1"/>
    <col min="6639" max="6639" width="17.140625" style="116" customWidth="1"/>
    <col min="6640" max="6643" width="2.85546875" style="116" customWidth="1"/>
    <col min="6644" max="6644" width="6.5703125" style="116" customWidth="1"/>
    <col min="6645" max="6648" width="2.85546875" style="116" customWidth="1"/>
    <col min="6649" max="6649" width="6" style="116" customWidth="1"/>
    <col min="6650" max="6653" width="2.85546875" style="116" customWidth="1"/>
    <col min="6654" max="6654" width="5.5703125" style="116" customWidth="1"/>
    <col min="6655" max="6658" width="2.85546875" style="116" customWidth="1"/>
    <col min="6659" max="6659" width="7.5703125" style="116" customWidth="1"/>
    <col min="6660" max="6663" width="2.85546875" style="116" customWidth="1"/>
    <col min="6664" max="6664" width="7.42578125" style="116" customWidth="1"/>
    <col min="6665" max="6666" width="0" style="116" hidden="1" customWidth="1"/>
    <col min="6667" max="6890" width="9.140625" style="116"/>
    <col min="6891" max="6891" width="4.28515625" style="116" customWidth="1"/>
    <col min="6892" max="6892" width="25" style="116" customWidth="1"/>
    <col min="6893" max="6893" width="5.7109375" style="116" customWidth="1"/>
    <col min="6894" max="6894" width="10.140625" style="116" customWidth="1"/>
    <col min="6895" max="6895" width="17.140625" style="116" customWidth="1"/>
    <col min="6896" max="6899" width="2.85546875" style="116" customWidth="1"/>
    <col min="6900" max="6900" width="6.5703125" style="116" customWidth="1"/>
    <col min="6901" max="6904" width="2.85546875" style="116" customWidth="1"/>
    <col min="6905" max="6905" width="6" style="116" customWidth="1"/>
    <col min="6906" max="6909" width="2.85546875" style="116" customWidth="1"/>
    <col min="6910" max="6910" width="5.5703125" style="116" customWidth="1"/>
    <col min="6911" max="6914" width="2.85546875" style="116" customWidth="1"/>
    <col min="6915" max="6915" width="7.5703125" style="116" customWidth="1"/>
    <col min="6916" max="6919" width="2.85546875" style="116" customWidth="1"/>
    <col min="6920" max="6920" width="7.42578125" style="116" customWidth="1"/>
    <col min="6921" max="6922" width="0" style="116" hidden="1" customWidth="1"/>
    <col min="6923" max="7146" width="9.140625" style="116"/>
    <col min="7147" max="7147" width="4.28515625" style="116" customWidth="1"/>
    <col min="7148" max="7148" width="25" style="116" customWidth="1"/>
    <col min="7149" max="7149" width="5.7109375" style="116" customWidth="1"/>
    <col min="7150" max="7150" width="10.140625" style="116" customWidth="1"/>
    <col min="7151" max="7151" width="17.140625" style="116" customWidth="1"/>
    <col min="7152" max="7155" width="2.85546875" style="116" customWidth="1"/>
    <col min="7156" max="7156" width="6.5703125" style="116" customWidth="1"/>
    <col min="7157" max="7160" width="2.85546875" style="116" customWidth="1"/>
    <col min="7161" max="7161" width="6" style="116" customWidth="1"/>
    <col min="7162" max="7165" width="2.85546875" style="116" customWidth="1"/>
    <col min="7166" max="7166" width="5.5703125" style="116" customWidth="1"/>
    <col min="7167" max="7170" width="2.85546875" style="116" customWidth="1"/>
    <col min="7171" max="7171" width="7.5703125" style="116" customWidth="1"/>
    <col min="7172" max="7175" width="2.85546875" style="116" customWidth="1"/>
    <col min="7176" max="7176" width="7.42578125" style="116" customWidth="1"/>
    <col min="7177" max="7178" width="0" style="116" hidden="1" customWidth="1"/>
    <col min="7179" max="7402" width="9.140625" style="116"/>
    <col min="7403" max="7403" width="4.28515625" style="116" customWidth="1"/>
    <col min="7404" max="7404" width="25" style="116" customWidth="1"/>
    <col min="7405" max="7405" width="5.7109375" style="116" customWidth="1"/>
    <col min="7406" max="7406" width="10.140625" style="116" customWidth="1"/>
    <col min="7407" max="7407" width="17.140625" style="116" customWidth="1"/>
    <col min="7408" max="7411" width="2.85546875" style="116" customWidth="1"/>
    <col min="7412" max="7412" width="6.5703125" style="116" customWidth="1"/>
    <col min="7413" max="7416" width="2.85546875" style="116" customWidth="1"/>
    <col min="7417" max="7417" width="6" style="116" customWidth="1"/>
    <col min="7418" max="7421" width="2.85546875" style="116" customWidth="1"/>
    <col min="7422" max="7422" width="5.5703125" style="116" customWidth="1"/>
    <col min="7423" max="7426" width="2.85546875" style="116" customWidth="1"/>
    <col min="7427" max="7427" width="7.5703125" style="116" customWidth="1"/>
    <col min="7428" max="7431" width="2.85546875" style="116" customWidth="1"/>
    <col min="7432" max="7432" width="7.42578125" style="116" customWidth="1"/>
    <col min="7433" max="7434" width="0" style="116" hidden="1" customWidth="1"/>
    <col min="7435" max="7658" width="9.140625" style="116"/>
    <col min="7659" max="7659" width="4.28515625" style="116" customWidth="1"/>
    <col min="7660" max="7660" width="25" style="116" customWidth="1"/>
    <col min="7661" max="7661" width="5.7109375" style="116" customWidth="1"/>
    <col min="7662" max="7662" width="10.140625" style="116" customWidth="1"/>
    <col min="7663" max="7663" width="17.140625" style="116" customWidth="1"/>
    <col min="7664" max="7667" width="2.85546875" style="116" customWidth="1"/>
    <col min="7668" max="7668" width="6.5703125" style="116" customWidth="1"/>
    <col min="7669" max="7672" width="2.85546875" style="116" customWidth="1"/>
    <col min="7673" max="7673" width="6" style="116" customWidth="1"/>
    <col min="7674" max="7677" width="2.85546875" style="116" customWidth="1"/>
    <col min="7678" max="7678" width="5.5703125" style="116" customWidth="1"/>
    <col min="7679" max="7682" width="2.85546875" style="116" customWidth="1"/>
    <col min="7683" max="7683" width="7.5703125" style="116" customWidth="1"/>
    <col min="7684" max="7687" width="2.85546875" style="116" customWidth="1"/>
    <col min="7688" max="7688" width="7.42578125" style="116" customWidth="1"/>
    <col min="7689" max="7690" width="0" style="116" hidden="1" customWidth="1"/>
    <col min="7691" max="7914" width="9.140625" style="116"/>
    <col min="7915" max="7915" width="4.28515625" style="116" customWidth="1"/>
    <col min="7916" max="7916" width="25" style="116" customWidth="1"/>
    <col min="7917" max="7917" width="5.7109375" style="116" customWidth="1"/>
    <col min="7918" max="7918" width="10.140625" style="116" customWidth="1"/>
    <col min="7919" max="7919" width="17.140625" style="116" customWidth="1"/>
    <col min="7920" max="7923" width="2.85546875" style="116" customWidth="1"/>
    <col min="7924" max="7924" width="6.5703125" style="116" customWidth="1"/>
    <col min="7925" max="7928" width="2.85546875" style="116" customWidth="1"/>
    <col min="7929" max="7929" width="6" style="116" customWidth="1"/>
    <col min="7930" max="7933" width="2.85546875" style="116" customWidth="1"/>
    <col min="7934" max="7934" width="5.5703125" style="116" customWidth="1"/>
    <col min="7935" max="7938" width="2.85546875" style="116" customWidth="1"/>
    <col min="7939" max="7939" width="7.5703125" style="116" customWidth="1"/>
    <col min="7940" max="7943" width="2.85546875" style="116" customWidth="1"/>
    <col min="7944" max="7944" width="7.42578125" style="116" customWidth="1"/>
    <col min="7945" max="7946" width="0" style="116" hidden="1" customWidth="1"/>
    <col min="7947" max="8170" width="9.140625" style="116"/>
    <col min="8171" max="8171" width="4.28515625" style="116" customWidth="1"/>
    <col min="8172" max="8172" width="25" style="116" customWidth="1"/>
    <col min="8173" max="8173" width="5.7109375" style="116" customWidth="1"/>
    <col min="8174" max="8174" width="10.140625" style="116" customWidth="1"/>
    <col min="8175" max="8175" width="17.140625" style="116" customWidth="1"/>
    <col min="8176" max="8179" width="2.85546875" style="116" customWidth="1"/>
    <col min="8180" max="8180" width="6.5703125" style="116" customWidth="1"/>
    <col min="8181" max="8184" width="2.85546875" style="116" customWidth="1"/>
    <col min="8185" max="8185" width="6" style="116" customWidth="1"/>
    <col min="8186" max="8189" width="2.85546875" style="116" customWidth="1"/>
    <col min="8190" max="8190" width="5.5703125" style="116" customWidth="1"/>
    <col min="8191" max="8194" width="2.85546875" style="116" customWidth="1"/>
    <col min="8195" max="8195" width="7.5703125" style="116" customWidth="1"/>
    <col min="8196" max="8199" width="2.85546875" style="116" customWidth="1"/>
    <col min="8200" max="8200" width="7.42578125" style="116" customWidth="1"/>
    <col min="8201" max="8202" width="0" style="116" hidden="1" customWidth="1"/>
    <col min="8203" max="8426" width="9.140625" style="116"/>
    <col min="8427" max="8427" width="4.28515625" style="116" customWidth="1"/>
    <col min="8428" max="8428" width="25" style="116" customWidth="1"/>
    <col min="8429" max="8429" width="5.7109375" style="116" customWidth="1"/>
    <col min="8430" max="8430" width="10.140625" style="116" customWidth="1"/>
    <col min="8431" max="8431" width="17.140625" style="116" customWidth="1"/>
    <col min="8432" max="8435" width="2.85546875" style="116" customWidth="1"/>
    <col min="8436" max="8436" width="6.5703125" style="116" customWidth="1"/>
    <col min="8437" max="8440" width="2.85546875" style="116" customWidth="1"/>
    <col min="8441" max="8441" width="6" style="116" customWidth="1"/>
    <col min="8442" max="8445" width="2.85546875" style="116" customWidth="1"/>
    <col min="8446" max="8446" width="5.5703125" style="116" customWidth="1"/>
    <col min="8447" max="8450" width="2.85546875" style="116" customWidth="1"/>
    <col min="8451" max="8451" width="7.5703125" style="116" customWidth="1"/>
    <col min="8452" max="8455" width="2.85546875" style="116" customWidth="1"/>
    <col min="8456" max="8456" width="7.42578125" style="116" customWidth="1"/>
    <col min="8457" max="8458" width="0" style="116" hidden="1" customWidth="1"/>
    <col min="8459" max="8682" width="9.140625" style="116"/>
    <col min="8683" max="8683" width="4.28515625" style="116" customWidth="1"/>
    <col min="8684" max="8684" width="25" style="116" customWidth="1"/>
    <col min="8685" max="8685" width="5.7109375" style="116" customWidth="1"/>
    <col min="8686" max="8686" width="10.140625" style="116" customWidth="1"/>
    <col min="8687" max="8687" width="17.140625" style="116" customWidth="1"/>
    <col min="8688" max="8691" width="2.85546875" style="116" customWidth="1"/>
    <col min="8692" max="8692" width="6.5703125" style="116" customWidth="1"/>
    <col min="8693" max="8696" width="2.85546875" style="116" customWidth="1"/>
    <col min="8697" max="8697" width="6" style="116" customWidth="1"/>
    <col min="8698" max="8701" width="2.85546875" style="116" customWidth="1"/>
    <col min="8702" max="8702" width="5.5703125" style="116" customWidth="1"/>
    <col min="8703" max="8706" width="2.85546875" style="116" customWidth="1"/>
    <col min="8707" max="8707" width="7.5703125" style="116" customWidth="1"/>
    <col min="8708" max="8711" width="2.85546875" style="116" customWidth="1"/>
    <col min="8712" max="8712" width="7.42578125" style="116" customWidth="1"/>
    <col min="8713" max="8714" width="0" style="116" hidden="1" customWidth="1"/>
    <col min="8715" max="8938" width="9.140625" style="116"/>
    <col min="8939" max="8939" width="4.28515625" style="116" customWidth="1"/>
    <col min="8940" max="8940" width="25" style="116" customWidth="1"/>
    <col min="8941" max="8941" width="5.7109375" style="116" customWidth="1"/>
    <col min="8942" max="8942" width="10.140625" style="116" customWidth="1"/>
    <col min="8943" max="8943" width="17.140625" style="116" customWidth="1"/>
    <col min="8944" max="8947" width="2.85546875" style="116" customWidth="1"/>
    <col min="8948" max="8948" width="6.5703125" style="116" customWidth="1"/>
    <col min="8949" max="8952" width="2.85546875" style="116" customWidth="1"/>
    <col min="8953" max="8953" width="6" style="116" customWidth="1"/>
    <col min="8954" max="8957" width="2.85546875" style="116" customWidth="1"/>
    <col min="8958" max="8958" width="5.5703125" style="116" customWidth="1"/>
    <col min="8959" max="8962" width="2.85546875" style="116" customWidth="1"/>
    <col min="8963" max="8963" width="7.5703125" style="116" customWidth="1"/>
    <col min="8964" max="8967" width="2.85546875" style="116" customWidth="1"/>
    <col min="8968" max="8968" width="7.42578125" style="116" customWidth="1"/>
    <col min="8969" max="8970" width="0" style="116" hidden="1" customWidth="1"/>
    <col min="8971" max="9194" width="9.140625" style="116"/>
    <col min="9195" max="9195" width="4.28515625" style="116" customWidth="1"/>
    <col min="9196" max="9196" width="25" style="116" customWidth="1"/>
    <col min="9197" max="9197" width="5.7109375" style="116" customWidth="1"/>
    <col min="9198" max="9198" width="10.140625" style="116" customWidth="1"/>
    <col min="9199" max="9199" width="17.140625" style="116" customWidth="1"/>
    <col min="9200" max="9203" width="2.85546875" style="116" customWidth="1"/>
    <col min="9204" max="9204" width="6.5703125" style="116" customWidth="1"/>
    <col min="9205" max="9208" width="2.85546875" style="116" customWidth="1"/>
    <col min="9209" max="9209" width="6" style="116" customWidth="1"/>
    <col min="9210" max="9213" width="2.85546875" style="116" customWidth="1"/>
    <col min="9214" max="9214" width="5.5703125" style="116" customWidth="1"/>
    <col min="9215" max="9218" width="2.85546875" style="116" customWidth="1"/>
    <col min="9219" max="9219" width="7.5703125" style="116" customWidth="1"/>
    <col min="9220" max="9223" width="2.85546875" style="116" customWidth="1"/>
    <col min="9224" max="9224" width="7.42578125" style="116" customWidth="1"/>
    <col min="9225" max="9226" width="0" style="116" hidden="1" customWidth="1"/>
    <col min="9227" max="9450" width="9.140625" style="116"/>
    <col min="9451" max="9451" width="4.28515625" style="116" customWidth="1"/>
    <col min="9452" max="9452" width="25" style="116" customWidth="1"/>
    <col min="9453" max="9453" width="5.7109375" style="116" customWidth="1"/>
    <col min="9454" max="9454" width="10.140625" style="116" customWidth="1"/>
    <col min="9455" max="9455" width="17.140625" style="116" customWidth="1"/>
    <col min="9456" max="9459" width="2.85546875" style="116" customWidth="1"/>
    <col min="9460" max="9460" width="6.5703125" style="116" customWidth="1"/>
    <col min="9461" max="9464" width="2.85546875" style="116" customWidth="1"/>
    <col min="9465" max="9465" width="6" style="116" customWidth="1"/>
    <col min="9466" max="9469" width="2.85546875" style="116" customWidth="1"/>
    <col min="9470" max="9470" width="5.5703125" style="116" customWidth="1"/>
    <col min="9471" max="9474" width="2.85546875" style="116" customWidth="1"/>
    <col min="9475" max="9475" width="7.5703125" style="116" customWidth="1"/>
    <col min="9476" max="9479" width="2.85546875" style="116" customWidth="1"/>
    <col min="9480" max="9480" width="7.42578125" style="116" customWidth="1"/>
    <col min="9481" max="9482" width="0" style="116" hidden="1" customWidth="1"/>
    <col min="9483" max="9706" width="9.140625" style="116"/>
    <col min="9707" max="9707" width="4.28515625" style="116" customWidth="1"/>
    <col min="9708" max="9708" width="25" style="116" customWidth="1"/>
    <col min="9709" max="9709" width="5.7109375" style="116" customWidth="1"/>
    <col min="9710" max="9710" width="10.140625" style="116" customWidth="1"/>
    <col min="9711" max="9711" width="17.140625" style="116" customWidth="1"/>
    <col min="9712" max="9715" width="2.85546875" style="116" customWidth="1"/>
    <col min="9716" max="9716" width="6.5703125" style="116" customWidth="1"/>
    <col min="9717" max="9720" width="2.85546875" style="116" customWidth="1"/>
    <col min="9721" max="9721" width="6" style="116" customWidth="1"/>
    <col min="9722" max="9725" width="2.85546875" style="116" customWidth="1"/>
    <col min="9726" max="9726" width="5.5703125" style="116" customWidth="1"/>
    <col min="9727" max="9730" width="2.85546875" style="116" customWidth="1"/>
    <col min="9731" max="9731" width="7.5703125" style="116" customWidth="1"/>
    <col min="9732" max="9735" width="2.85546875" style="116" customWidth="1"/>
    <col min="9736" max="9736" width="7.42578125" style="116" customWidth="1"/>
    <col min="9737" max="9738" width="0" style="116" hidden="1" customWidth="1"/>
    <col min="9739" max="9962" width="9.140625" style="116"/>
    <col min="9963" max="9963" width="4.28515625" style="116" customWidth="1"/>
    <col min="9964" max="9964" width="25" style="116" customWidth="1"/>
    <col min="9965" max="9965" width="5.7109375" style="116" customWidth="1"/>
    <col min="9966" max="9966" width="10.140625" style="116" customWidth="1"/>
    <col min="9967" max="9967" width="17.140625" style="116" customWidth="1"/>
    <col min="9968" max="9971" width="2.85546875" style="116" customWidth="1"/>
    <col min="9972" max="9972" width="6.5703125" style="116" customWidth="1"/>
    <col min="9973" max="9976" width="2.85546875" style="116" customWidth="1"/>
    <col min="9977" max="9977" width="6" style="116" customWidth="1"/>
    <col min="9978" max="9981" width="2.85546875" style="116" customWidth="1"/>
    <col min="9982" max="9982" width="5.5703125" style="116" customWidth="1"/>
    <col min="9983" max="9986" width="2.85546875" style="116" customWidth="1"/>
    <col min="9987" max="9987" width="7.5703125" style="116" customWidth="1"/>
    <col min="9988" max="9991" width="2.85546875" style="116" customWidth="1"/>
    <col min="9992" max="9992" width="7.42578125" style="116" customWidth="1"/>
    <col min="9993" max="9994" width="0" style="116" hidden="1" customWidth="1"/>
    <col min="9995" max="10218" width="9.140625" style="116"/>
    <col min="10219" max="10219" width="4.28515625" style="116" customWidth="1"/>
    <col min="10220" max="10220" width="25" style="116" customWidth="1"/>
    <col min="10221" max="10221" width="5.7109375" style="116" customWidth="1"/>
    <col min="10222" max="10222" width="10.140625" style="116" customWidth="1"/>
    <col min="10223" max="10223" width="17.140625" style="116" customWidth="1"/>
    <col min="10224" max="10227" width="2.85546875" style="116" customWidth="1"/>
    <col min="10228" max="10228" width="6.5703125" style="116" customWidth="1"/>
    <col min="10229" max="10232" width="2.85546875" style="116" customWidth="1"/>
    <col min="10233" max="10233" width="6" style="116" customWidth="1"/>
    <col min="10234" max="10237" width="2.85546875" style="116" customWidth="1"/>
    <col min="10238" max="10238" width="5.5703125" style="116" customWidth="1"/>
    <col min="10239" max="10242" width="2.85546875" style="116" customWidth="1"/>
    <col min="10243" max="10243" width="7.5703125" style="116" customWidth="1"/>
    <col min="10244" max="10247" width="2.85546875" style="116" customWidth="1"/>
    <col min="10248" max="10248" width="7.42578125" style="116" customWidth="1"/>
    <col min="10249" max="10250" width="0" style="116" hidden="1" customWidth="1"/>
    <col min="10251" max="10474" width="9.140625" style="116"/>
    <col min="10475" max="10475" width="4.28515625" style="116" customWidth="1"/>
    <col min="10476" max="10476" width="25" style="116" customWidth="1"/>
    <col min="10477" max="10477" width="5.7109375" style="116" customWidth="1"/>
    <col min="10478" max="10478" width="10.140625" style="116" customWidth="1"/>
    <col min="10479" max="10479" width="17.140625" style="116" customWidth="1"/>
    <col min="10480" max="10483" width="2.85546875" style="116" customWidth="1"/>
    <col min="10484" max="10484" width="6.5703125" style="116" customWidth="1"/>
    <col min="10485" max="10488" width="2.85546875" style="116" customWidth="1"/>
    <col min="10489" max="10489" width="6" style="116" customWidth="1"/>
    <col min="10490" max="10493" width="2.85546875" style="116" customWidth="1"/>
    <col min="10494" max="10494" width="5.5703125" style="116" customWidth="1"/>
    <col min="10495" max="10498" width="2.85546875" style="116" customWidth="1"/>
    <col min="10499" max="10499" width="7.5703125" style="116" customWidth="1"/>
    <col min="10500" max="10503" width="2.85546875" style="116" customWidth="1"/>
    <col min="10504" max="10504" width="7.42578125" style="116" customWidth="1"/>
    <col min="10505" max="10506" width="0" style="116" hidden="1" customWidth="1"/>
    <col min="10507" max="10730" width="9.140625" style="116"/>
    <col min="10731" max="10731" width="4.28515625" style="116" customWidth="1"/>
    <col min="10732" max="10732" width="25" style="116" customWidth="1"/>
    <col min="10733" max="10733" width="5.7109375" style="116" customWidth="1"/>
    <col min="10734" max="10734" width="10.140625" style="116" customWidth="1"/>
    <col min="10735" max="10735" width="17.140625" style="116" customWidth="1"/>
    <col min="10736" max="10739" width="2.85546875" style="116" customWidth="1"/>
    <col min="10740" max="10740" width="6.5703125" style="116" customWidth="1"/>
    <col min="10741" max="10744" width="2.85546875" style="116" customWidth="1"/>
    <col min="10745" max="10745" width="6" style="116" customWidth="1"/>
    <col min="10746" max="10749" width="2.85546875" style="116" customWidth="1"/>
    <col min="10750" max="10750" width="5.5703125" style="116" customWidth="1"/>
    <col min="10751" max="10754" width="2.85546875" style="116" customWidth="1"/>
    <col min="10755" max="10755" width="7.5703125" style="116" customWidth="1"/>
    <col min="10756" max="10759" width="2.85546875" style="116" customWidth="1"/>
    <col min="10760" max="10760" width="7.42578125" style="116" customWidth="1"/>
    <col min="10761" max="10762" width="0" style="116" hidden="1" customWidth="1"/>
    <col min="10763" max="10986" width="9.140625" style="116"/>
    <col min="10987" max="10987" width="4.28515625" style="116" customWidth="1"/>
    <col min="10988" max="10988" width="25" style="116" customWidth="1"/>
    <col min="10989" max="10989" width="5.7109375" style="116" customWidth="1"/>
    <col min="10990" max="10990" width="10.140625" style="116" customWidth="1"/>
    <col min="10991" max="10991" width="17.140625" style="116" customWidth="1"/>
    <col min="10992" max="10995" width="2.85546875" style="116" customWidth="1"/>
    <col min="10996" max="10996" width="6.5703125" style="116" customWidth="1"/>
    <col min="10997" max="11000" width="2.85546875" style="116" customWidth="1"/>
    <col min="11001" max="11001" width="6" style="116" customWidth="1"/>
    <col min="11002" max="11005" width="2.85546875" style="116" customWidth="1"/>
    <col min="11006" max="11006" width="5.5703125" style="116" customWidth="1"/>
    <col min="11007" max="11010" width="2.85546875" style="116" customWidth="1"/>
    <col min="11011" max="11011" width="7.5703125" style="116" customWidth="1"/>
    <col min="11012" max="11015" width="2.85546875" style="116" customWidth="1"/>
    <col min="11016" max="11016" width="7.42578125" style="116" customWidth="1"/>
    <col min="11017" max="11018" width="0" style="116" hidden="1" customWidth="1"/>
    <col min="11019" max="11242" width="9.140625" style="116"/>
    <col min="11243" max="11243" width="4.28515625" style="116" customWidth="1"/>
    <col min="11244" max="11244" width="25" style="116" customWidth="1"/>
    <col min="11245" max="11245" width="5.7109375" style="116" customWidth="1"/>
    <col min="11246" max="11246" width="10.140625" style="116" customWidth="1"/>
    <col min="11247" max="11247" width="17.140625" style="116" customWidth="1"/>
    <col min="11248" max="11251" width="2.85546875" style="116" customWidth="1"/>
    <col min="11252" max="11252" width="6.5703125" style="116" customWidth="1"/>
    <col min="11253" max="11256" width="2.85546875" style="116" customWidth="1"/>
    <col min="11257" max="11257" width="6" style="116" customWidth="1"/>
    <col min="11258" max="11261" width="2.85546875" style="116" customWidth="1"/>
    <col min="11262" max="11262" width="5.5703125" style="116" customWidth="1"/>
    <col min="11263" max="11266" width="2.85546875" style="116" customWidth="1"/>
    <col min="11267" max="11267" width="7.5703125" style="116" customWidth="1"/>
    <col min="11268" max="11271" width="2.85546875" style="116" customWidth="1"/>
    <col min="11272" max="11272" width="7.42578125" style="116" customWidth="1"/>
    <col min="11273" max="11274" width="0" style="116" hidden="1" customWidth="1"/>
    <col min="11275" max="11498" width="9.140625" style="116"/>
    <col min="11499" max="11499" width="4.28515625" style="116" customWidth="1"/>
    <col min="11500" max="11500" width="25" style="116" customWidth="1"/>
    <col min="11501" max="11501" width="5.7109375" style="116" customWidth="1"/>
    <col min="11502" max="11502" width="10.140625" style="116" customWidth="1"/>
    <col min="11503" max="11503" width="17.140625" style="116" customWidth="1"/>
    <col min="11504" max="11507" width="2.85546875" style="116" customWidth="1"/>
    <col min="11508" max="11508" width="6.5703125" style="116" customWidth="1"/>
    <col min="11509" max="11512" width="2.85546875" style="116" customWidth="1"/>
    <col min="11513" max="11513" width="6" style="116" customWidth="1"/>
    <col min="11514" max="11517" width="2.85546875" style="116" customWidth="1"/>
    <col min="11518" max="11518" width="5.5703125" style="116" customWidth="1"/>
    <col min="11519" max="11522" width="2.85546875" style="116" customWidth="1"/>
    <col min="11523" max="11523" width="7.5703125" style="116" customWidth="1"/>
    <col min="11524" max="11527" width="2.85546875" style="116" customWidth="1"/>
    <col min="11528" max="11528" width="7.42578125" style="116" customWidth="1"/>
    <col min="11529" max="11530" width="0" style="116" hidden="1" customWidth="1"/>
    <col min="11531" max="11754" width="9.140625" style="116"/>
    <col min="11755" max="11755" width="4.28515625" style="116" customWidth="1"/>
    <col min="11756" max="11756" width="25" style="116" customWidth="1"/>
    <col min="11757" max="11757" width="5.7109375" style="116" customWidth="1"/>
    <col min="11758" max="11758" width="10.140625" style="116" customWidth="1"/>
    <col min="11759" max="11759" width="17.140625" style="116" customWidth="1"/>
    <col min="11760" max="11763" width="2.85546875" style="116" customWidth="1"/>
    <col min="11764" max="11764" width="6.5703125" style="116" customWidth="1"/>
    <col min="11765" max="11768" width="2.85546875" style="116" customWidth="1"/>
    <col min="11769" max="11769" width="6" style="116" customWidth="1"/>
    <col min="11770" max="11773" width="2.85546875" style="116" customWidth="1"/>
    <col min="11774" max="11774" width="5.5703125" style="116" customWidth="1"/>
    <col min="11775" max="11778" width="2.85546875" style="116" customWidth="1"/>
    <col min="11779" max="11779" width="7.5703125" style="116" customWidth="1"/>
    <col min="11780" max="11783" width="2.85546875" style="116" customWidth="1"/>
    <col min="11784" max="11784" width="7.42578125" style="116" customWidth="1"/>
    <col min="11785" max="11786" width="0" style="116" hidden="1" customWidth="1"/>
    <col min="11787" max="12010" width="9.140625" style="116"/>
    <col min="12011" max="12011" width="4.28515625" style="116" customWidth="1"/>
    <col min="12012" max="12012" width="25" style="116" customWidth="1"/>
    <col min="12013" max="12013" width="5.7109375" style="116" customWidth="1"/>
    <col min="12014" max="12014" width="10.140625" style="116" customWidth="1"/>
    <col min="12015" max="12015" width="17.140625" style="116" customWidth="1"/>
    <col min="12016" max="12019" width="2.85546875" style="116" customWidth="1"/>
    <col min="12020" max="12020" width="6.5703125" style="116" customWidth="1"/>
    <col min="12021" max="12024" width="2.85546875" style="116" customWidth="1"/>
    <col min="12025" max="12025" width="6" style="116" customWidth="1"/>
    <col min="12026" max="12029" width="2.85546875" style="116" customWidth="1"/>
    <col min="12030" max="12030" width="5.5703125" style="116" customWidth="1"/>
    <col min="12031" max="12034" width="2.85546875" style="116" customWidth="1"/>
    <col min="12035" max="12035" width="7.5703125" style="116" customWidth="1"/>
    <col min="12036" max="12039" width="2.85546875" style="116" customWidth="1"/>
    <col min="12040" max="12040" width="7.42578125" style="116" customWidth="1"/>
    <col min="12041" max="12042" width="0" style="116" hidden="1" customWidth="1"/>
    <col min="12043" max="12266" width="9.140625" style="116"/>
    <col min="12267" max="12267" width="4.28515625" style="116" customWidth="1"/>
    <col min="12268" max="12268" width="25" style="116" customWidth="1"/>
    <col min="12269" max="12269" width="5.7109375" style="116" customWidth="1"/>
    <col min="12270" max="12270" width="10.140625" style="116" customWidth="1"/>
    <col min="12271" max="12271" width="17.140625" style="116" customWidth="1"/>
    <col min="12272" max="12275" width="2.85546875" style="116" customWidth="1"/>
    <col min="12276" max="12276" width="6.5703125" style="116" customWidth="1"/>
    <col min="12277" max="12280" width="2.85546875" style="116" customWidth="1"/>
    <col min="12281" max="12281" width="6" style="116" customWidth="1"/>
    <col min="12282" max="12285" width="2.85546875" style="116" customWidth="1"/>
    <col min="12286" max="12286" width="5.5703125" style="116" customWidth="1"/>
    <col min="12287" max="12290" width="2.85546875" style="116" customWidth="1"/>
    <col min="12291" max="12291" width="7.5703125" style="116" customWidth="1"/>
    <col min="12292" max="12295" width="2.85546875" style="116" customWidth="1"/>
    <col min="12296" max="12296" width="7.42578125" style="116" customWidth="1"/>
    <col min="12297" max="12298" width="0" style="116" hidden="1" customWidth="1"/>
    <col min="12299" max="12522" width="9.140625" style="116"/>
    <col min="12523" max="12523" width="4.28515625" style="116" customWidth="1"/>
    <col min="12524" max="12524" width="25" style="116" customWidth="1"/>
    <col min="12525" max="12525" width="5.7109375" style="116" customWidth="1"/>
    <col min="12526" max="12526" width="10.140625" style="116" customWidth="1"/>
    <col min="12527" max="12527" width="17.140625" style="116" customWidth="1"/>
    <col min="12528" max="12531" width="2.85546875" style="116" customWidth="1"/>
    <col min="12532" max="12532" width="6.5703125" style="116" customWidth="1"/>
    <col min="12533" max="12536" width="2.85546875" style="116" customWidth="1"/>
    <col min="12537" max="12537" width="6" style="116" customWidth="1"/>
    <col min="12538" max="12541" width="2.85546875" style="116" customWidth="1"/>
    <col min="12542" max="12542" width="5.5703125" style="116" customWidth="1"/>
    <col min="12543" max="12546" width="2.85546875" style="116" customWidth="1"/>
    <col min="12547" max="12547" width="7.5703125" style="116" customWidth="1"/>
    <col min="12548" max="12551" width="2.85546875" style="116" customWidth="1"/>
    <col min="12552" max="12552" width="7.42578125" style="116" customWidth="1"/>
    <col min="12553" max="12554" width="0" style="116" hidden="1" customWidth="1"/>
    <col min="12555" max="12778" width="9.140625" style="116"/>
    <col min="12779" max="12779" width="4.28515625" style="116" customWidth="1"/>
    <col min="12780" max="12780" width="25" style="116" customWidth="1"/>
    <col min="12781" max="12781" width="5.7109375" style="116" customWidth="1"/>
    <col min="12782" max="12782" width="10.140625" style="116" customWidth="1"/>
    <col min="12783" max="12783" width="17.140625" style="116" customWidth="1"/>
    <col min="12784" max="12787" width="2.85546875" style="116" customWidth="1"/>
    <col min="12788" max="12788" width="6.5703125" style="116" customWidth="1"/>
    <col min="12789" max="12792" width="2.85546875" style="116" customWidth="1"/>
    <col min="12793" max="12793" width="6" style="116" customWidth="1"/>
    <col min="12794" max="12797" width="2.85546875" style="116" customWidth="1"/>
    <col min="12798" max="12798" width="5.5703125" style="116" customWidth="1"/>
    <col min="12799" max="12802" width="2.85546875" style="116" customWidth="1"/>
    <col min="12803" max="12803" width="7.5703125" style="116" customWidth="1"/>
    <col min="12804" max="12807" width="2.85546875" style="116" customWidth="1"/>
    <col min="12808" max="12808" width="7.42578125" style="116" customWidth="1"/>
    <col min="12809" max="12810" width="0" style="116" hidden="1" customWidth="1"/>
    <col min="12811" max="13034" width="9.140625" style="116"/>
    <col min="13035" max="13035" width="4.28515625" style="116" customWidth="1"/>
    <col min="13036" max="13036" width="25" style="116" customWidth="1"/>
    <col min="13037" max="13037" width="5.7109375" style="116" customWidth="1"/>
    <col min="13038" max="13038" width="10.140625" style="116" customWidth="1"/>
    <col min="13039" max="13039" width="17.140625" style="116" customWidth="1"/>
    <col min="13040" max="13043" width="2.85546875" style="116" customWidth="1"/>
    <col min="13044" max="13044" width="6.5703125" style="116" customWidth="1"/>
    <col min="13045" max="13048" width="2.85546875" style="116" customWidth="1"/>
    <col min="13049" max="13049" width="6" style="116" customWidth="1"/>
    <col min="13050" max="13053" width="2.85546875" style="116" customWidth="1"/>
    <col min="13054" max="13054" width="5.5703125" style="116" customWidth="1"/>
    <col min="13055" max="13058" width="2.85546875" style="116" customWidth="1"/>
    <col min="13059" max="13059" width="7.5703125" style="116" customWidth="1"/>
    <col min="13060" max="13063" width="2.85546875" style="116" customWidth="1"/>
    <col min="13064" max="13064" width="7.42578125" style="116" customWidth="1"/>
    <col min="13065" max="13066" width="0" style="116" hidden="1" customWidth="1"/>
    <col min="13067" max="13290" width="9.140625" style="116"/>
    <col min="13291" max="13291" width="4.28515625" style="116" customWidth="1"/>
    <col min="13292" max="13292" width="25" style="116" customWidth="1"/>
    <col min="13293" max="13293" width="5.7109375" style="116" customWidth="1"/>
    <col min="13294" max="13294" width="10.140625" style="116" customWidth="1"/>
    <col min="13295" max="13295" width="17.140625" style="116" customWidth="1"/>
    <col min="13296" max="13299" width="2.85546875" style="116" customWidth="1"/>
    <col min="13300" max="13300" width="6.5703125" style="116" customWidth="1"/>
    <col min="13301" max="13304" width="2.85546875" style="116" customWidth="1"/>
    <col min="13305" max="13305" width="6" style="116" customWidth="1"/>
    <col min="13306" max="13309" width="2.85546875" style="116" customWidth="1"/>
    <col min="13310" max="13310" width="5.5703125" style="116" customWidth="1"/>
    <col min="13311" max="13314" width="2.85546875" style="116" customWidth="1"/>
    <col min="13315" max="13315" width="7.5703125" style="116" customWidth="1"/>
    <col min="13316" max="13319" width="2.85546875" style="116" customWidth="1"/>
    <col min="13320" max="13320" width="7.42578125" style="116" customWidth="1"/>
    <col min="13321" max="13322" width="0" style="116" hidden="1" customWidth="1"/>
    <col min="13323" max="13546" width="9.140625" style="116"/>
    <col min="13547" max="13547" width="4.28515625" style="116" customWidth="1"/>
    <col min="13548" max="13548" width="25" style="116" customWidth="1"/>
    <col min="13549" max="13549" width="5.7109375" style="116" customWidth="1"/>
    <col min="13550" max="13550" width="10.140625" style="116" customWidth="1"/>
    <col min="13551" max="13551" width="17.140625" style="116" customWidth="1"/>
    <col min="13552" max="13555" width="2.85546875" style="116" customWidth="1"/>
    <col min="13556" max="13556" width="6.5703125" style="116" customWidth="1"/>
    <col min="13557" max="13560" width="2.85546875" style="116" customWidth="1"/>
    <col min="13561" max="13561" width="6" style="116" customWidth="1"/>
    <col min="13562" max="13565" width="2.85546875" style="116" customWidth="1"/>
    <col min="13566" max="13566" width="5.5703125" style="116" customWidth="1"/>
    <col min="13567" max="13570" width="2.85546875" style="116" customWidth="1"/>
    <col min="13571" max="13571" width="7.5703125" style="116" customWidth="1"/>
    <col min="13572" max="13575" width="2.85546875" style="116" customWidth="1"/>
    <col min="13576" max="13576" width="7.42578125" style="116" customWidth="1"/>
    <col min="13577" max="13578" width="0" style="116" hidden="1" customWidth="1"/>
    <col min="13579" max="13802" width="9.140625" style="116"/>
    <col min="13803" max="13803" width="4.28515625" style="116" customWidth="1"/>
    <col min="13804" max="13804" width="25" style="116" customWidth="1"/>
    <col min="13805" max="13805" width="5.7109375" style="116" customWidth="1"/>
    <col min="13806" max="13806" width="10.140625" style="116" customWidth="1"/>
    <col min="13807" max="13807" width="17.140625" style="116" customWidth="1"/>
    <col min="13808" max="13811" width="2.85546875" style="116" customWidth="1"/>
    <col min="13812" max="13812" width="6.5703125" style="116" customWidth="1"/>
    <col min="13813" max="13816" width="2.85546875" style="116" customWidth="1"/>
    <col min="13817" max="13817" width="6" style="116" customWidth="1"/>
    <col min="13818" max="13821" width="2.85546875" style="116" customWidth="1"/>
    <col min="13822" max="13822" width="5.5703125" style="116" customWidth="1"/>
    <col min="13823" max="13826" width="2.85546875" style="116" customWidth="1"/>
    <col min="13827" max="13827" width="7.5703125" style="116" customWidth="1"/>
    <col min="13828" max="13831" width="2.85546875" style="116" customWidth="1"/>
    <col min="13832" max="13832" width="7.42578125" style="116" customWidth="1"/>
    <col min="13833" max="13834" width="0" style="116" hidden="1" customWidth="1"/>
    <col min="13835" max="14058" width="9.140625" style="116"/>
    <col min="14059" max="14059" width="4.28515625" style="116" customWidth="1"/>
    <col min="14060" max="14060" width="25" style="116" customWidth="1"/>
    <col min="14061" max="14061" width="5.7109375" style="116" customWidth="1"/>
    <col min="14062" max="14062" width="10.140625" style="116" customWidth="1"/>
    <col min="14063" max="14063" width="17.140625" style="116" customWidth="1"/>
    <col min="14064" max="14067" width="2.85546875" style="116" customWidth="1"/>
    <col min="14068" max="14068" width="6.5703125" style="116" customWidth="1"/>
    <col min="14069" max="14072" width="2.85546875" style="116" customWidth="1"/>
    <col min="14073" max="14073" width="6" style="116" customWidth="1"/>
    <col min="14074" max="14077" width="2.85546875" style="116" customWidth="1"/>
    <col min="14078" max="14078" width="5.5703125" style="116" customWidth="1"/>
    <col min="14079" max="14082" width="2.85546875" style="116" customWidth="1"/>
    <col min="14083" max="14083" width="7.5703125" style="116" customWidth="1"/>
    <col min="14084" max="14087" width="2.85546875" style="116" customWidth="1"/>
    <col min="14088" max="14088" width="7.42578125" style="116" customWidth="1"/>
    <col min="14089" max="14090" width="0" style="116" hidden="1" customWidth="1"/>
    <col min="14091" max="14314" width="9.140625" style="116"/>
    <col min="14315" max="14315" width="4.28515625" style="116" customWidth="1"/>
    <col min="14316" max="14316" width="25" style="116" customWidth="1"/>
    <col min="14317" max="14317" width="5.7109375" style="116" customWidth="1"/>
    <col min="14318" max="14318" width="10.140625" style="116" customWidth="1"/>
    <col min="14319" max="14319" width="17.140625" style="116" customWidth="1"/>
    <col min="14320" max="14323" width="2.85546875" style="116" customWidth="1"/>
    <col min="14324" max="14324" width="6.5703125" style="116" customWidth="1"/>
    <col min="14325" max="14328" width="2.85546875" style="116" customWidth="1"/>
    <col min="14329" max="14329" width="6" style="116" customWidth="1"/>
    <col min="14330" max="14333" width="2.85546875" style="116" customWidth="1"/>
    <col min="14334" max="14334" width="5.5703125" style="116" customWidth="1"/>
    <col min="14335" max="14338" width="2.85546875" style="116" customWidth="1"/>
    <col min="14339" max="14339" width="7.5703125" style="116" customWidth="1"/>
    <col min="14340" max="14343" width="2.85546875" style="116" customWidth="1"/>
    <col min="14344" max="14344" width="7.42578125" style="116" customWidth="1"/>
    <col min="14345" max="14346" width="0" style="116" hidden="1" customWidth="1"/>
    <col min="14347" max="14570" width="9.140625" style="116"/>
    <col min="14571" max="14571" width="4.28515625" style="116" customWidth="1"/>
    <col min="14572" max="14572" width="25" style="116" customWidth="1"/>
    <col min="14573" max="14573" width="5.7109375" style="116" customWidth="1"/>
    <col min="14574" max="14574" width="10.140625" style="116" customWidth="1"/>
    <col min="14575" max="14575" width="17.140625" style="116" customWidth="1"/>
    <col min="14576" max="14579" width="2.85546875" style="116" customWidth="1"/>
    <col min="14580" max="14580" width="6.5703125" style="116" customWidth="1"/>
    <col min="14581" max="14584" width="2.85546875" style="116" customWidth="1"/>
    <col min="14585" max="14585" width="6" style="116" customWidth="1"/>
    <col min="14586" max="14589" width="2.85546875" style="116" customWidth="1"/>
    <col min="14590" max="14590" width="5.5703125" style="116" customWidth="1"/>
    <col min="14591" max="14594" width="2.85546875" style="116" customWidth="1"/>
    <col min="14595" max="14595" width="7.5703125" style="116" customWidth="1"/>
    <col min="14596" max="14599" width="2.85546875" style="116" customWidth="1"/>
    <col min="14600" max="14600" width="7.42578125" style="116" customWidth="1"/>
    <col min="14601" max="14602" width="0" style="116" hidden="1" customWidth="1"/>
    <col min="14603" max="14826" width="9.140625" style="116"/>
    <col min="14827" max="14827" width="4.28515625" style="116" customWidth="1"/>
    <col min="14828" max="14828" width="25" style="116" customWidth="1"/>
    <col min="14829" max="14829" width="5.7109375" style="116" customWidth="1"/>
    <col min="14830" max="14830" width="10.140625" style="116" customWidth="1"/>
    <col min="14831" max="14831" width="17.140625" style="116" customWidth="1"/>
    <col min="14832" max="14835" width="2.85546875" style="116" customWidth="1"/>
    <col min="14836" max="14836" width="6.5703125" style="116" customWidth="1"/>
    <col min="14837" max="14840" width="2.85546875" style="116" customWidth="1"/>
    <col min="14841" max="14841" width="6" style="116" customWidth="1"/>
    <col min="14842" max="14845" width="2.85546875" style="116" customWidth="1"/>
    <col min="14846" max="14846" width="5.5703125" style="116" customWidth="1"/>
    <col min="14847" max="14850" width="2.85546875" style="116" customWidth="1"/>
    <col min="14851" max="14851" width="7.5703125" style="116" customWidth="1"/>
    <col min="14852" max="14855" width="2.85546875" style="116" customWidth="1"/>
    <col min="14856" max="14856" width="7.42578125" style="116" customWidth="1"/>
    <col min="14857" max="14858" width="0" style="116" hidden="1" customWidth="1"/>
    <col min="14859" max="15082" width="9.140625" style="116"/>
    <col min="15083" max="15083" width="4.28515625" style="116" customWidth="1"/>
    <col min="15084" max="15084" width="25" style="116" customWidth="1"/>
    <col min="15085" max="15085" width="5.7109375" style="116" customWidth="1"/>
    <col min="15086" max="15086" width="10.140625" style="116" customWidth="1"/>
    <col min="15087" max="15087" width="17.140625" style="116" customWidth="1"/>
    <col min="15088" max="15091" width="2.85546875" style="116" customWidth="1"/>
    <col min="15092" max="15092" width="6.5703125" style="116" customWidth="1"/>
    <col min="15093" max="15096" width="2.85546875" style="116" customWidth="1"/>
    <col min="15097" max="15097" width="6" style="116" customWidth="1"/>
    <col min="15098" max="15101" width="2.85546875" style="116" customWidth="1"/>
    <col min="15102" max="15102" width="5.5703125" style="116" customWidth="1"/>
    <col min="15103" max="15106" width="2.85546875" style="116" customWidth="1"/>
    <col min="15107" max="15107" width="7.5703125" style="116" customWidth="1"/>
    <col min="15108" max="15111" width="2.85546875" style="116" customWidth="1"/>
    <col min="15112" max="15112" width="7.42578125" style="116" customWidth="1"/>
    <col min="15113" max="15114" width="0" style="116" hidden="1" customWidth="1"/>
    <col min="15115" max="15338" width="9.140625" style="116"/>
    <col min="15339" max="15339" width="4.28515625" style="116" customWidth="1"/>
    <col min="15340" max="15340" width="25" style="116" customWidth="1"/>
    <col min="15341" max="15341" width="5.7109375" style="116" customWidth="1"/>
    <col min="15342" max="15342" width="10.140625" style="116" customWidth="1"/>
    <col min="15343" max="15343" width="17.140625" style="116" customWidth="1"/>
    <col min="15344" max="15347" width="2.85546875" style="116" customWidth="1"/>
    <col min="15348" max="15348" width="6.5703125" style="116" customWidth="1"/>
    <col min="15349" max="15352" width="2.85546875" style="116" customWidth="1"/>
    <col min="15353" max="15353" width="6" style="116" customWidth="1"/>
    <col min="15354" max="15357" width="2.85546875" style="116" customWidth="1"/>
    <col min="15358" max="15358" width="5.5703125" style="116" customWidth="1"/>
    <col min="15359" max="15362" width="2.85546875" style="116" customWidth="1"/>
    <col min="15363" max="15363" width="7.5703125" style="116" customWidth="1"/>
    <col min="15364" max="15367" width="2.85546875" style="116" customWidth="1"/>
    <col min="15368" max="15368" width="7.42578125" style="116" customWidth="1"/>
    <col min="15369" max="15370" width="0" style="116" hidden="1" customWidth="1"/>
    <col min="15371" max="15594" width="9.140625" style="116"/>
    <col min="15595" max="15595" width="4.28515625" style="116" customWidth="1"/>
    <col min="15596" max="15596" width="25" style="116" customWidth="1"/>
    <col min="15597" max="15597" width="5.7109375" style="116" customWidth="1"/>
    <col min="15598" max="15598" width="10.140625" style="116" customWidth="1"/>
    <col min="15599" max="15599" width="17.140625" style="116" customWidth="1"/>
    <col min="15600" max="15603" width="2.85546875" style="116" customWidth="1"/>
    <col min="15604" max="15604" width="6.5703125" style="116" customWidth="1"/>
    <col min="15605" max="15608" width="2.85546875" style="116" customWidth="1"/>
    <col min="15609" max="15609" width="6" style="116" customWidth="1"/>
    <col min="15610" max="15613" width="2.85546875" style="116" customWidth="1"/>
    <col min="15614" max="15614" width="5.5703125" style="116" customWidth="1"/>
    <col min="15615" max="15618" width="2.85546875" style="116" customWidth="1"/>
    <col min="15619" max="15619" width="7.5703125" style="116" customWidth="1"/>
    <col min="15620" max="15623" width="2.85546875" style="116" customWidth="1"/>
    <col min="15624" max="15624" width="7.42578125" style="116" customWidth="1"/>
    <col min="15625" max="15626" width="0" style="116" hidden="1" customWidth="1"/>
    <col min="15627" max="15850" width="9.140625" style="116"/>
    <col min="15851" max="15851" width="4.28515625" style="116" customWidth="1"/>
    <col min="15852" max="15852" width="25" style="116" customWidth="1"/>
    <col min="15853" max="15853" width="5.7109375" style="116" customWidth="1"/>
    <col min="15854" max="15854" width="10.140625" style="116" customWidth="1"/>
    <col min="15855" max="15855" width="17.140625" style="116" customWidth="1"/>
    <col min="15856" max="15859" width="2.85546875" style="116" customWidth="1"/>
    <col min="15860" max="15860" width="6.5703125" style="116" customWidth="1"/>
    <col min="15861" max="15864" width="2.85546875" style="116" customWidth="1"/>
    <col min="15865" max="15865" width="6" style="116" customWidth="1"/>
    <col min="15866" max="15869" width="2.85546875" style="116" customWidth="1"/>
    <col min="15870" max="15870" width="5.5703125" style="116" customWidth="1"/>
    <col min="15871" max="15874" width="2.85546875" style="116" customWidth="1"/>
    <col min="15875" max="15875" width="7.5703125" style="116" customWidth="1"/>
    <col min="15876" max="15879" width="2.85546875" style="116" customWidth="1"/>
    <col min="15880" max="15880" width="7.42578125" style="116" customWidth="1"/>
    <col min="15881" max="15882" width="0" style="116" hidden="1" customWidth="1"/>
    <col min="15883" max="16106" width="9.140625" style="116"/>
    <col min="16107" max="16107" width="4.28515625" style="116" customWidth="1"/>
    <col min="16108" max="16108" width="25" style="116" customWidth="1"/>
    <col min="16109" max="16109" width="5.7109375" style="116" customWidth="1"/>
    <col min="16110" max="16110" width="10.140625" style="116" customWidth="1"/>
    <col min="16111" max="16111" width="17.140625" style="116" customWidth="1"/>
    <col min="16112" max="16115" width="2.85546875" style="116" customWidth="1"/>
    <col min="16116" max="16116" width="6.5703125" style="116" customWidth="1"/>
    <col min="16117" max="16120" width="2.85546875" style="116" customWidth="1"/>
    <col min="16121" max="16121" width="6" style="116" customWidth="1"/>
    <col min="16122" max="16125" width="2.85546875" style="116" customWidth="1"/>
    <col min="16126" max="16126" width="5.5703125" style="116" customWidth="1"/>
    <col min="16127" max="16130" width="2.85546875" style="116" customWidth="1"/>
    <col min="16131" max="16131" width="7.5703125" style="116" customWidth="1"/>
    <col min="16132" max="16135" width="2.85546875" style="116" customWidth="1"/>
    <col min="16136" max="16136" width="7.42578125" style="116" customWidth="1"/>
    <col min="16137" max="16138" width="0" style="116" hidden="1" customWidth="1"/>
    <col min="16139" max="16384" width="9.140625" style="116"/>
  </cols>
  <sheetData>
    <row r="1" spans="1:13" ht="30.75" x14ac:dyDescent="0.4">
      <c r="A1" s="115"/>
      <c r="B1" s="115"/>
      <c r="C1" s="117"/>
      <c r="D1" s="117"/>
      <c r="E1" s="117"/>
      <c r="F1" s="117"/>
      <c r="G1" s="117"/>
      <c r="H1" s="117"/>
      <c r="I1" s="379"/>
      <c r="J1" s="380" t="s">
        <v>94</v>
      </c>
    </row>
    <row r="2" spans="1:13" ht="30.75" x14ac:dyDescent="0.4">
      <c r="A2" s="129"/>
      <c r="B2" s="129"/>
      <c r="C2" s="117"/>
      <c r="D2" s="117"/>
      <c r="E2" s="117"/>
      <c r="F2" s="117"/>
      <c r="G2" s="117"/>
      <c r="H2" s="117"/>
      <c r="I2" s="379"/>
      <c r="J2" s="380" t="s">
        <v>117</v>
      </c>
    </row>
    <row r="3" spans="1:13" ht="30.75" x14ac:dyDescent="0.4">
      <c r="A3" s="130"/>
      <c r="B3" s="130"/>
      <c r="C3" s="117"/>
      <c r="D3" s="117"/>
      <c r="E3" s="117"/>
      <c r="F3" s="117"/>
      <c r="G3" s="117"/>
      <c r="H3" s="117"/>
      <c r="I3" s="379"/>
      <c r="J3" s="380" t="s">
        <v>105</v>
      </c>
    </row>
    <row r="4" spans="1:13" ht="30.75" x14ac:dyDescent="0.4">
      <c r="A4" s="115"/>
      <c r="B4" s="115"/>
      <c r="C4" s="117"/>
      <c r="D4" s="117"/>
      <c r="E4" s="117"/>
      <c r="F4" s="117"/>
      <c r="G4" s="117"/>
      <c r="H4" s="117"/>
      <c r="I4" s="379"/>
      <c r="J4" s="380" t="s">
        <v>106</v>
      </c>
    </row>
    <row r="5" spans="1:13" ht="30.75" x14ac:dyDescent="0.4">
      <c r="A5" s="130"/>
      <c r="B5" s="115"/>
      <c r="C5" s="117"/>
      <c r="D5" s="117"/>
      <c r="E5" s="117"/>
      <c r="F5" s="117"/>
      <c r="G5" s="117"/>
      <c r="H5" s="117"/>
      <c r="I5" s="379"/>
      <c r="J5" s="380" t="s">
        <v>107</v>
      </c>
    </row>
    <row r="6" spans="1:13" x14ac:dyDescent="0.4">
      <c r="A6" s="131"/>
      <c r="B6" s="131"/>
      <c r="C6" s="131"/>
      <c r="D6" s="131"/>
      <c r="E6" s="131"/>
      <c r="F6" s="131"/>
      <c r="G6" s="131"/>
      <c r="H6" s="131"/>
      <c r="I6" s="131"/>
      <c r="J6" s="131"/>
    </row>
    <row r="7" spans="1:13" ht="36" customHeight="1" x14ac:dyDescent="0.4">
      <c r="A7" s="783" t="s">
        <v>127</v>
      </c>
      <c r="B7" s="783"/>
      <c r="C7" s="783"/>
      <c r="D7" s="783"/>
      <c r="E7" s="783"/>
      <c r="F7" s="783"/>
      <c r="G7" s="783"/>
      <c r="H7" s="783"/>
      <c r="I7" s="783"/>
      <c r="J7" s="783"/>
    </row>
    <row r="8" spans="1:13" ht="36" customHeight="1" x14ac:dyDescent="0.4">
      <c r="A8" s="783" t="s">
        <v>88</v>
      </c>
      <c r="B8" s="783"/>
      <c r="C8" s="783"/>
      <c r="D8" s="783"/>
      <c r="E8" s="783"/>
      <c r="F8" s="783"/>
      <c r="G8" s="783"/>
      <c r="H8" s="783"/>
      <c r="I8" s="783"/>
      <c r="J8" s="783"/>
    </row>
    <row r="9" spans="1:13" ht="198" customHeight="1" x14ac:dyDescent="0.4">
      <c r="A9" s="784" t="s">
        <v>255</v>
      </c>
      <c r="B9" s="784"/>
      <c r="C9" s="784"/>
      <c r="D9" s="784"/>
      <c r="E9" s="784"/>
      <c r="F9" s="784"/>
      <c r="G9" s="784"/>
      <c r="H9" s="784"/>
      <c r="I9" s="784"/>
      <c r="J9" s="784"/>
    </row>
    <row r="10" spans="1:13" ht="30" x14ac:dyDescent="0.4">
      <c r="A10" s="304"/>
      <c r="B10" s="783" t="s">
        <v>112</v>
      </c>
      <c r="C10" s="783"/>
      <c r="D10" s="783"/>
      <c r="E10" s="783"/>
      <c r="F10" s="783"/>
      <c r="G10" s="783"/>
      <c r="H10" s="783"/>
      <c r="I10" s="783"/>
      <c r="J10" s="783"/>
    </row>
    <row r="11" spans="1:13" ht="45" customHeight="1" thickBot="1" x14ac:dyDescent="0.45">
      <c r="A11" s="304"/>
      <c r="B11" s="787" t="s">
        <v>254</v>
      </c>
      <c r="C11" s="787"/>
      <c r="D11" s="787"/>
      <c r="E11" s="787"/>
      <c r="F11" s="787"/>
      <c r="G11" s="787"/>
      <c r="H11" s="787"/>
      <c r="I11" s="787"/>
      <c r="J11" s="787"/>
    </row>
    <row r="12" spans="1:13" ht="20.25" customHeight="1" x14ac:dyDescent="0.4">
      <c r="A12" s="785" t="s">
        <v>49</v>
      </c>
      <c r="B12" s="804" t="s">
        <v>66</v>
      </c>
      <c r="C12" s="804" t="s">
        <v>67</v>
      </c>
      <c r="D12" s="800" t="s">
        <v>68</v>
      </c>
      <c r="E12" s="807" t="s">
        <v>69</v>
      </c>
      <c r="F12" s="808"/>
      <c r="G12" s="808"/>
      <c r="H12" s="808"/>
      <c r="I12" s="808"/>
      <c r="J12" s="809"/>
    </row>
    <row r="13" spans="1:13" ht="13.5" customHeight="1" thickBot="1" x14ac:dyDescent="0.45">
      <c r="A13" s="786"/>
      <c r="B13" s="805"/>
      <c r="C13" s="805"/>
      <c r="D13" s="801"/>
      <c r="E13" s="810"/>
      <c r="F13" s="811"/>
      <c r="G13" s="811"/>
      <c r="H13" s="811"/>
      <c r="I13" s="811"/>
      <c r="J13" s="812"/>
    </row>
    <row r="14" spans="1:13" ht="165.75" customHeight="1" thickBot="1" x14ac:dyDescent="0.45">
      <c r="A14" s="786"/>
      <c r="B14" s="805"/>
      <c r="C14" s="805"/>
      <c r="D14" s="802"/>
      <c r="E14" s="283" t="s">
        <v>77</v>
      </c>
      <c r="F14" s="352" t="s">
        <v>252</v>
      </c>
      <c r="G14" s="569" t="s">
        <v>300</v>
      </c>
      <c r="H14" s="352" t="s">
        <v>134</v>
      </c>
      <c r="I14" s="352" t="s">
        <v>98</v>
      </c>
      <c r="J14" s="421" t="s">
        <v>82</v>
      </c>
    </row>
    <row r="15" spans="1:13" ht="33" customHeight="1" thickBot="1" x14ac:dyDescent="0.45">
      <c r="A15" s="786"/>
      <c r="B15" s="806"/>
      <c r="C15" s="806"/>
      <c r="D15" s="803"/>
      <c r="E15" s="381" t="s">
        <v>5</v>
      </c>
      <c r="F15" s="382" t="s">
        <v>102</v>
      </c>
      <c r="G15" s="382" t="s">
        <v>101</v>
      </c>
      <c r="H15" s="382" t="s">
        <v>8</v>
      </c>
      <c r="I15" s="382" t="s">
        <v>9</v>
      </c>
      <c r="J15" s="383" t="s">
        <v>253</v>
      </c>
    </row>
    <row r="16" spans="1:13" ht="33" customHeight="1" thickBot="1" x14ac:dyDescent="0.45">
      <c r="A16" s="161"/>
      <c r="B16" s="132"/>
      <c r="C16" s="132"/>
      <c r="D16" s="132"/>
      <c r="E16" s="813" t="s">
        <v>70</v>
      </c>
      <c r="F16" s="814"/>
      <c r="G16" s="814"/>
      <c r="H16" s="814"/>
      <c r="I16" s="814"/>
      <c r="J16" s="815"/>
      <c r="M16" s="109"/>
    </row>
    <row r="17" spans="1:13" ht="65.25" customHeight="1" x14ac:dyDescent="0.4">
      <c r="A17" s="777">
        <v>1</v>
      </c>
      <c r="B17" s="759" t="s">
        <v>92</v>
      </c>
      <c r="C17" s="779" t="s">
        <v>139</v>
      </c>
      <c r="D17" s="781" t="s">
        <v>140</v>
      </c>
      <c r="E17" s="641" t="s">
        <v>100</v>
      </c>
      <c r="F17" s="642" t="s">
        <v>100</v>
      </c>
      <c r="G17" s="642" t="s">
        <v>100</v>
      </c>
      <c r="H17" s="643" t="s">
        <v>262</v>
      </c>
      <c r="I17" s="642" t="s">
        <v>341</v>
      </c>
      <c r="J17" s="644" t="s">
        <v>100</v>
      </c>
      <c r="M17" s="109"/>
    </row>
    <row r="18" spans="1:13" ht="39.75" customHeight="1" thickBot="1" x14ac:dyDescent="0.45">
      <c r="A18" s="788"/>
      <c r="B18" s="761"/>
      <c r="C18" s="780"/>
      <c r="D18" s="782"/>
      <c r="E18" s="816" t="s">
        <v>195</v>
      </c>
      <c r="F18" s="817"/>
      <c r="G18" s="817"/>
      <c r="H18" s="817"/>
      <c r="I18" s="817"/>
      <c r="J18" s="818"/>
      <c r="M18" s="109"/>
    </row>
    <row r="19" spans="1:13" ht="40.5" customHeight="1" x14ac:dyDescent="0.4">
      <c r="A19" s="757">
        <v>2</v>
      </c>
      <c r="B19" s="759" t="s">
        <v>141</v>
      </c>
      <c r="C19" s="779" t="s">
        <v>142</v>
      </c>
      <c r="D19" s="781" t="s">
        <v>122</v>
      </c>
      <c r="E19" s="753" t="s">
        <v>193</v>
      </c>
      <c r="F19" s="754"/>
      <c r="G19" s="754"/>
      <c r="H19" s="754"/>
      <c r="I19" s="754"/>
      <c r="J19" s="755"/>
      <c r="K19" s="133"/>
      <c r="M19" s="109"/>
    </row>
    <row r="20" spans="1:13" ht="40.5" customHeight="1" thickBot="1" x14ac:dyDescent="0.45">
      <c r="A20" s="758"/>
      <c r="B20" s="761"/>
      <c r="C20" s="780"/>
      <c r="D20" s="782"/>
      <c r="E20" s="645" t="s">
        <v>194</v>
      </c>
      <c r="F20" s="646" t="s">
        <v>194</v>
      </c>
      <c r="G20" s="646" t="s">
        <v>194</v>
      </c>
      <c r="H20" s="646" t="s">
        <v>194</v>
      </c>
      <c r="I20" s="647" t="s">
        <v>194</v>
      </c>
      <c r="J20" s="648" t="s">
        <v>194</v>
      </c>
      <c r="K20" s="133"/>
      <c r="M20" s="109"/>
    </row>
    <row r="21" spans="1:13" ht="44.25" customHeight="1" x14ac:dyDescent="0.4">
      <c r="A21" s="756">
        <v>3</v>
      </c>
      <c r="B21" s="759" t="s">
        <v>95</v>
      </c>
      <c r="C21" s="779" t="s">
        <v>150</v>
      </c>
      <c r="D21" s="781" t="s">
        <v>122</v>
      </c>
      <c r="E21" s="819" t="s">
        <v>97</v>
      </c>
      <c r="F21" s="820"/>
      <c r="G21" s="820"/>
      <c r="H21" s="820"/>
      <c r="I21" s="820"/>
      <c r="J21" s="821"/>
      <c r="K21" s="133"/>
      <c r="M21" s="109"/>
    </row>
    <row r="22" spans="1:13" ht="44.25" customHeight="1" thickBot="1" x14ac:dyDescent="0.45">
      <c r="A22" s="758"/>
      <c r="B22" s="761"/>
      <c r="C22" s="780"/>
      <c r="D22" s="782"/>
      <c r="E22" s="336" t="s">
        <v>187</v>
      </c>
      <c r="F22" s="435" t="s">
        <v>188</v>
      </c>
      <c r="G22" s="435" t="s">
        <v>292</v>
      </c>
      <c r="H22" s="435" t="s">
        <v>293</v>
      </c>
      <c r="I22" s="649" t="s">
        <v>293</v>
      </c>
      <c r="J22" s="650" t="s">
        <v>189</v>
      </c>
      <c r="K22" s="133"/>
      <c r="M22" s="109"/>
    </row>
    <row r="23" spans="1:13" ht="46.5" customHeight="1" x14ac:dyDescent="0.4">
      <c r="A23" s="756">
        <v>4</v>
      </c>
      <c r="B23" s="759" t="s">
        <v>143</v>
      </c>
      <c r="C23" s="779" t="s">
        <v>144</v>
      </c>
      <c r="D23" s="781" t="s">
        <v>122</v>
      </c>
      <c r="E23" s="753" t="s">
        <v>218</v>
      </c>
      <c r="F23" s="754"/>
      <c r="G23" s="754"/>
      <c r="H23" s="754"/>
      <c r="I23" s="754"/>
      <c r="J23" s="755"/>
      <c r="K23" s="133"/>
      <c r="M23" s="109"/>
    </row>
    <row r="24" spans="1:13" ht="46.5" customHeight="1" thickBot="1" x14ac:dyDescent="0.45">
      <c r="A24" s="758"/>
      <c r="B24" s="761"/>
      <c r="C24" s="780"/>
      <c r="D24" s="782"/>
      <c r="E24" s="639" t="s">
        <v>219</v>
      </c>
      <c r="F24" s="639" t="s">
        <v>219</v>
      </c>
      <c r="G24" s="639" t="s">
        <v>219</v>
      </c>
      <c r="H24" s="639" t="s">
        <v>219</v>
      </c>
      <c r="I24" s="639" t="s">
        <v>219</v>
      </c>
      <c r="J24" s="640" t="s">
        <v>219</v>
      </c>
      <c r="K24" s="133"/>
      <c r="M24" s="109"/>
    </row>
    <row r="25" spans="1:13" ht="48" customHeight="1" x14ac:dyDescent="0.4">
      <c r="A25" s="756">
        <v>5</v>
      </c>
      <c r="B25" s="759" t="s">
        <v>151</v>
      </c>
      <c r="C25" s="779" t="s">
        <v>152</v>
      </c>
      <c r="D25" s="793" t="s">
        <v>123</v>
      </c>
      <c r="E25" s="790" t="s">
        <v>204</v>
      </c>
      <c r="F25" s="791"/>
      <c r="G25" s="791"/>
      <c r="H25" s="791"/>
      <c r="I25" s="791"/>
      <c r="J25" s="792"/>
      <c r="K25" s="133"/>
      <c r="M25" s="109"/>
    </row>
    <row r="26" spans="1:13" ht="48" customHeight="1" thickBot="1" x14ac:dyDescent="0.45">
      <c r="A26" s="758"/>
      <c r="B26" s="761"/>
      <c r="C26" s="780"/>
      <c r="D26" s="794"/>
      <c r="E26" s="336" t="s">
        <v>263</v>
      </c>
      <c r="F26" s="649" t="s">
        <v>263</v>
      </c>
      <c r="G26" s="649" t="s">
        <v>263</v>
      </c>
      <c r="H26" s="649" t="s">
        <v>221</v>
      </c>
      <c r="I26" s="649" t="s">
        <v>221</v>
      </c>
      <c r="J26" s="650" t="s">
        <v>263</v>
      </c>
      <c r="K26" s="133"/>
      <c r="M26" s="109"/>
    </row>
    <row r="27" spans="1:13" ht="46.5" customHeight="1" x14ac:dyDescent="0.4">
      <c r="A27" s="777">
        <v>6</v>
      </c>
      <c r="B27" s="759" t="s">
        <v>78</v>
      </c>
      <c r="C27" s="779" t="s">
        <v>157</v>
      </c>
      <c r="D27" s="781" t="s">
        <v>122</v>
      </c>
      <c r="E27" s="795" t="s">
        <v>120</v>
      </c>
      <c r="F27" s="796"/>
      <c r="G27" s="796"/>
      <c r="H27" s="796"/>
      <c r="I27" s="796"/>
      <c r="J27" s="797"/>
      <c r="K27" s="133"/>
      <c r="M27" s="109"/>
    </row>
    <row r="28" spans="1:13" ht="65.25" customHeight="1" thickBot="1" x14ac:dyDescent="0.45">
      <c r="A28" s="778"/>
      <c r="B28" s="761"/>
      <c r="C28" s="780"/>
      <c r="D28" s="782"/>
      <c r="E28" s="336" t="s">
        <v>210</v>
      </c>
      <c r="F28" s="435" t="s">
        <v>211</v>
      </c>
      <c r="G28" s="435" t="s">
        <v>212</v>
      </c>
      <c r="H28" s="435" t="s">
        <v>270</v>
      </c>
      <c r="I28" s="649" t="s">
        <v>213</v>
      </c>
      <c r="J28" s="650" t="s">
        <v>210</v>
      </c>
      <c r="K28" s="133"/>
      <c r="M28" s="109"/>
    </row>
    <row r="29" spans="1:13" ht="46.5" customHeight="1" x14ac:dyDescent="0.4">
      <c r="A29" s="777">
        <v>7</v>
      </c>
      <c r="B29" s="759" t="s">
        <v>96</v>
      </c>
      <c r="C29" s="779" t="s">
        <v>156</v>
      </c>
      <c r="D29" s="781" t="s">
        <v>122</v>
      </c>
      <c r="E29" s="753" t="s">
        <v>180</v>
      </c>
      <c r="F29" s="754"/>
      <c r="G29" s="754"/>
      <c r="H29" s="754"/>
      <c r="I29" s="754"/>
      <c r="J29" s="755"/>
      <c r="K29" s="133"/>
      <c r="M29" s="109"/>
    </row>
    <row r="30" spans="1:13" ht="84" thickBot="1" x14ac:dyDescent="0.45">
      <c r="A30" s="778">
        <v>7</v>
      </c>
      <c r="B30" s="761" t="s">
        <v>96</v>
      </c>
      <c r="C30" s="780"/>
      <c r="D30" s="782"/>
      <c r="E30" s="336" t="s">
        <v>119</v>
      </c>
      <c r="F30" s="435" t="s">
        <v>200</v>
      </c>
      <c r="G30" s="435" t="s">
        <v>119</v>
      </c>
      <c r="H30" s="435" t="s">
        <v>344</v>
      </c>
      <c r="I30" s="649" t="s">
        <v>239</v>
      </c>
      <c r="J30" s="650" t="s">
        <v>200</v>
      </c>
      <c r="K30" s="133"/>
      <c r="M30" s="109"/>
    </row>
    <row r="31" spans="1:13" ht="48" customHeight="1" x14ac:dyDescent="0.4">
      <c r="A31" s="756">
        <v>8</v>
      </c>
      <c r="B31" s="759" t="s">
        <v>158</v>
      </c>
      <c r="C31" s="779" t="s">
        <v>159</v>
      </c>
      <c r="D31" s="781" t="s">
        <v>122</v>
      </c>
      <c r="E31" s="795" t="s">
        <v>196</v>
      </c>
      <c r="F31" s="796"/>
      <c r="G31" s="796"/>
      <c r="H31" s="796"/>
      <c r="I31" s="796"/>
      <c r="J31" s="797"/>
      <c r="K31" s="133"/>
      <c r="M31" s="109"/>
    </row>
    <row r="32" spans="1:13" ht="57.75" customHeight="1" thickBot="1" x14ac:dyDescent="0.45">
      <c r="A32" s="758"/>
      <c r="B32" s="761"/>
      <c r="C32" s="780"/>
      <c r="D32" s="782"/>
      <c r="E32" s="651" t="s">
        <v>197</v>
      </c>
      <c r="F32" s="652" t="s">
        <v>197</v>
      </c>
      <c r="G32" s="652" t="s">
        <v>199</v>
      </c>
      <c r="H32" s="652" t="s">
        <v>310</v>
      </c>
      <c r="I32" s="652" t="s">
        <v>314</v>
      </c>
      <c r="J32" s="653" t="s">
        <v>198</v>
      </c>
      <c r="K32" s="133"/>
      <c r="M32" s="109"/>
    </row>
    <row r="33" spans="1:13" ht="40.5" customHeight="1" x14ac:dyDescent="0.4">
      <c r="A33" s="756">
        <v>9</v>
      </c>
      <c r="B33" s="759" t="s">
        <v>164</v>
      </c>
      <c r="C33" s="779" t="s">
        <v>124</v>
      </c>
      <c r="D33" s="793" t="s">
        <v>122</v>
      </c>
      <c r="E33" s="753" t="s">
        <v>214</v>
      </c>
      <c r="F33" s="754"/>
      <c r="G33" s="754"/>
      <c r="H33" s="754"/>
      <c r="I33" s="754"/>
      <c r="J33" s="755"/>
      <c r="K33" s="133"/>
      <c r="M33" s="109"/>
    </row>
    <row r="34" spans="1:13" ht="40.5" customHeight="1" thickBot="1" x14ac:dyDescent="0.45">
      <c r="A34" s="758"/>
      <c r="B34" s="761"/>
      <c r="C34" s="780"/>
      <c r="D34" s="794"/>
      <c r="E34" s="700" t="s">
        <v>217</v>
      </c>
      <c r="F34" s="701" t="s">
        <v>216</v>
      </c>
      <c r="G34" s="500" t="s">
        <v>215</v>
      </c>
      <c r="H34" s="500" t="s">
        <v>216</v>
      </c>
      <c r="I34" s="702" t="s">
        <v>215</v>
      </c>
      <c r="J34" s="703" t="s">
        <v>215</v>
      </c>
      <c r="K34" s="134"/>
      <c r="M34" s="109"/>
    </row>
    <row r="35" spans="1:13" ht="46.5" customHeight="1" x14ac:dyDescent="0.4">
      <c r="A35" s="777">
        <v>10</v>
      </c>
      <c r="B35" s="759" t="s">
        <v>165</v>
      </c>
      <c r="C35" s="779" t="s">
        <v>166</v>
      </c>
      <c r="D35" s="798" t="s">
        <v>122</v>
      </c>
      <c r="E35" s="790" t="s">
        <v>179</v>
      </c>
      <c r="F35" s="791"/>
      <c r="G35" s="791"/>
      <c r="H35" s="791"/>
      <c r="I35" s="791"/>
      <c r="J35" s="792"/>
      <c r="K35" s="133"/>
      <c r="M35" s="109"/>
    </row>
    <row r="36" spans="1:13" ht="65.25" customHeight="1" thickBot="1" x14ac:dyDescent="0.45">
      <c r="A36" s="778"/>
      <c r="B36" s="761"/>
      <c r="C36" s="780"/>
      <c r="D36" s="799"/>
      <c r="E36" s="336" t="s">
        <v>269</v>
      </c>
      <c r="F36" s="369" t="s">
        <v>269</v>
      </c>
      <c r="G36" s="369" t="s">
        <v>269</v>
      </c>
      <c r="H36" s="369" t="s">
        <v>269</v>
      </c>
      <c r="I36" s="649" t="s">
        <v>269</v>
      </c>
      <c r="J36" s="650" t="s">
        <v>269</v>
      </c>
      <c r="K36" s="133"/>
      <c r="M36" s="109"/>
    </row>
    <row r="37" spans="1:13" ht="81" x14ac:dyDescent="0.4">
      <c r="A37" s="768">
        <v>11</v>
      </c>
      <c r="B37" s="759" t="s">
        <v>79</v>
      </c>
      <c r="C37" s="771" t="s">
        <v>153</v>
      </c>
      <c r="D37" s="774" t="s">
        <v>122</v>
      </c>
      <c r="E37" s="704" t="s">
        <v>77</v>
      </c>
      <c r="F37" s="705" t="s">
        <v>78</v>
      </c>
      <c r="G37" s="705" t="s">
        <v>129</v>
      </c>
      <c r="H37" s="705" t="s">
        <v>80</v>
      </c>
      <c r="I37" s="706" t="s">
        <v>98</v>
      </c>
      <c r="J37" s="707" t="s">
        <v>82</v>
      </c>
      <c r="K37" s="133"/>
      <c r="M37" s="109"/>
    </row>
    <row r="38" spans="1:13" ht="111" x14ac:dyDescent="0.4">
      <c r="A38" s="769"/>
      <c r="B38" s="760"/>
      <c r="C38" s="772"/>
      <c r="D38" s="775"/>
      <c r="E38" s="654" t="s">
        <v>190</v>
      </c>
      <c r="F38" s="655" t="s">
        <v>207</v>
      </c>
      <c r="G38" s="655" t="s">
        <v>185</v>
      </c>
      <c r="H38" s="655" t="s">
        <v>118</v>
      </c>
      <c r="I38" s="656" t="s">
        <v>205</v>
      </c>
      <c r="J38" s="657" t="s">
        <v>183</v>
      </c>
      <c r="K38" s="133"/>
      <c r="M38" s="109"/>
    </row>
    <row r="39" spans="1:13" ht="111" x14ac:dyDescent="0.4">
      <c r="A39" s="769"/>
      <c r="B39" s="760"/>
      <c r="C39" s="772"/>
      <c r="D39" s="775"/>
      <c r="E39" s="658" t="s">
        <v>343</v>
      </c>
      <c r="F39" s="655" t="s">
        <v>208</v>
      </c>
      <c r="G39" s="655" t="s">
        <v>186</v>
      </c>
      <c r="H39" s="655" t="s">
        <v>201</v>
      </c>
      <c r="I39" s="656" t="s">
        <v>206</v>
      </c>
      <c r="J39" s="657" t="s">
        <v>184</v>
      </c>
      <c r="K39" s="133"/>
      <c r="M39" s="109"/>
    </row>
    <row r="40" spans="1:13" ht="72.75" customHeight="1" x14ac:dyDescent="0.4">
      <c r="A40" s="769"/>
      <c r="B40" s="760"/>
      <c r="C40" s="772"/>
      <c r="D40" s="775"/>
      <c r="E40" s="665"/>
      <c r="F40" s="664" t="s">
        <v>81</v>
      </c>
      <c r="G40" s="350"/>
      <c r="H40" s="348" t="s">
        <v>130</v>
      </c>
      <c r="I40" s="256"/>
      <c r="J40" s="340"/>
      <c r="K40" s="133"/>
      <c r="M40" s="109"/>
    </row>
    <row r="41" spans="1:13" ht="93.75" customHeight="1" x14ac:dyDescent="0.4">
      <c r="A41" s="769"/>
      <c r="B41" s="760"/>
      <c r="C41" s="772"/>
      <c r="D41" s="775"/>
      <c r="E41" s="665"/>
      <c r="F41" s="656" t="s">
        <v>191</v>
      </c>
      <c r="G41" s="655"/>
      <c r="H41" s="655" t="s">
        <v>104</v>
      </c>
      <c r="I41" s="256"/>
      <c r="J41" s="340"/>
      <c r="K41" s="133"/>
      <c r="M41" s="109"/>
    </row>
    <row r="42" spans="1:13" ht="87.75" customHeight="1" thickBot="1" x14ac:dyDescent="0.45">
      <c r="A42" s="770"/>
      <c r="B42" s="761"/>
      <c r="C42" s="773"/>
      <c r="D42" s="776"/>
      <c r="E42" s="667"/>
      <c r="F42" s="663" t="s">
        <v>192</v>
      </c>
      <c r="G42" s="500"/>
      <c r="H42" s="500" t="s">
        <v>202</v>
      </c>
      <c r="I42" s="668"/>
      <c r="J42" s="669"/>
      <c r="K42" s="133"/>
      <c r="M42" s="109"/>
    </row>
    <row r="43" spans="1:13" ht="81" x14ac:dyDescent="0.4">
      <c r="A43" s="756">
        <v>12</v>
      </c>
      <c r="B43" s="759" t="s">
        <v>93</v>
      </c>
      <c r="C43" s="762" t="s">
        <v>125</v>
      </c>
      <c r="D43" s="765" t="s">
        <v>140</v>
      </c>
      <c r="E43" s="341" t="s">
        <v>77</v>
      </c>
      <c r="F43" s="337" t="s">
        <v>78</v>
      </c>
      <c r="G43" s="337" t="s">
        <v>129</v>
      </c>
      <c r="H43" s="337" t="s">
        <v>80</v>
      </c>
      <c r="I43" s="338" t="s">
        <v>98</v>
      </c>
      <c r="J43" s="339" t="s">
        <v>82</v>
      </c>
      <c r="K43" s="133"/>
      <c r="M43" s="109"/>
    </row>
    <row r="44" spans="1:13" ht="143.25" customHeight="1" x14ac:dyDescent="0.4">
      <c r="A44" s="757"/>
      <c r="B44" s="760"/>
      <c r="C44" s="763"/>
      <c r="D44" s="766"/>
      <c r="E44" s="658" t="s">
        <v>267</v>
      </c>
      <c r="F44" s="655" t="s">
        <v>209</v>
      </c>
      <c r="G44" s="655" t="s">
        <v>186</v>
      </c>
      <c r="H44" s="655" t="s">
        <v>201</v>
      </c>
      <c r="I44" s="656" t="s">
        <v>206</v>
      </c>
      <c r="J44" s="657" t="s">
        <v>184</v>
      </c>
      <c r="K44" s="133"/>
      <c r="M44" s="109"/>
    </row>
    <row r="45" spans="1:13" ht="87.75" customHeight="1" x14ac:dyDescent="0.4">
      <c r="A45" s="757"/>
      <c r="B45" s="760"/>
      <c r="C45" s="763"/>
      <c r="D45" s="766"/>
      <c r="E45" s="665"/>
      <c r="F45" s="664" t="s">
        <v>81</v>
      </c>
      <c r="G45" s="350"/>
      <c r="H45" s="348" t="s">
        <v>130</v>
      </c>
      <c r="I45" s="257"/>
      <c r="J45" s="342"/>
      <c r="K45" s="133"/>
      <c r="M45" s="109"/>
    </row>
    <row r="46" spans="1:13" ht="100.5" customHeight="1" thickBot="1" x14ac:dyDescent="0.45">
      <c r="A46" s="758"/>
      <c r="B46" s="761"/>
      <c r="C46" s="764"/>
      <c r="D46" s="767"/>
      <c r="E46" s="666"/>
      <c r="F46" s="649" t="s">
        <v>126</v>
      </c>
      <c r="G46" s="369"/>
      <c r="H46" s="369" t="s">
        <v>203</v>
      </c>
      <c r="I46" s="670"/>
      <c r="J46" s="671"/>
      <c r="K46" s="133"/>
      <c r="M46" s="109"/>
    </row>
    <row r="47" spans="1:13" s="210" customFormat="1" ht="38.25" customHeight="1" x14ac:dyDescent="0.45">
      <c r="A47" s="290"/>
      <c r="B47" s="209" t="s">
        <v>71</v>
      </c>
      <c r="C47" s="291"/>
      <c r="D47" s="292"/>
      <c r="E47" s="209"/>
      <c r="F47" s="293"/>
      <c r="G47" s="293"/>
      <c r="H47" s="293"/>
      <c r="I47" s="293"/>
      <c r="J47" s="209"/>
    </row>
    <row r="48" spans="1:13" s="210" customFormat="1" ht="38.25" customHeight="1" x14ac:dyDescent="0.45">
      <c r="A48" s="275"/>
      <c r="B48" s="275" t="s">
        <v>72</v>
      </c>
      <c r="C48" s="211"/>
      <c r="D48" s="211" t="s">
        <v>73</v>
      </c>
      <c r="E48" s="211"/>
      <c r="F48" s="275" t="s">
        <v>83</v>
      </c>
      <c r="G48" s="275"/>
      <c r="H48" s="275" t="s">
        <v>90</v>
      </c>
      <c r="I48" s="275"/>
      <c r="J48" s="294"/>
    </row>
    <row r="49" spans="1:10" s="210" customFormat="1" ht="38.25" customHeight="1" x14ac:dyDescent="0.45">
      <c r="A49" s="275"/>
      <c r="B49" s="789" t="s">
        <v>89</v>
      </c>
      <c r="C49" s="789"/>
      <c r="D49" s="789"/>
      <c r="E49" s="789"/>
      <c r="F49" s="789"/>
      <c r="G49" s="789"/>
      <c r="H49" s="789"/>
      <c r="I49" s="789"/>
      <c r="J49" s="789"/>
    </row>
    <row r="50" spans="1:10" s="210" customFormat="1" ht="38.25" customHeight="1" x14ac:dyDescent="0.45">
      <c r="A50" s="295"/>
      <c r="B50" s="295" t="s">
        <v>74</v>
      </c>
      <c r="C50" s="295"/>
      <c r="D50" s="295"/>
      <c r="E50" s="295"/>
      <c r="F50" s="295"/>
      <c r="G50" s="295"/>
      <c r="H50" s="295"/>
      <c r="I50" s="295"/>
      <c r="J50" s="296"/>
    </row>
    <row r="51" spans="1:10" s="210" customFormat="1" ht="38.25" customHeight="1" x14ac:dyDescent="0.45">
      <c r="A51" s="275" t="s">
        <v>75</v>
      </c>
      <c r="B51" s="297"/>
      <c r="C51" s="297"/>
      <c r="D51" s="297"/>
      <c r="E51" s="297"/>
      <c r="F51" s="297"/>
      <c r="G51" s="297"/>
      <c r="H51" s="297"/>
      <c r="I51" s="297"/>
      <c r="J51" s="297"/>
    </row>
    <row r="52" spans="1:10" s="210" customFormat="1" ht="38.25" customHeight="1" x14ac:dyDescent="0.45">
      <c r="A52" s="275"/>
      <c r="B52" s="275"/>
      <c r="C52" s="275"/>
      <c r="D52" s="275"/>
      <c r="E52" s="275"/>
      <c r="F52" s="275"/>
      <c r="G52" s="275"/>
      <c r="H52" s="297"/>
      <c r="I52" s="297"/>
      <c r="J52" s="297"/>
    </row>
  </sheetData>
  <mergeCells count="70">
    <mergeCell ref="E12:J13"/>
    <mergeCell ref="A27:A28"/>
    <mergeCell ref="A19:A20"/>
    <mergeCell ref="D19:D20"/>
    <mergeCell ref="B27:B28"/>
    <mergeCell ref="D21:D22"/>
    <mergeCell ref="A25:A26"/>
    <mergeCell ref="A23:A24"/>
    <mergeCell ref="E25:J25"/>
    <mergeCell ref="E16:J16"/>
    <mergeCell ref="B25:B26"/>
    <mergeCell ref="C25:C26"/>
    <mergeCell ref="D25:D26"/>
    <mergeCell ref="E18:J18"/>
    <mergeCell ref="E19:J19"/>
    <mergeCell ref="E21:J21"/>
    <mergeCell ref="D12:D15"/>
    <mergeCell ref="B17:B18"/>
    <mergeCell ref="C17:C18"/>
    <mergeCell ref="D17:D18"/>
    <mergeCell ref="B12:B15"/>
    <mergeCell ref="C12:C15"/>
    <mergeCell ref="B49:J49"/>
    <mergeCell ref="E35:J35"/>
    <mergeCell ref="B33:B34"/>
    <mergeCell ref="C33:C34"/>
    <mergeCell ref="C27:C28"/>
    <mergeCell ref="D27:D28"/>
    <mergeCell ref="D33:D34"/>
    <mergeCell ref="E33:J33"/>
    <mergeCell ref="E27:J27"/>
    <mergeCell ref="D35:D36"/>
    <mergeCell ref="B31:B32"/>
    <mergeCell ref="C31:C32"/>
    <mergeCell ref="D31:D32"/>
    <mergeCell ref="E31:J31"/>
    <mergeCell ref="B29:B30"/>
    <mergeCell ref="C29:C30"/>
    <mergeCell ref="A7:J7"/>
    <mergeCell ref="A8:J8"/>
    <mergeCell ref="A9:J9"/>
    <mergeCell ref="A21:A22"/>
    <mergeCell ref="B23:B24"/>
    <mergeCell ref="C23:C24"/>
    <mergeCell ref="D23:D24"/>
    <mergeCell ref="B10:J10"/>
    <mergeCell ref="A12:A15"/>
    <mergeCell ref="B11:J11"/>
    <mergeCell ref="B19:B20"/>
    <mergeCell ref="C19:C20"/>
    <mergeCell ref="E23:J23"/>
    <mergeCell ref="A17:A18"/>
    <mergeCell ref="B21:B22"/>
    <mergeCell ref="C21:C22"/>
    <mergeCell ref="E29:J29"/>
    <mergeCell ref="A43:A46"/>
    <mergeCell ref="B43:B46"/>
    <mergeCell ref="C43:C46"/>
    <mergeCell ref="D43:D46"/>
    <mergeCell ref="A33:A34"/>
    <mergeCell ref="A37:A42"/>
    <mergeCell ref="B37:B42"/>
    <mergeCell ref="C37:C42"/>
    <mergeCell ref="D37:D42"/>
    <mergeCell ref="A35:A36"/>
    <mergeCell ref="B35:B36"/>
    <mergeCell ref="C35:C36"/>
    <mergeCell ref="A31:A32"/>
    <mergeCell ref="A29:A30"/>
    <mergeCell ref="D29:D30"/>
  </mergeCells>
  <pageMargins left="0" right="0" top="0" bottom="0" header="0" footer="0"/>
  <pageSetup paperSize="9" scale="2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"/>
  <sheetViews>
    <sheetView view="pageBreakPreview" topLeftCell="A4" zoomScale="90" zoomScaleSheetLayoutView="90" workbookViewId="0">
      <selection activeCell="B15" sqref="B15"/>
    </sheetView>
  </sheetViews>
  <sheetFormatPr defaultColWidth="9.140625" defaultRowHeight="15" x14ac:dyDescent="0.25"/>
  <cols>
    <col min="1" max="1" width="9.140625" style="9"/>
    <col min="2" max="2" width="84" style="9" customWidth="1"/>
    <col min="3" max="3" width="29.28515625" style="9" customWidth="1"/>
    <col min="4" max="4" width="15" style="9" customWidth="1"/>
    <col min="5" max="16384" width="9.140625" style="9"/>
  </cols>
  <sheetData>
    <row r="1" spans="1:24" ht="24" customHeight="1" x14ac:dyDescent="0.25">
      <c r="A1" s="823" t="s">
        <v>131</v>
      </c>
      <c r="B1" s="823"/>
      <c r="C1" s="82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4" customHeight="1" x14ac:dyDescent="0.25">
      <c r="A2" s="824" t="s">
        <v>91</v>
      </c>
      <c r="B2" s="824"/>
      <c r="C2" s="82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09.5" customHeight="1" x14ac:dyDescent="0.25">
      <c r="A3" s="825" t="s">
        <v>132</v>
      </c>
      <c r="B3" s="825"/>
      <c r="C3" s="82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6.5" customHeight="1" x14ac:dyDescent="0.25">
      <c r="A4" s="824" t="s">
        <v>112</v>
      </c>
      <c r="B4" s="824"/>
      <c r="C4" s="82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5.75" customHeight="1" thickBot="1" x14ac:dyDescent="0.3">
      <c r="A5" s="826" t="s">
        <v>254</v>
      </c>
      <c r="B5" s="826"/>
      <c r="C5" s="826"/>
      <c r="D5" s="10"/>
      <c r="E5" s="10"/>
    </row>
    <row r="6" spans="1:24" ht="15.75" thickBot="1" x14ac:dyDescent="0.3">
      <c r="A6" s="15" t="s">
        <v>49</v>
      </c>
      <c r="B6" s="15" t="s">
        <v>65</v>
      </c>
      <c r="C6" s="16" t="s">
        <v>48</v>
      </c>
      <c r="D6" s="10"/>
      <c r="E6" s="10"/>
    </row>
    <row r="7" spans="1:24" s="113" customFormat="1" ht="49.5" customHeight="1" x14ac:dyDescent="0.25">
      <c r="A7" s="565">
        <v>1</v>
      </c>
      <c r="B7" s="144" t="s">
        <v>172</v>
      </c>
      <c r="C7" s="566" t="s">
        <v>268</v>
      </c>
      <c r="D7" s="110"/>
      <c r="E7" s="114"/>
    </row>
    <row r="8" spans="1:24" s="113" customFormat="1" ht="66" customHeight="1" x14ac:dyDescent="0.25">
      <c r="A8" s="178">
        <v>2</v>
      </c>
      <c r="B8" s="137" t="s">
        <v>173</v>
      </c>
      <c r="C8" s="177" t="s">
        <v>250</v>
      </c>
      <c r="D8" s="110"/>
      <c r="E8" s="114"/>
    </row>
    <row r="9" spans="1:24" s="113" customFormat="1" ht="48" customHeight="1" x14ac:dyDescent="0.25">
      <c r="A9" s="178">
        <v>3</v>
      </c>
      <c r="B9" s="137" t="s">
        <v>174</v>
      </c>
      <c r="C9" s="177" t="s">
        <v>136</v>
      </c>
      <c r="D9" s="110"/>
      <c r="E9" s="114"/>
    </row>
    <row r="10" spans="1:24" s="113" customFormat="1" ht="47.25" customHeight="1" x14ac:dyDescent="0.25">
      <c r="A10" s="178">
        <v>4</v>
      </c>
      <c r="B10" s="137" t="s">
        <v>175</v>
      </c>
      <c r="C10" s="177" t="s">
        <v>108</v>
      </c>
      <c r="D10" s="110"/>
      <c r="E10" s="114"/>
    </row>
    <row r="11" spans="1:24" s="113" customFormat="1" ht="58.5" customHeight="1" x14ac:dyDescent="0.25">
      <c r="A11" s="178">
        <v>5</v>
      </c>
      <c r="B11" s="567" t="s">
        <v>301</v>
      </c>
      <c r="C11" s="177" t="s">
        <v>235</v>
      </c>
      <c r="D11" s="111"/>
      <c r="E11" s="114"/>
    </row>
    <row r="12" spans="1:24" s="113" customFormat="1" ht="45.75" customHeight="1" x14ac:dyDescent="0.25">
      <c r="A12" s="178">
        <v>6</v>
      </c>
      <c r="B12" s="137" t="s">
        <v>176</v>
      </c>
      <c r="C12" s="177" t="s">
        <v>135</v>
      </c>
      <c r="D12" s="111"/>
      <c r="E12" s="114"/>
    </row>
    <row r="13" spans="1:24" s="113" customFormat="1" ht="55.5" customHeight="1" x14ac:dyDescent="0.25">
      <c r="A13" s="178">
        <v>7</v>
      </c>
      <c r="B13" s="137" t="s">
        <v>177</v>
      </c>
      <c r="C13" s="177" t="s">
        <v>121</v>
      </c>
      <c r="D13" s="112"/>
      <c r="E13" s="114"/>
    </row>
    <row r="14" spans="1:24" s="113" customFormat="1" ht="45.75" customHeight="1" x14ac:dyDescent="0.25">
      <c r="A14" s="178">
        <v>8</v>
      </c>
      <c r="B14" s="137" t="s">
        <v>178</v>
      </c>
      <c r="C14" s="177" t="s">
        <v>99</v>
      </c>
      <c r="D14" s="112"/>
      <c r="E14" s="114"/>
    </row>
    <row r="15" spans="1:24" s="113" customFormat="1" ht="63" customHeight="1" thickBot="1" x14ac:dyDescent="0.3">
      <c r="A15" s="568">
        <v>9</v>
      </c>
      <c r="B15" s="637" t="s">
        <v>182</v>
      </c>
      <c r="C15" s="638" t="s">
        <v>181</v>
      </c>
      <c r="D15" s="112"/>
      <c r="E15" s="114"/>
    </row>
    <row r="16" spans="1:24" ht="15.75" x14ac:dyDescent="0.25">
      <c r="A16" s="6" t="s">
        <v>56</v>
      </c>
      <c r="B16" s="7"/>
      <c r="C16" s="8"/>
      <c r="D16" s="12"/>
      <c r="E16" s="10"/>
    </row>
    <row r="17" spans="1:5" ht="15.75" x14ac:dyDescent="0.25">
      <c r="A17" s="6" t="s">
        <v>87</v>
      </c>
      <c r="B17" s="7"/>
      <c r="C17" s="8"/>
      <c r="D17" s="12"/>
      <c r="E17" s="10"/>
    </row>
    <row r="18" spans="1:5" ht="15.75" x14ac:dyDescent="0.25">
      <c r="A18" s="822" t="s">
        <v>57</v>
      </c>
      <c r="B18" s="822"/>
      <c r="C18" s="14"/>
      <c r="D18" s="13"/>
      <c r="E18" s="10"/>
    </row>
    <row r="19" spans="1:5" x14ac:dyDescent="0.25">
      <c r="A19" s="10" t="s">
        <v>76</v>
      </c>
      <c r="B19" s="11"/>
      <c r="C19" s="13"/>
      <c r="D19" s="13"/>
      <c r="E19" s="10"/>
    </row>
    <row r="20" spans="1:5" ht="30" customHeight="1" x14ac:dyDescent="0.25">
      <c r="A20" s="10"/>
      <c r="B20" s="11"/>
      <c r="C20" s="12"/>
      <c r="D20" s="13"/>
      <c r="E20" s="10"/>
    </row>
    <row r="21" spans="1:5" ht="30" customHeight="1" x14ac:dyDescent="0.25">
      <c r="A21" s="10"/>
      <c r="B21" s="11"/>
      <c r="C21" s="13"/>
      <c r="D21" s="13"/>
      <c r="E21" s="10"/>
    </row>
    <row r="22" spans="1:5" ht="30" customHeight="1" x14ac:dyDescent="0.25">
      <c r="A22" s="10"/>
      <c r="B22" s="11"/>
      <c r="C22" s="13"/>
      <c r="D22" s="13"/>
      <c r="E22" s="10"/>
    </row>
    <row r="23" spans="1:5" ht="30" customHeight="1" x14ac:dyDescent="0.25">
      <c r="B23" s="11"/>
      <c r="C23" s="13"/>
      <c r="D23" s="13"/>
      <c r="E23" s="10"/>
    </row>
    <row r="24" spans="1:5" ht="30" customHeight="1" x14ac:dyDescent="0.25">
      <c r="B24" s="11"/>
      <c r="C24" s="13"/>
      <c r="D24" s="13"/>
      <c r="E24" s="10"/>
    </row>
    <row r="25" spans="1:5" ht="30" customHeight="1" x14ac:dyDescent="0.25">
      <c r="B25" s="11"/>
      <c r="C25" s="12"/>
      <c r="D25" s="12"/>
      <c r="E25" s="10"/>
    </row>
    <row r="26" spans="1:5" ht="30" customHeight="1" x14ac:dyDescent="0.25">
      <c r="B26" s="11"/>
      <c r="C26" s="13"/>
      <c r="D26" s="13"/>
      <c r="E26" s="10"/>
    </row>
    <row r="27" spans="1:5" ht="30" customHeight="1" x14ac:dyDescent="0.25">
      <c r="B27" s="11"/>
      <c r="C27" s="13"/>
      <c r="D27" s="13"/>
      <c r="E27" s="10"/>
    </row>
    <row r="28" spans="1:5" ht="30" customHeight="1" x14ac:dyDescent="0.25">
      <c r="B28" s="11"/>
      <c r="C28" s="13"/>
      <c r="D28" s="13"/>
      <c r="E28" s="10"/>
    </row>
    <row r="29" spans="1:5" ht="30" customHeight="1" x14ac:dyDescent="0.25">
      <c r="B29" s="11"/>
      <c r="C29" s="13"/>
      <c r="D29" s="13"/>
      <c r="E29" s="10"/>
    </row>
    <row r="30" spans="1:5" ht="30" customHeight="1" x14ac:dyDescent="0.25">
      <c r="B30" s="11"/>
      <c r="C30" s="13"/>
      <c r="D30" s="13"/>
      <c r="E30" s="10"/>
    </row>
    <row r="31" spans="1:5" ht="30" customHeight="1" x14ac:dyDescent="0.25">
      <c r="B31" s="11"/>
      <c r="C31" s="13"/>
      <c r="D31" s="13"/>
      <c r="E31" s="10"/>
    </row>
    <row r="32" spans="1:5" ht="30" customHeight="1" x14ac:dyDescent="0.25">
      <c r="B32" s="11"/>
      <c r="C32" s="13"/>
      <c r="D32" s="13"/>
      <c r="E32" s="10"/>
    </row>
    <row r="33" spans="2:5" ht="30" customHeight="1" x14ac:dyDescent="0.25">
      <c r="B33" s="11"/>
      <c r="C33" s="13"/>
      <c r="D33" s="13"/>
      <c r="E33" s="10"/>
    </row>
    <row r="34" spans="2:5" ht="30" customHeight="1" x14ac:dyDescent="0.25">
      <c r="B34" s="11"/>
      <c r="C34" s="13"/>
      <c r="D34" s="13"/>
      <c r="E34" s="10"/>
    </row>
    <row r="35" spans="2:5" ht="30" customHeight="1" x14ac:dyDescent="0.25">
      <c r="B35" s="11"/>
      <c r="C35" s="13"/>
      <c r="D35" s="13"/>
      <c r="E35" s="10"/>
    </row>
    <row r="36" spans="2:5" ht="30" customHeight="1" x14ac:dyDescent="0.25">
      <c r="B36" s="11"/>
      <c r="C36" s="13"/>
      <c r="D36" s="13"/>
      <c r="E36" s="10"/>
    </row>
    <row r="37" spans="2:5" ht="30" customHeight="1" x14ac:dyDescent="0.25">
      <c r="B37" s="11"/>
      <c r="C37" s="13"/>
      <c r="D37" s="13"/>
      <c r="E37" s="10"/>
    </row>
    <row r="38" spans="2:5" ht="30" customHeight="1" x14ac:dyDescent="0.25">
      <c r="B38" s="11"/>
      <c r="C38" s="12"/>
      <c r="D38" s="12"/>
      <c r="E38" s="10"/>
    </row>
    <row r="39" spans="2:5" ht="30" customHeight="1" x14ac:dyDescent="0.25">
      <c r="B39" s="11"/>
      <c r="C39" s="12"/>
      <c r="D39" s="12"/>
      <c r="E39" s="10"/>
    </row>
    <row r="40" spans="2:5" ht="30" customHeight="1" x14ac:dyDescent="0.25">
      <c r="B40" s="11"/>
      <c r="C40" s="12"/>
      <c r="D40" s="12"/>
      <c r="E40" s="10"/>
    </row>
    <row r="41" spans="2:5" ht="30" customHeight="1" x14ac:dyDescent="0.25">
      <c r="B41" s="11"/>
      <c r="C41" s="13"/>
      <c r="D41" s="13"/>
      <c r="E41" s="10"/>
    </row>
    <row r="42" spans="2:5" ht="30" customHeight="1" x14ac:dyDescent="0.25">
      <c r="B42" s="11"/>
      <c r="C42" s="13"/>
      <c r="D42" s="13"/>
      <c r="E42" s="10"/>
    </row>
    <row r="43" spans="2:5" ht="30" customHeight="1" x14ac:dyDescent="0.25">
      <c r="B43" s="11"/>
      <c r="C43" s="13"/>
      <c r="D43" s="13"/>
      <c r="E43" s="10"/>
    </row>
    <row r="44" spans="2:5" ht="30" customHeight="1" x14ac:dyDescent="0.25">
      <c r="B44" s="11"/>
      <c r="C44" s="13"/>
      <c r="D44" s="13"/>
      <c r="E44" s="10"/>
    </row>
    <row r="45" spans="2:5" ht="30" customHeight="1" x14ac:dyDescent="0.25">
      <c r="B45" s="11"/>
      <c r="C45" s="13"/>
      <c r="D45" s="13"/>
      <c r="E45" s="10"/>
    </row>
    <row r="46" spans="2:5" ht="30" customHeight="1" x14ac:dyDescent="0.25">
      <c r="B46" s="11"/>
      <c r="C46" s="13"/>
      <c r="D46" s="13"/>
      <c r="E46" s="10"/>
    </row>
  </sheetData>
  <mergeCells count="6">
    <mergeCell ref="A18:B18"/>
    <mergeCell ref="A1:C1"/>
    <mergeCell ref="A2:C2"/>
    <mergeCell ref="A3:C3"/>
    <mergeCell ref="A4:C4"/>
    <mergeCell ref="A5:C5"/>
  </mergeCells>
  <pageMargins left="0.59055118110236227" right="0.31496062992125984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77"/>
  <sheetViews>
    <sheetView view="pageBreakPreview" zoomScale="60" zoomScaleNormal="90" zoomScalePageLayoutView="40" workbookViewId="0">
      <selection activeCell="F15" sqref="F15"/>
    </sheetView>
  </sheetViews>
  <sheetFormatPr defaultRowHeight="15" x14ac:dyDescent="0.25"/>
  <cols>
    <col min="1" max="1" width="4.42578125" customWidth="1"/>
    <col min="2" max="2" width="17.28515625" customWidth="1"/>
    <col min="3" max="4" width="37.7109375" customWidth="1"/>
    <col min="5" max="5" width="40.85546875" customWidth="1"/>
    <col min="6" max="8" width="37.7109375" customWidth="1"/>
  </cols>
  <sheetData>
    <row r="1" spans="1:8" ht="25.5" customHeight="1" x14ac:dyDescent="0.3">
      <c r="A1" s="34"/>
      <c r="B1" s="827" t="s">
        <v>127</v>
      </c>
      <c r="C1" s="827"/>
      <c r="D1" s="827"/>
      <c r="E1" s="827"/>
      <c r="F1" s="827"/>
      <c r="G1" s="827"/>
      <c r="H1" s="827"/>
    </row>
    <row r="2" spans="1:8" ht="25.5" customHeight="1" x14ac:dyDescent="0.3">
      <c r="A2" s="34"/>
      <c r="B2" s="827" t="s">
        <v>91</v>
      </c>
      <c r="C2" s="827"/>
      <c r="D2" s="827"/>
      <c r="E2" s="827"/>
      <c r="F2" s="827"/>
      <c r="G2" s="827"/>
      <c r="H2" s="827"/>
    </row>
    <row r="3" spans="1:8" ht="144" customHeight="1" x14ac:dyDescent="0.25">
      <c r="A3" s="834" t="s">
        <v>132</v>
      </c>
      <c r="B3" s="834"/>
      <c r="C3" s="834"/>
      <c r="D3" s="834"/>
      <c r="E3" s="834"/>
      <c r="F3" s="834"/>
      <c r="G3" s="834"/>
      <c r="H3" s="834"/>
    </row>
    <row r="4" spans="1:8" ht="25.5" customHeight="1" x14ac:dyDescent="0.25">
      <c r="A4" s="827" t="s">
        <v>112</v>
      </c>
      <c r="B4" s="827"/>
      <c r="C4" s="827"/>
      <c r="D4" s="827"/>
      <c r="E4" s="827"/>
      <c r="F4" s="827"/>
      <c r="G4" s="827"/>
      <c r="H4" s="827"/>
    </row>
    <row r="5" spans="1:8" ht="18" customHeight="1" x14ac:dyDescent="0.25">
      <c r="A5" s="840" t="s">
        <v>254</v>
      </c>
      <c r="B5" s="840"/>
      <c r="C5" s="840"/>
      <c r="D5" s="840"/>
      <c r="E5" s="840"/>
      <c r="F5" s="840"/>
      <c r="G5" s="840"/>
      <c r="H5" s="840"/>
    </row>
    <row r="6" spans="1:8" ht="17.25" customHeight="1" thickBot="1" x14ac:dyDescent="0.3">
      <c r="A6" s="830" t="s">
        <v>171</v>
      </c>
      <c r="B6" s="830"/>
      <c r="C6" s="830"/>
      <c r="D6" s="830"/>
      <c r="E6" s="830"/>
      <c r="F6" s="830"/>
      <c r="G6" s="830"/>
      <c r="H6" s="830"/>
    </row>
    <row r="7" spans="1:8" ht="21.75" customHeight="1" thickBot="1" x14ac:dyDescent="0.3">
      <c r="A7" s="835" t="s">
        <v>54</v>
      </c>
      <c r="B7" s="837" t="s">
        <v>55</v>
      </c>
      <c r="C7" s="680" t="s">
        <v>5</v>
      </c>
      <c r="D7" s="681" t="s">
        <v>102</v>
      </c>
      <c r="E7" s="681" t="s">
        <v>101</v>
      </c>
      <c r="F7" s="681" t="s">
        <v>8</v>
      </c>
      <c r="G7" s="681" t="s">
        <v>9</v>
      </c>
      <c r="H7" s="682" t="s">
        <v>253</v>
      </c>
    </row>
    <row r="8" spans="1:8" ht="94.5" customHeight="1" thickBot="1" x14ac:dyDescent="0.3">
      <c r="A8" s="836"/>
      <c r="B8" s="838"/>
      <c r="C8" s="677" t="s">
        <v>77</v>
      </c>
      <c r="D8" s="678" t="s">
        <v>252</v>
      </c>
      <c r="E8" s="678" t="s">
        <v>299</v>
      </c>
      <c r="F8" s="678" t="s">
        <v>134</v>
      </c>
      <c r="G8" s="678" t="s">
        <v>98</v>
      </c>
      <c r="H8" s="679" t="s">
        <v>82</v>
      </c>
    </row>
    <row r="9" spans="1:8" ht="45" customHeight="1" x14ac:dyDescent="0.25">
      <c r="A9" s="839" t="s">
        <v>0</v>
      </c>
      <c r="B9" s="49" t="s">
        <v>10</v>
      </c>
      <c r="C9" s="123"/>
      <c r="D9" s="83"/>
      <c r="E9" s="83"/>
      <c r="F9" s="79" t="s">
        <v>279</v>
      </c>
      <c r="G9" s="83"/>
      <c r="H9" s="84"/>
    </row>
    <row r="10" spans="1:8" ht="45" customHeight="1" x14ac:dyDescent="0.25">
      <c r="A10" s="832"/>
      <c r="B10" s="50" t="s">
        <v>11</v>
      </c>
      <c r="C10" s="124"/>
      <c r="D10" s="79"/>
      <c r="E10" s="79"/>
      <c r="F10" s="79" t="s">
        <v>278</v>
      </c>
      <c r="G10" s="80"/>
      <c r="H10" s="85"/>
    </row>
    <row r="11" spans="1:8" ht="45" customHeight="1" x14ac:dyDescent="0.25">
      <c r="A11" s="832"/>
      <c r="B11" s="50" t="s">
        <v>12</v>
      </c>
      <c r="C11" s="124"/>
      <c r="D11" s="79"/>
      <c r="E11" s="79"/>
      <c r="F11" s="79"/>
      <c r="G11" s="79"/>
      <c r="H11" s="85"/>
    </row>
    <row r="12" spans="1:8" ht="45" customHeight="1" x14ac:dyDescent="0.25">
      <c r="A12" s="832"/>
      <c r="B12" s="50" t="s">
        <v>13</v>
      </c>
      <c r="C12" s="124"/>
      <c r="D12" s="79"/>
      <c r="E12" s="79"/>
      <c r="F12" s="80"/>
      <c r="G12" s="81"/>
      <c r="H12" s="85"/>
    </row>
    <row r="13" spans="1:8" ht="45" customHeight="1" x14ac:dyDescent="0.25">
      <c r="A13" s="832"/>
      <c r="B13" s="118" t="s">
        <v>15</v>
      </c>
      <c r="C13" s="125"/>
      <c r="D13" s="79" t="s">
        <v>296</v>
      </c>
      <c r="E13" s="79"/>
      <c r="F13" s="79"/>
      <c r="G13" s="81"/>
      <c r="H13" s="355"/>
    </row>
    <row r="14" spans="1:8" ht="45" customHeight="1" thickBot="1" x14ac:dyDescent="0.3">
      <c r="A14" s="833"/>
      <c r="B14" s="119" t="s">
        <v>64</v>
      </c>
      <c r="C14" s="146"/>
      <c r="D14" s="147"/>
      <c r="E14" s="147"/>
      <c r="F14" s="237"/>
      <c r="G14" s="147"/>
      <c r="H14" s="149"/>
    </row>
    <row r="15" spans="1:8" ht="43.5" customHeight="1" x14ac:dyDescent="0.25">
      <c r="A15" s="828" t="s">
        <v>1</v>
      </c>
      <c r="B15" s="120" t="s">
        <v>10</v>
      </c>
      <c r="C15" s="123"/>
      <c r="D15" s="83"/>
      <c r="E15" s="83"/>
      <c r="F15" s="83"/>
      <c r="G15" s="83"/>
      <c r="H15" s="84"/>
    </row>
    <row r="16" spans="1:8" ht="43.5" customHeight="1" x14ac:dyDescent="0.25">
      <c r="A16" s="828"/>
      <c r="B16" s="50" t="s">
        <v>11</v>
      </c>
      <c r="C16" s="124"/>
      <c r="D16" s="245"/>
      <c r="E16" s="245"/>
      <c r="F16" s="79"/>
      <c r="G16" s="79"/>
      <c r="H16" s="91"/>
    </row>
    <row r="17" spans="1:13" ht="43.5" customHeight="1" x14ac:dyDescent="0.25">
      <c r="A17" s="828"/>
      <c r="B17" s="50" t="s">
        <v>12</v>
      </c>
      <c r="C17" s="126"/>
      <c r="D17" s="81"/>
      <c r="E17" s="81"/>
      <c r="F17" s="79"/>
      <c r="G17" s="79"/>
      <c r="H17" s="91"/>
    </row>
    <row r="18" spans="1:13" ht="43.5" customHeight="1" x14ac:dyDescent="0.25">
      <c r="A18" s="828"/>
      <c r="B18" s="50" t="s">
        <v>13</v>
      </c>
      <c r="C18" s="124"/>
      <c r="D18" s="81"/>
      <c r="E18" s="81"/>
      <c r="F18" s="79"/>
      <c r="G18" s="79"/>
      <c r="H18" s="85"/>
    </row>
    <row r="19" spans="1:13" ht="60" customHeight="1" x14ac:dyDescent="0.25">
      <c r="A19" s="828"/>
      <c r="B19" s="121" t="s">
        <v>15</v>
      </c>
      <c r="C19" s="284" t="s">
        <v>274</v>
      </c>
      <c r="D19" s="81" t="s">
        <v>273</v>
      </c>
      <c r="E19" s="81"/>
      <c r="F19" s="82"/>
      <c r="G19" s="79"/>
      <c r="H19" s="91"/>
    </row>
    <row r="20" spans="1:13" ht="43.5" customHeight="1" x14ac:dyDescent="0.25">
      <c r="A20" s="828"/>
      <c r="B20" s="121" t="s">
        <v>64</v>
      </c>
      <c r="C20" s="481"/>
      <c r="D20" s="147"/>
      <c r="E20" s="147"/>
      <c r="F20" s="148"/>
      <c r="G20" s="482"/>
      <c r="H20" s="483"/>
    </row>
    <row r="21" spans="1:13" ht="43.5" customHeight="1" thickBot="1" x14ac:dyDescent="0.3">
      <c r="A21" s="828"/>
      <c r="B21" s="121" t="s">
        <v>103</v>
      </c>
      <c r="C21" s="358"/>
      <c r="D21" s="87"/>
      <c r="E21" s="87"/>
      <c r="F21" s="93"/>
      <c r="G21" s="237"/>
      <c r="H21" s="151"/>
      <c r="K21" s="3"/>
    </row>
    <row r="22" spans="1:13" ht="45" customHeight="1" x14ac:dyDescent="0.25">
      <c r="A22" s="831" t="s">
        <v>2</v>
      </c>
      <c r="B22" s="49" t="s">
        <v>10</v>
      </c>
      <c r="C22" s="235"/>
      <c r="D22" s="236"/>
      <c r="E22" s="236"/>
      <c r="F22" s="154"/>
      <c r="G22" s="154"/>
      <c r="H22" s="155"/>
    </row>
    <row r="23" spans="1:13" ht="45" customHeight="1" x14ac:dyDescent="0.25">
      <c r="A23" s="832"/>
      <c r="B23" s="50" t="s">
        <v>11</v>
      </c>
      <c r="C23" s="124"/>
      <c r="D23" s="79"/>
      <c r="E23" s="154"/>
      <c r="F23" s="154"/>
      <c r="G23" s="79"/>
      <c r="H23" s="91"/>
    </row>
    <row r="24" spans="1:13" ht="45" customHeight="1" x14ac:dyDescent="0.25">
      <c r="A24" s="832"/>
      <c r="B24" s="50" t="s">
        <v>12</v>
      </c>
      <c r="C24" s="124"/>
      <c r="D24" s="79"/>
      <c r="E24" s="79"/>
      <c r="F24" s="79"/>
      <c r="G24" s="79"/>
      <c r="H24" s="91"/>
      <c r="K24" s="3"/>
    </row>
    <row r="25" spans="1:13" ht="45" customHeight="1" x14ac:dyDescent="0.25">
      <c r="A25" s="832"/>
      <c r="B25" s="50" t="s">
        <v>13</v>
      </c>
      <c r="C25" s="126"/>
      <c r="D25" s="80"/>
      <c r="E25" s="80"/>
      <c r="F25" s="80"/>
      <c r="G25" s="79"/>
      <c r="H25" s="91"/>
    </row>
    <row r="26" spans="1:13" ht="50.25" customHeight="1" x14ac:dyDescent="0.25">
      <c r="A26" s="832"/>
      <c r="B26" s="118" t="s">
        <v>15</v>
      </c>
      <c r="C26" s="284"/>
      <c r="D26" s="245"/>
      <c r="E26" s="245"/>
      <c r="F26" s="82"/>
      <c r="G26" s="81"/>
      <c r="H26" s="86" t="s">
        <v>272</v>
      </c>
    </row>
    <row r="27" spans="1:13" ht="45" customHeight="1" thickBot="1" x14ac:dyDescent="0.3">
      <c r="A27" s="833"/>
      <c r="B27" s="51" t="s">
        <v>103</v>
      </c>
      <c r="C27" s="188"/>
      <c r="D27" s="87"/>
      <c r="E27" s="87"/>
      <c r="F27" s="237"/>
      <c r="G27" s="93"/>
      <c r="H27" s="151"/>
    </row>
    <row r="28" spans="1:13" ht="45" customHeight="1" x14ac:dyDescent="0.25">
      <c r="A28" s="831" t="s">
        <v>3</v>
      </c>
      <c r="B28" s="120" t="s">
        <v>10</v>
      </c>
      <c r="C28" s="153"/>
      <c r="D28" s="245"/>
      <c r="E28" s="672"/>
      <c r="F28" s="154"/>
      <c r="G28" s="154"/>
      <c r="H28" s="155"/>
      <c r="M28" s="24"/>
    </row>
    <row r="29" spans="1:13" ht="45" customHeight="1" x14ac:dyDescent="0.25">
      <c r="A29" s="832"/>
      <c r="B29" s="50" t="s">
        <v>11</v>
      </c>
      <c r="C29" s="124"/>
      <c r="D29" s="79"/>
      <c r="E29" s="79"/>
      <c r="F29" s="80"/>
      <c r="G29" s="79"/>
      <c r="H29" s="91"/>
    </row>
    <row r="30" spans="1:13" ht="45" customHeight="1" x14ac:dyDescent="0.25">
      <c r="A30" s="832"/>
      <c r="B30" s="50" t="s">
        <v>12</v>
      </c>
      <c r="C30" s="125"/>
      <c r="D30" s="82"/>
      <c r="E30" s="82"/>
      <c r="F30" s="82"/>
      <c r="G30" s="82"/>
      <c r="H30" s="86"/>
    </row>
    <row r="31" spans="1:13" ht="45" customHeight="1" x14ac:dyDescent="0.25">
      <c r="A31" s="832"/>
      <c r="B31" s="50" t="s">
        <v>13</v>
      </c>
      <c r="C31" s="124"/>
      <c r="D31" s="82"/>
      <c r="E31" s="82"/>
      <c r="F31" s="82"/>
      <c r="G31" s="82"/>
      <c r="H31" s="86"/>
    </row>
    <row r="32" spans="1:13" ht="60.75" x14ac:dyDescent="0.25">
      <c r="A32" s="832"/>
      <c r="B32" s="118" t="s">
        <v>15</v>
      </c>
      <c r="C32" s="150"/>
      <c r="D32" s="81"/>
      <c r="E32" s="81" t="s">
        <v>298</v>
      </c>
      <c r="F32" s="90"/>
      <c r="G32" s="90"/>
      <c r="H32" s="92"/>
    </row>
    <row r="33" spans="1:8" ht="45" customHeight="1" x14ac:dyDescent="0.25">
      <c r="A33" s="832"/>
      <c r="B33" s="357" t="s">
        <v>64</v>
      </c>
      <c r="C33" s="356"/>
      <c r="D33" s="147"/>
      <c r="E33" s="147"/>
      <c r="F33" s="152"/>
      <c r="G33" s="152"/>
      <c r="H33" s="239"/>
    </row>
    <row r="34" spans="1:8" ht="67.5" customHeight="1" thickBot="1" x14ac:dyDescent="0.3">
      <c r="A34" s="833"/>
      <c r="B34" s="122" t="s">
        <v>103</v>
      </c>
      <c r="C34" s="238"/>
      <c r="D34" s="147"/>
      <c r="E34" s="147" t="s">
        <v>303</v>
      </c>
      <c r="F34" s="152"/>
      <c r="G34" s="152"/>
      <c r="H34" s="239"/>
    </row>
    <row r="35" spans="1:8" ht="45" customHeight="1" x14ac:dyDescent="0.25">
      <c r="A35" s="828" t="s">
        <v>4</v>
      </c>
      <c r="B35" s="120" t="s">
        <v>10</v>
      </c>
      <c r="C35" s="240"/>
      <c r="D35" s="241"/>
      <c r="E35" s="241"/>
      <c r="F35" s="241"/>
      <c r="G35" s="241"/>
      <c r="H35" s="242"/>
    </row>
    <row r="36" spans="1:8" ht="45" customHeight="1" x14ac:dyDescent="0.25">
      <c r="A36" s="828"/>
      <c r="B36" s="50" t="s">
        <v>11</v>
      </c>
      <c r="C36" s="125"/>
      <c r="D36" s="82"/>
      <c r="E36" s="82"/>
      <c r="F36" s="82"/>
      <c r="G36" s="82"/>
      <c r="H36" s="86"/>
    </row>
    <row r="37" spans="1:8" ht="45" customHeight="1" x14ac:dyDescent="0.25">
      <c r="A37" s="828"/>
      <c r="B37" s="50" t="s">
        <v>12</v>
      </c>
      <c r="C37" s="124"/>
      <c r="D37" s="79"/>
      <c r="E37" s="79"/>
      <c r="F37" s="82"/>
      <c r="G37" s="79"/>
      <c r="H37" s="91"/>
    </row>
    <row r="38" spans="1:8" ht="45" customHeight="1" x14ac:dyDescent="0.25">
      <c r="A38" s="828"/>
      <c r="B38" s="50" t="s">
        <v>13</v>
      </c>
      <c r="C38" s="243"/>
      <c r="D38" s="81"/>
      <c r="E38" s="81"/>
      <c r="F38" s="79"/>
      <c r="G38" s="79"/>
      <c r="H38" s="160"/>
    </row>
    <row r="39" spans="1:8" ht="60" customHeight="1" thickBot="1" x14ac:dyDescent="0.3">
      <c r="A39" s="828"/>
      <c r="B39" s="51" t="s">
        <v>15</v>
      </c>
      <c r="C39" s="146"/>
      <c r="D39" s="245"/>
      <c r="E39" s="673"/>
      <c r="F39" s="148"/>
      <c r="G39" s="148"/>
      <c r="H39" s="149"/>
    </row>
    <row r="40" spans="1:8" ht="41.25" customHeight="1" x14ac:dyDescent="0.25">
      <c r="A40" s="828" t="s">
        <v>47</v>
      </c>
      <c r="B40" s="49" t="s">
        <v>10</v>
      </c>
      <c r="C40" s="187"/>
      <c r="D40" s="156"/>
      <c r="E40" s="156"/>
      <c r="F40" s="156"/>
      <c r="G40" s="156"/>
      <c r="H40" s="84"/>
    </row>
    <row r="41" spans="1:8" ht="41.25" customHeight="1" x14ac:dyDescent="0.25">
      <c r="A41" s="828"/>
      <c r="B41" s="50" t="s">
        <v>11</v>
      </c>
      <c r="C41" s="124"/>
      <c r="D41" s="79"/>
      <c r="E41" s="79"/>
      <c r="F41" s="80"/>
      <c r="G41" s="79"/>
      <c r="H41" s="85"/>
    </row>
    <row r="42" spans="1:8" ht="41.25" customHeight="1" x14ac:dyDescent="0.25">
      <c r="A42" s="828"/>
      <c r="B42" s="50" t="s">
        <v>12</v>
      </c>
      <c r="C42" s="126"/>
      <c r="D42" s="80"/>
      <c r="E42" s="80"/>
      <c r="F42" s="90"/>
      <c r="G42" s="80"/>
      <c r="H42" s="246"/>
    </row>
    <row r="43" spans="1:8" ht="41.25" customHeight="1" x14ac:dyDescent="0.25">
      <c r="A43" s="828"/>
      <c r="B43" s="50" t="s">
        <v>13</v>
      </c>
      <c r="C43" s="243"/>
      <c r="D43" s="79"/>
      <c r="E43" s="79"/>
      <c r="F43" s="79"/>
      <c r="G43" s="80"/>
      <c r="H43" s="160"/>
    </row>
    <row r="44" spans="1:8" ht="41.25" customHeight="1" thickBot="1" x14ac:dyDescent="0.3">
      <c r="A44" s="829"/>
      <c r="B44" s="51" t="s">
        <v>15</v>
      </c>
      <c r="C44" s="247"/>
      <c r="D44" s="93"/>
      <c r="E44" s="93"/>
      <c r="F44" s="93"/>
      <c r="G44" s="93"/>
      <c r="H44" s="151"/>
    </row>
    <row r="45" spans="1:8" s="19" customFormat="1" ht="15.75" hidden="1" x14ac:dyDescent="0.25">
      <c r="A45" s="18"/>
      <c r="B45" s="22" t="str">
        <f>'01.09'!C39</f>
        <v>*Л. Речевое общение в профессиональной деятельности*</v>
      </c>
      <c r="C45" s="244">
        <f>'07.09'!D40+COUNTIF(C$9:C$44,$B45)</f>
        <v>2</v>
      </c>
      <c r="D45" s="244">
        <f>'07.09'!E40+COUNTIF(D$9:D$44,$B45)</f>
        <v>2</v>
      </c>
      <c r="E45" s="244"/>
      <c r="F45" s="244">
        <f>'07.09'!G40+COUNTIF(F$9:F$44,$B45)</f>
        <v>2</v>
      </c>
      <c r="G45" s="244">
        <f>'07.09'!H40+COUNTIF(G$9:G$44,$B45)</f>
        <v>2</v>
      </c>
      <c r="H45" s="244">
        <f>'07.09'!I40+COUNTIF(H$9:H$44,$B45)</f>
        <v>2</v>
      </c>
    </row>
    <row r="46" spans="1:8" s="19" customFormat="1" ht="15.75" hidden="1" x14ac:dyDescent="0.25">
      <c r="A46" s="18"/>
      <c r="B46" s="22" t="str">
        <f>'01.09'!C40</f>
        <v>*Пр. Речевое общение в профессиональной деятельности*</v>
      </c>
      <c r="C46" s="23">
        <f>'07.09'!D41+COUNTIF(C$9:C$44,$B46)</f>
        <v>0</v>
      </c>
      <c r="D46" s="23">
        <f>'07.09'!E41+COUNTIF(D$9:D$44,$B46)</f>
        <v>0</v>
      </c>
      <c r="E46" s="23"/>
      <c r="F46" s="23">
        <f>'07.09'!G41+COUNTIF(F$9:F$44,$B46)</f>
        <v>0</v>
      </c>
      <c r="G46" s="23">
        <f>'07.09'!H41+COUNTIF(G$9:G$44,$B46)</f>
        <v>0</v>
      </c>
      <c r="H46" s="23">
        <f>'07.09'!I41+COUNTIF(H$9:H$44,$B46)</f>
        <v>0</v>
      </c>
    </row>
    <row r="47" spans="1:8" s="19" customFormat="1" ht="15.75" hidden="1" x14ac:dyDescent="0.25">
      <c r="A47" s="18"/>
      <c r="B47" s="20" t="str">
        <f>'01.09'!C41</f>
        <v>*Л. Элективные дисциплины по ФКиС: Силовая подготовка*</v>
      </c>
      <c r="C47" s="21">
        <f>'07.09'!D42+COUNTIF(C$9:C$44,$B47)</f>
        <v>1</v>
      </c>
      <c r="D47" s="21">
        <f>'07.09'!E42+COUNTIF(D$9:D$44,$B47)</f>
        <v>1</v>
      </c>
      <c r="E47" s="21"/>
      <c r="F47" s="21">
        <f>'07.09'!G42+COUNTIF(F$9:F$44,$B47)</f>
        <v>1</v>
      </c>
      <c r="G47" s="21">
        <f>'07.09'!H42+COUNTIF(G$9:G$44,$B47)</f>
        <v>1</v>
      </c>
      <c r="H47" s="21">
        <f>'07.09'!I42+COUNTIF(H$9:H$44,$B47)</f>
        <v>1</v>
      </c>
    </row>
    <row r="48" spans="1:8" s="19" customFormat="1" ht="15.75" hidden="1" x14ac:dyDescent="0.25">
      <c r="A48" s="18"/>
      <c r="B48" s="20" t="str">
        <f>'01.09'!C42</f>
        <v>*Пр. Элективные дисциплины по ФКиС: Силовая подготовка*</v>
      </c>
      <c r="C48" s="21">
        <f>'07.09'!D43+COUNTIF(C$9:C$44,$B48)</f>
        <v>1</v>
      </c>
      <c r="D48" s="21">
        <f>'07.09'!E43+COUNTIF(D$9:D$44,$B48)</f>
        <v>1</v>
      </c>
      <c r="E48" s="21"/>
      <c r="F48" s="21">
        <f>'07.09'!G43+COUNTIF(F$9:F$44,$B48)</f>
        <v>1</v>
      </c>
      <c r="G48" s="21">
        <f>'07.09'!H43+COUNTIF(G$9:G$44,$B48)</f>
        <v>1</v>
      </c>
      <c r="H48" s="21">
        <f>'07.09'!I43+COUNTIF(H$9:H$44,$B48)</f>
        <v>1</v>
      </c>
    </row>
    <row r="49" spans="1:8" s="19" customFormat="1" ht="15.75" hidden="1" x14ac:dyDescent="0.25">
      <c r="A49" s="18"/>
      <c r="B49" s="20" t="str">
        <f>'01.09'!C43</f>
        <v>*Л. Анатомия*</v>
      </c>
      <c r="C49" s="21">
        <f>'07.09'!D44+COUNTIF(C$9:C$44,$B49)</f>
        <v>1</v>
      </c>
      <c r="D49" s="21">
        <f>'07.09'!E44+COUNTIF(D$9:D$44,$B49)</f>
        <v>1</v>
      </c>
      <c r="E49" s="21"/>
      <c r="F49" s="21">
        <f>'07.09'!G44+COUNTIF(F$9:F$44,$B49)</f>
        <v>1</v>
      </c>
      <c r="G49" s="21">
        <f>'07.09'!H44+COUNTIF(G$9:G$44,$B49)</f>
        <v>1</v>
      </c>
      <c r="H49" s="21">
        <f>'07.09'!I44+COUNTIF(H$9:H$44,$B49)</f>
        <v>1</v>
      </c>
    </row>
    <row r="50" spans="1:8" s="19" customFormat="1" ht="15.75" hidden="1" x14ac:dyDescent="0.25">
      <c r="A50" s="18"/>
      <c r="B50" s="20" t="str">
        <f>'01.09'!C44</f>
        <v>*Пр. Анатомия*</v>
      </c>
      <c r="C50" s="21">
        <f>'07.09'!D45+COUNTIF(C$9:C$44,$B50)</f>
        <v>0</v>
      </c>
      <c r="D50" s="21">
        <f>'07.09'!E45+COUNTIF(D$9:D$44,$B50)</f>
        <v>0</v>
      </c>
      <c r="E50" s="21"/>
      <c r="F50" s="21">
        <f>'07.09'!G45+COUNTIF(F$9:F$44,$B50)</f>
        <v>0</v>
      </c>
      <c r="G50" s="21">
        <f>'07.09'!H45+COUNTIF(G$9:G$44,$B50)</f>
        <v>0</v>
      </c>
      <c r="H50" s="21">
        <f>'07.09'!I45+COUNTIF(H$9:H$44,$B50)</f>
        <v>0</v>
      </c>
    </row>
    <row r="51" spans="1:8" s="19" customFormat="1" ht="15.75" hidden="1" x14ac:dyDescent="0.25">
      <c r="A51" s="18"/>
      <c r="B51" s="20" t="str">
        <f>'01.09'!C45</f>
        <v>*Л. Теория и методика*</v>
      </c>
      <c r="C51" s="21">
        <f>'07.09'!D46+COUNTIF(C$9:C$44,$B51)</f>
        <v>1</v>
      </c>
      <c r="D51" s="21">
        <f>'07.09'!E46+COUNTIF(D$9:D$44,$B51)</f>
        <v>1</v>
      </c>
      <c r="E51" s="21"/>
      <c r="F51" s="21">
        <f>'07.09'!G46+COUNTIF(F$9:F$44,$B51)</f>
        <v>1</v>
      </c>
      <c r="G51" s="21">
        <f>'07.09'!H46+COUNTIF(G$9:G$44,$B51)</f>
        <v>1</v>
      </c>
      <c r="H51" s="21">
        <f>'07.09'!I46+COUNTIF(H$9:H$44,$B51)</f>
        <v>1</v>
      </c>
    </row>
    <row r="52" spans="1:8" s="19" customFormat="1" ht="15.75" hidden="1" x14ac:dyDescent="0.25">
      <c r="A52" s="18"/>
      <c r="B52" s="20" t="str">
        <f>'01.09'!C46</f>
        <v>*Пр. Теория и методика*</v>
      </c>
      <c r="C52" s="21">
        <f>'07.09'!D47+COUNTIF(C$9:C$44,$B52)</f>
        <v>4</v>
      </c>
      <c r="D52" s="21">
        <f>'07.09'!E47+COUNTIF(D$9:D$44,$B52)</f>
        <v>5</v>
      </c>
      <c r="E52" s="21"/>
      <c r="F52" s="21">
        <f>'07.09'!G47+COUNTIF(F$9:F$44,$B52)</f>
        <v>5</v>
      </c>
      <c r="G52" s="21">
        <f>'07.09'!H47+COUNTIF(G$9:G$44,$B52)</f>
        <v>5</v>
      </c>
      <c r="H52" s="21">
        <f>'07.09'!I47+COUNTIF(H$9:H$44,$B52)</f>
        <v>4</v>
      </c>
    </row>
    <row r="53" spans="1:8" s="19" customFormat="1" ht="15.75" hidden="1" x14ac:dyDescent="0.25">
      <c r="A53" s="18"/>
      <c r="B53" s="20" t="str">
        <f>'01.09'!C47</f>
        <v>*Л. Физическая культура и спорт*</v>
      </c>
      <c r="C53" s="21">
        <f>'07.09'!D48+COUNTIF(C$9:C$44,$B53)</f>
        <v>2</v>
      </c>
      <c r="D53" s="21">
        <f>'07.09'!E48+COUNTIF(D$9:D$44,$B53)</f>
        <v>2</v>
      </c>
      <c r="E53" s="21"/>
      <c r="F53" s="21">
        <f>'07.09'!G48+COUNTIF(F$9:F$44,$B53)</f>
        <v>2</v>
      </c>
      <c r="G53" s="21">
        <f>'07.09'!H48+COUNTIF(G$9:G$44,$B53)</f>
        <v>2</v>
      </c>
      <c r="H53" s="21">
        <f>'07.09'!I48+COUNTIF(H$9:H$44,$B53)</f>
        <v>2</v>
      </c>
    </row>
    <row r="54" spans="1:8" s="19" customFormat="1" ht="15.75" hidden="1" x14ac:dyDescent="0.25">
      <c r="A54" s="18"/>
      <c r="B54" s="20" t="str">
        <f>'01.09'!C48</f>
        <v>*Пр. Физическая культура и спорт*</v>
      </c>
      <c r="C54" s="21">
        <f>'07.09'!D49+COUNTIF(C$9:C$44,$B54)</f>
        <v>0</v>
      </c>
      <c r="D54" s="21">
        <f>'07.09'!E49+COUNTIF(D$9:D$44,$B54)</f>
        <v>0</v>
      </c>
      <c r="E54" s="21"/>
      <c r="F54" s="21">
        <f>'07.09'!G49+COUNTIF(F$9:F$44,$B54)</f>
        <v>0</v>
      </c>
      <c r="G54" s="21">
        <f>'07.09'!H49+COUNTIF(G$9:G$44,$B54)</f>
        <v>0</v>
      </c>
      <c r="H54" s="21">
        <f>'07.09'!I49+COUNTIF(H$9:H$44,$B54)</f>
        <v>0</v>
      </c>
    </row>
    <row r="55" spans="1:8" s="19" customFormat="1" ht="15.75" hidden="1" x14ac:dyDescent="0.25">
      <c r="A55" s="18"/>
      <c r="B55" s="20" t="str">
        <f>'01.09'!C49</f>
        <v>*Л. Информационные технологии*</v>
      </c>
      <c r="C55" s="21">
        <f>'07.09'!D50+COUNTIF(C$9:C$44,$B55)</f>
        <v>2</v>
      </c>
      <c r="D55" s="21">
        <f>'07.09'!E50+COUNTIF(D$9:D$44,$B55)</f>
        <v>2</v>
      </c>
      <c r="E55" s="21"/>
      <c r="F55" s="21">
        <f>'07.09'!G50+COUNTIF(F$9:F$44,$B55)</f>
        <v>2</v>
      </c>
      <c r="G55" s="21">
        <f>'07.09'!H50+COUNTIF(G$9:G$44,$B55)</f>
        <v>2</v>
      </c>
      <c r="H55" s="21">
        <f>'07.09'!I50+COUNTIF(H$9:H$44,$B55)</f>
        <v>2</v>
      </c>
    </row>
    <row r="56" spans="1:8" s="19" customFormat="1" ht="15.75" hidden="1" x14ac:dyDescent="0.25">
      <c r="A56" s="18"/>
      <c r="B56" s="20" t="str">
        <f>'01.09'!C50</f>
        <v>*Пр. Информационные технологии*</v>
      </c>
      <c r="C56" s="21">
        <f>'07.09'!D51+COUNTIF(C$9:C$44,$B56)</f>
        <v>1</v>
      </c>
      <c r="D56" s="21">
        <f>'07.09'!E51+COUNTIF(D$9:D$44,$B56)</f>
        <v>1</v>
      </c>
      <c r="E56" s="21"/>
      <c r="F56" s="21">
        <f>'07.09'!G51+COUNTIF(F$9:F$44,$B56)</f>
        <v>1</v>
      </c>
      <c r="G56" s="21">
        <f>'07.09'!H51+COUNTIF(G$9:G$44,$B56)</f>
        <v>1</v>
      </c>
      <c r="H56" s="21">
        <f>'07.09'!I51+COUNTIF(H$9:H$44,$B56)</f>
        <v>1</v>
      </c>
    </row>
    <row r="57" spans="1:8" s="19" customFormat="1" ht="15.75" hidden="1" x14ac:dyDescent="0.25">
      <c r="A57" s="18"/>
      <c r="B57" s="20" t="str">
        <f>'01.09'!C51</f>
        <v>*Л. Гимнастика*</v>
      </c>
      <c r="C57" s="21">
        <f>'07.09'!D52+COUNTIF(C$9:C$44,$B57)</f>
        <v>3</v>
      </c>
      <c r="D57" s="21">
        <f>'07.09'!E52+COUNTIF(D$9:D$44,$B57)</f>
        <v>3</v>
      </c>
      <c r="E57" s="21"/>
      <c r="F57" s="21">
        <f>'07.09'!G52+COUNTIF(F$9:F$44,$B57)</f>
        <v>3</v>
      </c>
      <c r="G57" s="21">
        <f>'07.09'!H52+COUNTIF(G$9:G$44,$B57)</f>
        <v>3</v>
      </c>
      <c r="H57" s="21">
        <f>'07.09'!I52+COUNTIF(H$9:H$44,$B57)</f>
        <v>3</v>
      </c>
    </row>
    <row r="58" spans="1:8" s="19" customFormat="1" ht="15.75" hidden="1" x14ac:dyDescent="0.25">
      <c r="A58" s="18"/>
      <c r="B58" s="20" t="str">
        <f>'01.09'!C52</f>
        <v>*Пр. Гимнастика*</v>
      </c>
      <c r="C58" s="21">
        <f>'07.09'!D53+COUNTIF(C$9:C$44,$B58)</f>
        <v>1</v>
      </c>
      <c r="D58" s="21">
        <f>'07.09'!E53+COUNTIF(D$9:D$44,$B58)</f>
        <v>2</v>
      </c>
      <c r="E58" s="21"/>
      <c r="F58" s="21">
        <f>'07.09'!G53+COUNTIF(F$9:F$44,$B58)</f>
        <v>1</v>
      </c>
      <c r="G58" s="21">
        <f>'07.09'!H53+COUNTIF(G$9:G$44,$B58)</f>
        <v>2</v>
      </c>
      <c r="H58" s="21">
        <f>'07.09'!I53+COUNTIF(H$9:H$44,$B58)</f>
        <v>2</v>
      </c>
    </row>
    <row r="59" spans="1:8" s="19" customFormat="1" ht="15.75" hidden="1" x14ac:dyDescent="0.25">
      <c r="A59" s="18"/>
      <c r="B59" s="20" t="str">
        <f>'01.09'!C53</f>
        <v>*Л. Волейбол*</v>
      </c>
      <c r="C59" s="21">
        <f>'07.09'!D54+COUNTIF(C$9:C$44,$B59)</f>
        <v>1</v>
      </c>
      <c r="D59" s="21">
        <f>'07.09'!E54+COUNTIF(D$9:D$44,$B59)</f>
        <v>1</v>
      </c>
      <c r="E59" s="21"/>
      <c r="F59" s="21">
        <f>'07.09'!G54+COUNTIF(F$9:F$44,$B59)</f>
        <v>1</v>
      </c>
      <c r="G59" s="21">
        <f>'07.09'!H54+COUNTIF(G$9:G$44,$B59)</f>
        <v>1</v>
      </c>
      <c r="H59" s="21">
        <f>'07.09'!I54+COUNTIF(H$9:H$44,$B59)</f>
        <v>1</v>
      </c>
    </row>
    <row r="60" spans="1:8" s="19" customFormat="1" ht="15.75" hidden="1" x14ac:dyDescent="0.25">
      <c r="A60" s="18"/>
      <c r="B60" s="20" t="str">
        <f>'01.09'!C54</f>
        <v>*Пр. Волейбол*</v>
      </c>
      <c r="C60" s="21">
        <f>'07.09'!D55+COUNTIF(C$9:C$44,$B60)</f>
        <v>2</v>
      </c>
      <c r="D60" s="21">
        <f>'07.09'!E55+COUNTIF(D$9:D$44,$B60)</f>
        <v>2</v>
      </c>
      <c r="E60" s="21"/>
      <c r="F60" s="21">
        <f>'07.09'!G55+COUNTIF(F$9:F$44,$B60)</f>
        <v>1</v>
      </c>
      <c r="G60" s="21">
        <f>'07.09'!H55+COUNTIF(G$9:G$44,$B60)</f>
        <v>2</v>
      </c>
      <c r="H60" s="21">
        <f>'07.09'!I55+COUNTIF(H$9:H$44,$B60)</f>
        <v>2</v>
      </c>
    </row>
    <row r="61" spans="1:8" s="19" customFormat="1" ht="15.75" hidden="1" x14ac:dyDescent="0.25">
      <c r="A61" s="18"/>
      <c r="B61" s="20" t="str">
        <f>'01.09'!C55</f>
        <v>*Л. Лыжные гонки*</v>
      </c>
      <c r="C61" s="21">
        <f>'07.09'!D56+COUNTIF(C$9:C$44,$B61)</f>
        <v>0</v>
      </c>
      <c r="D61" s="21">
        <f>'07.09'!E56+COUNTIF(D$9:D$44,$B61)</f>
        <v>0</v>
      </c>
      <c r="E61" s="21"/>
      <c r="F61" s="21">
        <f>'07.09'!G56+COUNTIF(F$9:F$44,$B61)</f>
        <v>0</v>
      </c>
      <c r="G61" s="21">
        <f>'07.09'!H56+COUNTIF(G$9:G$44,$B61)</f>
        <v>0</v>
      </c>
      <c r="H61" s="21">
        <f>'07.09'!I56+COUNTIF(H$9:H$44,$B61)</f>
        <v>0</v>
      </c>
    </row>
    <row r="62" spans="1:8" s="19" customFormat="1" ht="15.75" hidden="1" x14ac:dyDescent="0.25">
      <c r="A62" s="18"/>
      <c r="B62" s="20" t="str">
        <f>'01.09'!C56</f>
        <v>*Пр. Лыжные гонки*</v>
      </c>
      <c r="C62" s="21">
        <f>'07.09'!D57+COUNTIF(C$9:C$44,$B62)</f>
        <v>0</v>
      </c>
      <c r="D62" s="21">
        <f>'07.09'!E57+COUNTIF(D$9:D$44,$B62)</f>
        <v>0</v>
      </c>
      <c r="E62" s="21"/>
      <c r="F62" s="21">
        <f>'07.09'!G57+COUNTIF(F$9:F$44,$B62)</f>
        <v>0</v>
      </c>
      <c r="G62" s="21">
        <f>'07.09'!H57+COUNTIF(G$9:G$44,$B62)</f>
        <v>0</v>
      </c>
      <c r="H62" s="21">
        <f>'07.09'!I57+COUNTIF(H$9:H$44,$B62)</f>
        <v>0</v>
      </c>
    </row>
    <row r="63" spans="1:8" s="19" customFormat="1" ht="15.75" hidden="1" x14ac:dyDescent="0.25">
      <c r="A63" s="18"/>
      <c r="B63" s="20" t="str">
        <f>'01.09'!C57</f>
        <v>*Л. Использование электронной*</v>
      </c>
      <c r="C63" s="21">
        <f>'07.09'!D58+COUNTIF(C$9:C$44,$B63)</f>
        <v>1</v>
      </c>
      <c r="D63" s="21">
        <f>'07.09'!E58+COUNTIF(D$9:D$44,$B63)</f>
        <v>0</v>
      </c>
      <c r="E63" s="21"/>
      <c r="F63" s="21">
        <f>'07.09'!G58+COUNTIF(F$9:F$44,$B63)</f>
        <v>0</v>
      </c>
      <c r="G63" s="21">
        <f>'07.09'!H58+COUNTIF(G$9:G$44,$B63)</f>
        <v>0</v>
      </c>
      <c r="H63" s="21">
        <f>'07.09'!I58+COUNTIF(H$9:H$44,$B63)</f>
        <v>0</v>
      </c>
    </row>
    <row r="64" spans="1:8" s="19" customFormat="1" ht="15.75" hidden="1" x14ac:dyDescent="0.25">
      <c r="A64" s="18"/>
      <c r="B64" s="20" t="str">
        <f>'01.09'!C58</f>
        <v>*Пр. Использование электронной*</v>
      </c>
      <c r="C64" s="21">
        <f>'07.09'!D59+COUNTIF(C$9:C$44,$B64)</f>
        <v>0</v>
      </c>
      <c r="D64" s="21">
        <f>'07.09'!E59+COUNTIF(D$9:D$44,$B64)</f>
        <v>0</v>
      </c>
      <c r="E64" s="21"/>
      <c r="F64" s="21">
        <f>'07.09'!G59+COUNTIF(F$9:F$44,$B64)</f>
        <v>0</v>
      </c>
      <c r="G64" s="21">
        <f>'07.09'!H59+COUNTIF(G$9:G$44,$B64)</f>
        <v>0</v>
      </c>
      <c r="H64" s="21">
        <f>'07.09'!I59+COUNTIF(H$9:H$44,$B64)</f>
        <v>0</v>
      </c>
    </row>
    <row r="65" spans="1:8" s="19" customFormat="1" ht="15.75" hidden="1" x14ac:dyDescent="0.25">
      <c r="A65" s="18"/>
      <c r="B65" s="20" t="str">
        <f>'01.09'!C59</f>
        <v>*Пр. Иностранный язык*</v>
      </c>
      <c r="C65" s="21">
        <f>'07.09'!D60+COUNTIF(C$9:C$44,$B65)</f>
        <v>1</v>
      </c>
      <c r="D65" s="21">
        <f>'07.09'!E60+COUNTIF(D$9:D$44,$B65)</f>
        <v>1</v>
      </c>
      <c r="E65" s="21"/>
      <c r="F65" s="21">
        <f>'07.09'!G60+COUNTIF(F$9:F$44,$B65)</f>
        <v>1</v>
      </c>
      <c r="G65" s="21">
        <f>'07.09'!H60+COUNTIF(G$9:G$44,$B65)</f>
        <v>1</v>
      </c>
      <c r="H65" s="21">
        <f>'07.09'!I60+COUNTIF(H$9:H$44,$B65)</f>
        <v>1</v>
      </c>
    </row>
    <row r="66" spans="1:8" s="19" customFormat="1" ht="15.75" hidden="1" x14ac:dyDescent="0.25">
      <c r="A66" s="18"/>
      <c r="B66" s="20" t="str">
        <f>'01.09'!C60</f>
        <v>*С1-04А-26*</v>
      </c>
      <c r="C66" s="21">
        <f>'07.09'!D61+COUNTIF(C$9:C$44,$B66)</f>
        <v>0</v>
      </c>
      <c r="D66" s="21">
        <f>'07.09'!E61+COUNTIF(D$9:D$44,$B66)</f>
        <v>0</v>
      </c>
      <c r="E66" s="21"/>
      <c r="F66" s="21">
        <f>'07.09'!G61+COUNTIF(F$9:F$44,$B66)</f>
        <v>1</v>
      </c>
      <c r="G66" s="21">
        <f>'07.09'!H61+COUNTIF(G$9:G$44,$B66)</f>
        <v>0</v>
      </c>
      <c r="H66" s="21">
        <f>'07.09'!I61+COUNTIF(H$9:H$44,$B66)</f>
        <v>0</v>
      </c>
    </row>
    <row r="67" spans="1:8" ht="23.25" x14ac:dyDescent="0.35">
      <c r="A67" s="2"/>
      <c r="B67" s="2"/>
      <c r="C67" s="70" t="s">
        <v>84</v>
      </c>
      <c r="D67" s="2"/>
      <c r="E67" s="2"/>
      <c r="F67" s="2"/>
      <c r="G67" s="2"/>
      <c r="H67" s="2"/>
    </row>
    <row r="68" spans="1:8" ht="23.25" x14ac:dyDescent="0.35">
      <c r="A68" s="2"/>
      <c r="B68" s="2"/>
      <c r="C68" s="70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  <row r="75" spans="1:8" x14ac:dyDescent="0.25">
      <c r="A75" s="2"/>
      <c r="B75" s="2"/>
      <c r="C75" s="2"/>
      <c r="D75" s="2"/>
      <c r="E75" s="2"/>
      <c r="F75" s="2"/>
      <c r="G75" s="2"/>
      <c r="H75" s="2"/>
    </row>
    <row r="76" spans="1:8" x14ac:dyDescent="0.25">
      <c r="A76" s="2"/>
      <c r="B76" s="2"/>
      <c r="C76" s="2"/>
      <c r="D76" s="2"/>
      <c r="E76" s="2"/>
      <c r="F76" s="2"/>
      <c r="G76" s="2"/>
      <c r="H76" s="2"/>
    </row>
    <row r="77" spans="1:8" x14ac:dyDescent="0.25">
      <c r="A77" s="2"/>
      <c r="B77" s="2"/>
      <c r="C77" s="2"/>
      <c r="D77" s="2"/>
      <c r="E77" s="2"/>
      <c r="F77" s="2"/>
      <c r="G77" s="2"/>
      <c r="H77" s="2"/>
    </row>
  </sheetData>
  <mergeCells count="14">
    <mergeCell ref="B1:H1"/>
    <mergeCell ref="B2:H2"/>
    <mergeCell ref="A40:A44"/>
    <mergeCell ref="A35:A39"/>
    <mergeCell ref="A4:H4"/>
    <mergeCell ref="A6:H6"/>
    <mergeCell ref="A22:A27"/>
    <mergeCell ref="A28:A34"/>
    <mergeCell ref="A3:H3"/>
    <mergeCell ref="A15:A21"/>
    <mergeCell ref="A7:A8"/>
    <mergeCell ref="B7:B8"/>
    <mergeCell ref="A9:A14"/>
    <mergeCell ref="A5:H5"/>
  </mergeCells>
  <pageMargins left="0.19685039370078741" right="0.19685039370078741" top="0.23622047244094491" bottom="0.23622047244094491" header="0.23622047244094491" footer="0.23622047244094491"/>
  <pageSetup paperSize="9" scale="39" fitToWidth="0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L38"/>
  <sheetViews>
    <sheetView view="pageBreakPreview" zoomScale="40" zoomScaleNormal="40" zoomScaleSheetLayoutView="40" workbookViewId="0">
      <selection activeCell="F19" sqref="F19"/>
    </sheetView>
  </sheetViews>
  <sheetFormatPr defaultRowHeight="15" x14ac:dyDescent="0.25"/>
  <cols>
    <col min="1" max="2" width="4.42578125" customWidth="1"/>
    <col min="3" max="3" width="24.85546875" customWidth="1"/>
    <col min="4" max="9" width="49.85546875" customWidth="1"/>
  </cols>
  <sheetData>
    <row r="1" spans="1:10" ht="33.75" customHeight="1" x14ac:dyDescent="0.3">
      <c r="A1" s="33"/>
      <c r="B1" s="33"/>
      <c r="C1" s="843" t="s">
        <v>127</v>
      </c>
      <c r="D1" s="843"/>
      <c r="E1" s="843"/>
      <c r="F1" s="843"/>
      <c r="G1" s="843"/>
      <c r="H1" s="843"/>
      <c r="I1" s="843"/>
    </row>
    <row r="2" spans="1:10" ht="33" customHeight="1" x14ac:dyDescent="0.25">
      <c r="A2" s="35"/>
      <c r="B2" s="35"/>
      <c r="C2" s="843" t="s">
        <v>91</v>
      </c>
      <c r="D2" s="843"/>
      <c r="E2" s="843"/>
      <c r="F2" s="843"/>
      <c r="G2" s="843"/>
      <c r="H2" s="843"/>
      <c r="I2" s="843"/>
    </row>
    <row r="3" spans="1:10" ht="219" customHeight="1" x14ac:dyDescent="0.25">
      <c r="A3" s="35"/>
      <c r="B3" s="784" t="s">
        <v>132</v>
      </c>
      <c r="C3" s="784"/>
      <c r="D3" s="784"/>
      <c r="E3" s="784"/>
      <c r="F3" s="784"/>
      <c r="G3" s="784"/>
      <c r="H3" s="784"/>
      <c r="I3" s="784"/>
    </row>
    <row r="4" spans="1:10" ht="28.5" customHeight="1" x14ac:dyDescent="0.25">
      <c r="A4" s="3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10" ht="37.5" customHeight="1" thickBot="1" x14ac:dyDescent="0.3">
      <c r="A5" s="36"/>
      <c r="B5" s="853" t="s">
        <v>254</v>
      </c>
      <c r="C5" s="853"/>
      <c r="D5" s="853"/>
      <c r="E5" s="853"/>
      <c r="F5" s="853"/>
      <c r="G5" s="853"/>
      <c r="H5" s="853"/>
      <c r="I5" s="853"/>
    </row>
    <row r="6" spans="1:10" ht="27" customHeight="1" thickBot="1" x14ac:dyDescent="0.3">
      <c r="A6" s="866" t="s">
        <v>54</v>
      </c>
      <c r="B6" s="866" t="s">
        <v>14</v>
      </c>
      <c r="C6" s="841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10" ht="134.25" customHeight="1" thickBot="1" x14ac:dyDescent="0.3">
      <c r="A7" s="867"/>
      <c r="B7" s="867"/>
      <c r="C7" s="842"/>
      <c r="D7" s="683" t="s">
        <v>77</v>
      </c>
      <c r="E7" s="684" t="s">
        <v>252</v>
      </c>
      <c r="F7" s="684" t="s">
        <v>299</v>
      </c>
      <c r="G7" s="684" t="s">
        <v>134</v>
      </c>
      <c r="H7" s="684" t="s">
        <v>98</v>
      </c>
      <c r="I7" s="685" t="s">
        <v>82</v>
      </c>
    </row>
    <row r="8" spans="1:10" ht="33" customHeight="1" x14ac:dyDescent="0.25">
      <c r="A8" s="857" t="s">
        <v>0</v>
      </c>
      <c r="B8" s="859"/>
      <c r="C8" s="76" t="s">
        <v>10</v>
      </c>
      <c r="D8" s="162"/>
      <c r="E8" s="163"/>
      <c r="F8" s="163"/>
      <c r="G8" s="163"/>
      <c r="H8" s="163"/>
      <c r="I8" s="164"/>
    </row>
    <row r="9" spans="1:10" ht="30" customHeight="1" x14ac:dyDescent="0.25">
      <c r="A9" s="858"/>
      <c r="B9" s="858"/>
      <c r="C9" s="77" t="s">
        <v>11</v>
      </c>
      <c r="D9" s="52"/>
      <c r="E9" s="55"/>
      <c r="F9" s="55"/>
      <c r="G9" s="55"/>
      <c r="H9" s="55"/>
      <c r="I9" s="54"/>
    </row>
    <row r="10" spans="1:10" ht="30" customHeight="1" x14ac:dyDescent="0.25">
      <c r="A10" s="858"/>
      <c r="B10" s="858"/>
      <c r="C10" s="77" t="s">
        <v>12</v>
      </c>
      <c r="D10" s="52"/>
      <c r="E10" s="55"/>
      <c r="F10" s="55"/>
      <c r="G10" s="55"/>
      <c r="H10" s="55"/>
      <c r="I10" s="54"/>
      <c r="J10" s="3"/>
    </row>
    <row r="11" spans="1:10" ht="30" customHeight="1" x14ac:dyDescent="0.25">
      <c r="A11" s="858"/>
      <c r="B11" s="858"/>
      <c r="C11" s="77" t="s">
        <v>13</v>
      </c>
      <c r="D11" s="52"/>
      <c r="E11" s="55"/>
      <c r="F11" s="55"/>
      <c r="G11" s="55"/>
      <c r="H11" s="55"/>
      <c r="I11" s="54"/>
    </row>
    <row r="12" spans="1:10" ht="30" customHeight="1" thickBot="1" x14ac:dyDescent="0.3">
      <c r="A12" s="858"/>
      <c r="B12" s="858"/>
      <c r="C12" s="78" t="s">
        <v>15</v>
      </c>
      <c r="D12" s="221"/>
      <c r="E12" s="222"/>
      <c r="F12" s="222"/>
      <c r="G12" s="100"/>
      <c r="H12" s="100"/>
      <c r="I12" s="223"/>
    </row>
    <row r="13" spans="1:10" ht="30" customHeight="1" x14ac:dyDescent="0.25">
      <c r="A13" s="858" t="s">
        <v>1</v>
      </c>
      <c r="B13" s="864"/>
      <c r="C13" s="76" t="s">
        <v>10</v>
      </c>
      <c r="D13" s="847"/>
      <c r="E13" s="848"/>
      <c r="F13" s="848"/>
      <c r="G13" s="848"/>
      <c r="H13" s="848"/>
      <c r="I13" s="849"/>
    </row>
    <row r="14" spans="1:10" ht="30" customHeight="1" x14ac:dyDescent="0.25">
      <c r="A14" s="858"/>
      <c r="B14" s="858"/>
      <c r="C14" s="77" t="s">
        <v>11</v>
      </c>
      <c r="D14" s="850"/>
      <c r="E14" s="851"/>
      <c r="F14" s="851"/>
      <c r="G14" s="851"/>
      <c r="H14" s="851"/>
      <c r="I14" s="852"/>
    </row>
    <row r="15" spans="1:10" ht="27.75" customHeight="1" x14ac:dyDescent="0.25">
      <c r="A15" s="858"/>
      <c r="B15" s="858"/>
      <c r="C15" s="77" t="s">
        <v>12</v>
      </c>
      <c r="D15" s="279"/>
      <c r="E15" s="280"/>
      <c r="F15" s="280"/>
      <c r="G15" s="280"/>
      <c r="H15" s="280"/>
      <c r="I15" s="281"/>
    </row>
    <row r="16" spans="1:10" ht="27.75" x14ac:dyDescent="0.25">
      <c r="A16" s="858"/>
      <c r="B16" s="858"/>
      <c r="C16" s="77" t="s">
        <v>13</v>
      </c>
      <c r="D16" s="225"/>
      <c r="E16" s="224"/>
      <c r="F16" s="224"/>
      <c r="G16" s="224"/>
      <c r="H16" s="224"/>
      <c r="I16" s="226"/>
    </row>
    <row r="17" spans="1:12" ht="28.5" thickBot="1" x14ac:dyDescent="0.3">
      <c r="A17" s="858"/>
      <c r="B17" s="858"/>
      <c r="C17" s="78" t="s">
        <v>15</v>
      </c>
      <c r="D17" s="227"/>
      <c r="E17" s="228"/>
      <c r="F17" s="228"/>
      <c r="G17" s="228"/>
      <c r="H17" s="228"/>
      <c r="I17" s="229"/>
      <c r="L17" s="3"/>
    </row>
    <row r="18" spans="1:12" ht="30" customHeight="1" x14ac:dyDescent="0.25">
      <c r="A18" s="858" t="s">
        <v>2</v>
      </c>
      <c r="B18" s="864"/>
      <c r="C18" s="76" t="s">
        <v>10</v>
      </c>
      <c r="D18" s="94"/>
      <c r="E18" s="74"/>
      <c r="F18" s="74"/>
      <c r="G18" s="74"/>
      <c r="H18" s="74"/>
      <c r="I18" s="75"/>
    </row>
    <row r="19" spans="1:12" ht="30" customHeight="1" x14ac:dyDescent="0.25">
      <c r="A19" s="858"/>
      <c r="B19" s="858"/>
      <c r="C19" s="77" t="s">
        <v>11</v>
      </c>
      <c r="D19" s="52"/>
      <c r="E19" s="55"/>
      <c r="F19" s="55"/>
      <c r="G19" s="55"/>
      <c r="H19" s="55"/>
      <c r="I19" s="54"/>
    </row>
    <row r="20" spans="1:12" ht="30" customHeight="1" x14ac:dyDescent="0.25">
      <c r="A20" s="858"/>
      <c r="B20" s="858"/>
      <c r="C20" s="77" t="s">
        <v>12</v>
      </c>
      <c r="D20" s="52"/>
      <c r="E20" s="55"/>
      <c r="F20" s="55"/>
      <c r="G20" s="55"/>
      <c r="H20" s="55"/>
      <c r="I20" s="54"/>
      <c r="J20" s="3"/>
      <c r="L20" s="3"/>
    </row>
    <row r="21" spans="1:12" ht="30" customHeight="1" x14ac:dyDescent="0.25">
      <c r="A21" s="858"/>
      <c r="B21" s="858"/>
      <c r="C21" s="77" t="s">
        <v>13</v>
      </c>
      <c r="D21" s="52"/>
      <c r="E21" s="55"/>
      <c r="F21" s="55"/>
      <c r="G21" s="55"/>
      <c r="H21" s="55"/>
      <c r="I21" s="54"/>
    </row>
    <row r="22" spans="1:12" ht="30" customHeight="1" thickBot="1" x14ac:dyDescent="0.3">
      <c r="A22" s="858"/>
      <c r="B22" s="858"/>
      <c r="C22" s="78" t="s">
        <v>15</v>
      </c>
      <c r="D22" s="370"/>
      <c r="E22" s="100"/>
      <c r="F22" s="100"/>
      <c r="G22" s="371"/>
      <c r="H22" s="372"/>
      <c r="I22" s="373"/>
    </row>
    <row r="23" spans="1:12" ht="69.75" customHeight="1" x14ac:dyDescent="0.25">
      <c r="A23" s="858" t="s">
        <v>3</v>
      </c>
      <c r="B23" s="864"/>
      <c r="C23" s="76" t="s">
        <v>10</v>
      </c>
      <c r="D23" s="844" t="s">
        <v>277</v>
      </c>
      <c r="E23" s="845"/>
      <c r="F23" s="845"/>
      <c r="G23" s="845"/>
      <c r="H23" s="845"/>
      <c r="I23" s="846"/>
    </row>
    <row r="24" spans="1:12" ht="96" customHeight="1" x14ac:dyDescent="0.25">
      <c r="A24" s="865"/>
      <c r="B24" s="858"/>
      <c r="C24" s="77" t="s">
        <v>11</v>
      </c>
      <c r="D24" s="854" t="s">
        <v>297</v>
      </c>
      <c r="E24" s="855"/>
      <c r="F24" s="855"/>
      <c r="G24" s="855"/>
      <c r="H24" s="855"/>
      <c r="I24" s="856"/>
    </row>
    <row r="25" spans="1:12" ht="27.75" customHeight="1" x14ac:dyDescent="0.25">
      <c r="A25" s="865"/>
      <c r="B25" s="858"/>
      <c r="C25" s="77" t="s">
        <v>12</v>
      </c>
      <c r="D25" s="52"/>
      <c r="E25" s="55"/>
      <c r="F25" s="55"/>
      <c r="G25" s="55"/>
      <c r="H25" s="55"/>
      <c r="I25" s="54"/>
    </row>
    <row r="26" spans="1:12" ht="27.75" customHeight="1" x14ac:dyDescent="0.25">
      <c r="A26" s="865"/>
      <c r="B26" s="858"/>
      <c r="C26" s="77" t="s">
        <v>13</v>
      </c>
      <c r="D26" s="52"/>
      <c r="E26" s="55"/>
      <c r="F26" s="55"/>
      <c r="G26" s="55"/>
      <c r="H26" s="55"/>
      <c r="I26" s="54"/>
    </row>
    <row r="27" spans="1:12" ht="27.75" customHeight="1" thickBot="1" x14ac:dyDescent="0.3">
      <c r="A27" s="865"/>
      <c r="B27" s="858"/>
      <c r="C27" s="78" t="s">
        <v>15</v>
      </c>
      <c r="D27" s="659"/>
      <c r="E27" s="660"/>
      <c r="F27" s="660"/>
      <c r="G27" s="660"/>
      <c r="H27" s="660"/>
      <c r="I27" s="661"/>
    </row>
    <row r="28" spans="1:12" ht="30" customHeight="1" x14ac:dyDescent="0.25">
      <c r="A28" s="858" t="s">
        <v>4</v>
      </c>
      <c r="B28" s="864"/>
      <c r="C28" s="76" t="s">
        <v>10</v>
      </c>
      <c r="D28" s="374"/>
      <c r="E28" s="375"/>
      <c r="F28" s="375"/>
      <c r="G28" s="375"/>
      <c r="H28" s="375"/>
      <c r="I28" s="376"/>
    </row>
    <row r="29" spans="1:12" ht="30" customHeight="1" x14ac:dyDescent="0.25">
      <c r="A29" s="858"/>
      <c r="B29" s="858"/>
      <c r="C29" s="77" t="s">
        <v>11</v>
      </c>
      <c r="D29" s="52"/>
      <c r="E29" s="55"/>
      <c r="F29" s="55"/>
      <c r="G29" s="55"/>
      <c r="H29" s="55"/>
      <c r="I29" s="54"/>
    </row>
    <row r="30" spans="1:12" ht="30" customHeight="1" x14ac:dyDescent="0.25">
      <c r="A30" s="858"/>
      <c r="B30" s="858"/>
      <c r="C30" s="77" t="s">
        <v>12</v>
      </c>
      <c r="D30" s="52"/>
      <c r="E30" s="55"/>
      <c r="F30" s="55"/>
      <c r="G30" s="55"/>
      <c r="H30" s="55"/>
      <c r="I30" s="54"/>
    </row>
    <row r="31" spans="1:12" ht="30" customHeight="1" x14ac:dyDescent="0.25">
      <c r="A31" s="858"/>
      <c r="B31" s="858"/>
      <c r="C31" s="77" t="s">
        <v>13</v>
      </c>
      <c r="D31" s="52"/>
      <c r="E31" s="55"/>
      <c r="F31" s="55"/>
      <c r="G31" s="55"/>
      <c r="H31" s="55"/>
      <c r="I31" s="54"/>
    </row>
    <row r="32" spans="1:12" ht="24" thickBot="1" x14ac:dyDescent="0.3">
      <c r="A32" s="858"/>
      <c r="B32" s="858"/>
      <c r="C32" s="73" t="s">
        <v>15</v>
      </c>
      <c r="D32" s="214"/>
      <c r="E32" s="215"/>
      <c r="F32" s="215"/>
      <c r="G32" s="215"/>
      <c r="H32" s="215"/>
      <c r="I32" s="216"/>
    </row>
    <row r="33" spans="1:9" ht="27.75" x14ac:dyDescent="0.25">
      <c r="A33" s="858" t="s">
        <v>47</v>
      </c>
      <c r="B33" s="861"/>
      <c r="C33" s="71" t="s">
        <v>10</v>
      </c>
      <c r="D33" s="423"/>
      <c r="E33" s="424"/>
      <c r="F33" s="424"/>
      <c r="G33" s="424"/>
      <c r="H33" s="424"/>
      <c r="I33" s="425"/>
    </row>
    <row r="34" spans="1:9" ht="27.75" x14ac:dyDescent="0.25">
      <c r="A34" s="858"/>
      <c r="B34" s="862"/>
      <c r="C34" s="72" t="s">
        <v>11</v>
      </c>
      <c r="D34" s="426"/>
      <c r="E34" s="422"/>
      <c r="F34" s="422"/>
      <c r="G34" s="422"/>
      <c r="H34" s="422"/>
      <c r="I34" s="427"/>
    </row>
    <row r="35" spans="1:9" ht="33" x14ac:dyDescent="0.25">
      <c r="A35" s="858"/>
      <c r="B35" s="862"/>
      <c r="C35" s="72" t="s">
        <v>12</v>
      </c>
      <c r="D35" s="174"/>
      <c r="E35" s="175"/>
      <c r="F35" s="175"/>
      <c r="G35" s="175"/>
      <c r="H35" s="175"/>
      <c r="I35" s="176"/>
    </row>
    <row r="36" spans="1:9" ht="23.25" x14ac:dyDescent="0.25">
      <c r="A36" s="858"/>
      <c r="B36" s="862"/>
      <c r="C36" s="72" t="s">
        <v>13</v>
      </c>
      <c r="D36" s="158"/>
      <c r="E36" s="157"/>
      <c r="F36" s="157"/>
      <c r="G36" s="157"/>
      <c r="H36" s="157"/>
      <c r="I36" s="159"/>
    </row>
    <row r="37" spans="1:9" ht="24" thickBot="1" x14ac:dyDescent="0.3">
      <c r="A37" s="860"/>
      <c r="B37" s="863"/>
      <c r="C37" s="73" t="s">
        <v>15</v>
      </c>
      <c r="D37" s="101"/>
      <c r="E37" s="102"/>
      <c r="F37" s="102"/>
      <c r="G37" s="102"/>
      <c r="H37" s="102"/>
      <c r="I37" s="103"/>
    </row>
    <row r="38" spans="1:9" ht="27.75" customHeight="1" x14ac:dyDescent="0.3">
      <c r="A38" s="2"/>
      <c r="B38" s="2"/>
      <c r="C38" s="37"/>
    </row>
  </sheetData>
  <mergeCells count="24">
    <mergeCell ref="D24:I24"/>
    <mergeCell ref="A8:A12"/>
    <mergeCell ref="B8:B12"/>
    <mergeCell ref="B3:I3"/>
    <mergeCell ref="A33:A37"/>
    <mergeCell ref="B33:B37"/>
    <mergeCell ref="A13:A17"/>
    <mergeCell ref="B13:B17"/>
    <mergeCell ref="A18:A22"/>
    <mergeCell ref="B18:B22"/>
    <mergeCell ref="A23:A27"/>
    <mergeCell ref="B23:B27"/>
    <mergeCell ref="A28:A32"/>
    <mergeCell ref="B28:B32"/>
    <mergeCell ref="A6:A7"/>
    <mergeCell ref="B6:B7"/>
    <mergeCell ref="C6:C7"/>
    <mergeCell ref="C1:I1"/>
    <mergeCell ref="C2:I2"/>
    <mergeCell ref="D23:I23"/>
    <mergeCell ref="D13:I13"/>
    <mergeCell ref="D14:I14"/>
    <mergeCell ref="B4:I4"/>
    <mergeCell ref="B5:I5"/>
  </mergeCells>
  <pageMargins left="0" right="0" top="0" bottom="0" header="0" footer="0"/>
  <pageSetup paperSize="9" scale="3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0"/>
  </sheetPr>
  <dimension ref="A1:N65"/>
  <sheetViews>
    <sheetView view="pageBreakPreview" topLeftCell="A4" zoomScale="40" zoomScaleNormal="40" zoomScaleSheetLayoutView="40" zoomScalePageLayoutView="40" workbookViewId="0">
      <selection activeCell="H13" sqref="H13"/>
    </sheetView>
  </sheetViews>
  <sheetFormatPr defaultRowHeight="15" x14ac:dyDescent="0.25"/>
  <cols>
    <col min="1" max="1" width="5.85546875" customWidth="1"/>
    <col min="2" max="2" width="6.85546875" customWidth="1"/>
    <col min="3" max="3" width="25.140625" customWidth="1"/>
    <col min="4" max="9" width="52.7109375" customWidth="1"/>
    <col min="11" max="11" width="49.85546875" hidden="1" customWidth="1"/>
    <col min="12" max="13" width="0" hidden="1" customWidth="1"/>
  </cols>
  <sheetData>
    <row r="1" spans="1:13" ht="36" customHeight="1" x14ac:dyDescent="0.3">
      <c r="A1" s="33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13" ht="33.75" customHeight="1" x14ac:dyDescent="0.3">
      <c r="A2" s="34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13" ht="222" customHeight="1" x14ac:dyDescent="0.25">
      <c r="A3" s="784" t="s">
        <v>133</v>
      </c>
      <c r="B3" s="784"/>
      <c r="C3" s="784"/>
      <c r="D3" s="784"/>
      <c r="E3" s="784"/>
      <c r="F3" s="784"/>
      <c r="G3" s="784"/>
      <c r="H3" s="784"/>
      <c r="I3" s="784"/>
    </row>
    <row r="4" spans="1:13" ht="32.25" customHeight="1" x14ac:dyDescent="0.25">
      <c r="A4" s="843" t="s">
        <v>112</v>
      </c>
      <c r="B4" s="843"/>
      <c r="C4" s="843"/>
      <c r="D4" s="843"/>
      <c r="E4" s="843"/>
      <c r="F4" s="843"/>
      <c r="G4" s="843"/>
      <c r="H4" s="843"/>
      <c r="I4" s="843"/>
    </row>
    <row r="5" spans="1:13" ht="30.75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13" ht="26.25" thickBot="1" x14ac:dyDescent="0.3">
      <c r="A6" s="871" t="s">
        <v>54</v>
      </c>
      <c r="B6" s="875" t="s">
        <v>14</v>
      </c>
      <c r="C6" s="873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13" ht="149.25" customHeight="1" thickBot="1" x14ac:dyDescent="0.3">
      <c r="A7" s="872"/>
      <c r="B7" s="876"/>
      <c r="C7" s="874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13" ht="48" customHeight="1" x14ac:dyDescent="0.25">
      <c r="A8" s="877" t="s">
        <v>0</v>
      </c>
      <c r="B8" s="878">
        <v>46265</v>
      </c>
      <c r="C8" s="252" t="s">
        <v>10</v>
      </c>
      <c r="D8" s="496"/>
      <c r="E8" s="493"/>
      <c r="F8" s="493"/>
      <c r="G8" s="493"/>
      <c r="H8" s="502"/>
      <c r="I8" s="503"/>
      <c r="K8" s="1" t="s">
        <v>16</v>
      </c>
    </row>
    <row r="9" spans="1:13" ht="48" customHeight="1" x14ac:dyDescent="0.25">
      <c r="A9" s="869"/>
      <c r="B9" s="879"/>
      <c r="C9" s="253" t="s">
        <v>11</v>
      </c>
      <c r="D9" s="570"/>
      <c r="E9" s="571"/>
      <c r="F9" s="571"/>
      <c r="G9" s="571"/>
      <c r="H9" s="571"/>
      <c r="I9" s="506"/>
      <c r="K9" s="1" t="s">
        <v>17</v>
      </c>
    </row>
    <row r="10" spans="1:13" ht="48" customHeight="1" x14ac:dyDescent="0.25">
      <c r="A10" s="869"/>
      <c r="B10" s="879"/>
      <c r="C10" s="253" t="s">
        <v>12</v>
      </c>
      <c r="D10" s="504"/>
      <c r="E10" s="505"/>
      <c r="F10" s="505"/>
      <c r="G10" s="505"/>
      <c r="H10" s="497"/>
      <c r="I10" s="507"/>
      <c r="K10" s="1" t="s">
        <v>18</v>
      </c>
      <c r="L10" t="s">
        <v>20</v>
      </c>
    </row>
    <row r="11" spans="1:13" ht="48" customHeight="1" x14ac:dyDescent="0.25">
      <c r="A11" s="869"/>
      <c r="B11" s="879"/>
      <c r="C11" s="253" t="s">
        <v>13</v>
      </c>
      <c r="D11" s="504"/>
      <c r="E11" s="505"/>
      <c r="F11" s="505"/>
      <c r="G11" s="505"/>
      <c r="H11" s="497"/>
      <c r="I11" s="507"/>
      <c r="K11" s="1" t="s">
        <v>19</v>
      </c>
      <c r="L11" t="s">
        <v>21</v>
      </c>
    </row>
    <row r="12" spans="1:13" ht="48" customHeight="1" thickBot="1" x14ac:dyDescent="0.3">
      <c r="A12" s="869"/>
      <c r="B12" s="880"/>
      <c r="C12" s="334" t="s">
        <v>15</v>
      </c>
      <c r="D12" s="572"/>
      <c r="E12" s="573"/>
      <c r="F12" s="573"/>
      <c r="G12" s="573"/>
      <c r="H12" s="573"/>
      <c r="I12" s="574"/>
      <c r="K12" s="1" t="s">
        <v>43</v>
      </c>
      <c r="M12" t="s">
        <v>22</v>
      </c>
    </row>
    <row r="13" spans="1:13" ht="84" customHeight="1" x14ac:dyDescent="0.25">
      <c r="A13" s="869" t="s">
        <v>1</v>
      </c>
      <c r="B13" s="887">
        <f>B8+1</f>
        <v>46266</v>
      </c>
      <c r="C13" s="252" t="s">
        <v>10</v>
      </c>
      <c r="D13" s="439"/>
      <c r="E13" s="349"/>
      <c r="F13" s="349"/>
      <c r="G13" s="349"/>
      <c r="H13" s="286"/>
      <c r="I13" s="303"/>
      <c r="K13" s="1" t="s">
        <v>42</v>
      </c>
      <c r="M13" t="s">
        <v>23</v>
      </c>
    </row>
    <row r="14" spans="1:13" ht="99" customHeight="1" x14ac:dyDescent="0.25">
      <c r="A14" s="869"/>
      <c r="B14" s="888"/>
      <c r="C14" s="253" t="s">
        <v>11</v>
      </c>
      <c r="D14" s="884" t="s">
        <v>220</v>
      </c>
      <c r="E14" s="885"/>
      <c r="F14" s="885"/>
      <c r="G14" s="885"/>
      <c r="H14" s="885"/>
      <c r="I14" s="886"/>
      <c r="K14" s="1" t="s">
        <v>40</v>
      </c>
      <c r="M14" t="s">
        <v>24</v>
      </c>
    </row>
    <row r="15" spans="1:13" ht="132" customHeight="1" x14ac:dyDescent="0.25">
      <c r="A15" s="869"/>
      <c r="B15" s="888"/>
      <c r="C15" s="253" t="s">
        <v>12</v>
      </c>
      <c r="D15" s="353" t="s">
        <v>256</v>
      </c>
      <c r="E15" s="351" t="s">
        <v>259</v>
      </c>
      <c r="F15" s="351" t="s">
        <v>257</v>
      </c>
      <c r="G15" s="351" t="s">
        <v>138</v>
      </c>
      <c r="H15" s="265" t="s">
        <v>109</v>
      </c>
      <c r="I15" s="266" t="s">
        <v>110</v>
      </c>
      <c r="J15" s="3"/>
      <c r="K15" s="1" t="s">
        <v>41</v>
      </c>
      <c r="M15" t="s">
        <v>25</v>
      </c>
    </row>
    <row r="16" spans="1:13" ht="55.5" customHeight="1" x14ac:dyDescent="0.25">
      <c r="A16" s="869"/>
      <c r="B16" s="888"/>
      <c r="C16" s="253" t="s">
        <v>13</v>
      </c>
      <c r="D16" s="354"/>
      <c r="E16" s="265"/>
      <c r="F16" s="265"/>
      <c r="G16" s="265"/>
      <c r="H16" s="265"/>
      <c r="I16" s="460"/>
      <c r="K16" s="1" t="s">
        <v>26</v>
      </c>
      <c r="M16" t="s">
        <v>27</v>
      </c>
    </row>
    <row r="17" spans="1:14" ht="55.5" customHeight="1" thickBot="1" x14ac:dyDescent="0.3">
      <c r="A17" s="869"/>
      <c r="B17" s="889"/>
      <c r="C17" s="334" t="s">
        <v>15</v>
      </c>
      <c r="D17" s="345"/>
      <c r="E17" s="698"/>
      <c r="F17" s="698"/>
      <c r="G17" s="312"/>
      <c r="H17" s="312"/>
      <c r="I17" s="699"/>
      <c r="K17" s="1" t="s">
        <v>28</v>
      </c>
      <c r="L17" s="3"/>
      <c r="M17" t="s">
        <v>29</v>
      </c>
    </row>
    <row r="18" spans="1:14" ht="84" customHeight="1" x14ac:dyDescent="0.25">
      <c r="A18" s="869" t="s">
        <v>2</v>
      </c>
      <c r="B18" s="881">
        <f>B13+1</f>
        <v>46267</v>
      </c>
      <c r="C18" s="252" t="s">
        <v>10</v>
      </c>
      <c r="D18" s="285" t="s">
        <v>225</v>
      </c>
      <c r="E18" s="286" t="s">
        <v>225</v>
      </c>
      <c r="F18" s="286" t="s">
        <v>225</v>
      </c>
      <c r="G18" s="286" t="s">
        <v>225</v>
      </c>
      <c r="H18" s="286" t="s">
        <v>225</v>
      </c>
      <c r="I18" s="303" t="s">
        <v>225</v>
      </c>
      <c r="K18" s="1" t="s">
        <v>44</v>
      </c>
      <c r="M18" t="s">
        <v>29</v>
      </c>
    </row>
    <row r="19" spans="1:14" ht="95.25" customHeight="1" x14ac:dyDescent="0.25">
      <c r="A19" s="869"/>
      <c r="B19" s="882"/>
      <c r="C19" s="253" t="s">
        <v>11</v>
      </c>
      <c r="D19" s="264" t="s">
        <v>226</v>
      </c>
      <c r="E19" s="265" t="s">
        <v>226</v>
      </c>
      <c r="F19" s="265" t="s">
        <v>226</v>
      </c>
      <c r="G19" s="265" t="s">
        <v>226</v>
      </c>
      <c r="H19" s="265" t="s">
        <v>226</v>
      </c>
      <c r="I19" s="266" t="s">
        <v>226</v>
      </c>
      <c r="K19" s="1" t="s">
        <v>45</v>
      </c>
      <c r="M19" t="s">
        <v>27</v>
      </c>
    </row>
    <row r="20" spans="1:14" ht="126" customHeight="1" x14ac:dyDescent="0.25">
      <c r="A20" s="869"/>
      <c r="B20" s="882"/>
      <c r="C20" s="253" t="s">
        <v>12</v>
      </c>
      <c r="D20" s="353" t="s">
        <v>224</v>
      </c>
      <c r="E20" s="377" t="s">
        <v>224</v>
      </c>
      <c r="F20" s="377" t="s">
        <v>224</v>
      </c>
      <c r="G20" s="265" t="s">
        <v>224</v>
      </c>
      <c r="H20" s="265" t="s">
        <v>224</v>
      </c>
      <c r="I20" s="460" t="s">
        <v>224</v>
      </c>
      <c r="K20" s="4" t="s">
        <v>51</v>
      </c>
      <c r="L20" s="3"/>
    </row>
    <row r="21" spans="1:14" ht="126" customHeight="1" x14ac:dyDescent="0.25">
      <c r="A21" s="869"/>
      <c r="B21" s="882"/>
      <c r="C21" s="253" t="s">
        <v>13</v>
      </c>
      <c r="D21" s="353" t="s">
        <v>224</v>
      </c>
      <c r="E21" s="378" t="s">
        <v>224</v>
      </c>
      <c r="F21" s="378" t="s">
        <v>224</v>
      </c>
      <c r="G21" s="265" t="s">
        <v>224</v>
      </c>
      <c r="H21" s="265" t="s">
        <v>224</v>
      </c>
      <c r="I21" s="460" t="s">
        <v>224</v>
      </c>
      <c r="J21" s="3"/>
      <c r="K21" s="32" t="s">
        <v>50</v>
      </c>
      <c r="N21" s="3"/>
    </row>
    <row r="22" spans="1:14" ht="35.25" customHeight="1" thickBot="1" x14ac:dyDescent="0.3">
      <c r="A22" s="869"/>
      <c r="B22" s="882"/>
      <c r="C22" s="334" t="s">
        <v>15</v>
      </c>
      <c r="D22" s="206"/>
      <c r="E22" s="429"/>
      <c r="F22" s="429"/>
      <c r="G22" s="207"/>
      <c r="H22" s="207"/>
      <c r="I22" s="208"/>
      <c r="K22" s="1" t="s">
        <v>39</v>
      </c>
      <c r="N22" s="3"/>
    </row>
    <row r="23" spans="1:14" ht="99" customHeight="1" x14ac:dyDescent="0.25">
      <c r="A23" s="869" t="s">
        <v>3</v>
      </c>
      <c r="B23" s="881">
        <f>B18+1</f>
        <v>46268</v>
      </c>
      <c r="C23" s="252" t="s">
        <v>10</v>
      </c>
      <c r="D23" s="285" t="s">
        <v>228</v>
      </c>
      <c r="E23" s="286" t="s">
        <v>228</v>
      </c>
      <c r="F23" s="286" t="s">
        <v>228</v>
      </c>
      <c r="G23" s="286" t="s">
        <v>228</v>
      </c>
      <c r="H23" s="286" t="s">
        <v>228</v>
      </c>
      <c r="I23" s="303" t="s">
        <v>228</v>
      </c>
      <c r="K23" s="1" t="s">
        <v>52</v>
      </c>
    </row>
    <row r="24" spans="1:14" ht="114" customHeight="1" x14ac:dyDescent="0.25">
      <c r="A24" s="890"/>
      <c r="B24" s="882"/>
      <c r="C24" s="253" t="s">
        <v>11</v>
      </c>
      <c r="D24" s="179" t="s">
        <v>229</v>
      </c>
      <c r="E24" s="234" t="s">
        <v>229</v>
      </c>
      <c r="F24" s="234" t="s">
        <v>229</v>
      </c>
      <c r="G24" s="234" t="s">
        <v>229</v>
      </c>
      <c r="H24" s="234" t="s">
        <v>229</v>
      </c>
      <c r="I24" s="268" t="s">
        <v>229</v>
      </c>
      <c r="K24" s="1" t="s">
        <v>30</v>
      </c>
    </row>
    <row r="25" spans="1:14" ht="148.5" customHeight="1" x14ac:dyDescent="0.25">
      <c r="A25" s="890"/>
      <c r="B25" s="882"/>
      <c r="C25" s="253" t="s">
        <v>12</v>
      </c>
      <c r="D25" s="392"/>
      <c r="E25" s="361" t="s">
        <v>260</v>
      </c>
      <c r="F25" s="361" t="s">
        <v>258</v>
      </c>
      <c r="G25" s="361" t="s">
        <v>231</v>
      </c>
      <c r="H25" s="265" t="s">
        <v>233</v>
      </c>
      <c r="I25" s="697"/>
      <c r="K25" s="1" t="s">
        <v>31</v>
      </c>
    </row>
    <row r="26" spans="1:14" ht="120.75" customHeight="1" x14ac:dyDescent="0.25">
      <c r="A26" s="890"/>
      <c r="B26" s="882"/>
      <c r="C26" s="253" t="s">
        <v>13</v>
      </c>
      <c r="D26" s="354"/>
      <c r="E26" s="378" t="s">
        <v>260</v>
      </c>
      <c r="F26" s="361" t="s">
        <v>258</v>
      </c>
      <c r="G26" s="378" t="s">
        <v>230</v>
      </c>
      <c r="H26" s="377" t="s">
        <v>233</v>
      </c>
      <c r="I26" s="697"/>
      <c r="K26" s="4" t="s">
        <v>46</v>
      </c>
    </row>
    <row r="27" spans="1:14" ht="36.75" customHeight="1" thickBot="1" x14ac:dyDescent="0.3">
      <c r="A27" s="890"/>
      <c r="B27" s="882"/>
      <c r="C27" s="334" t="s">
        <v>15</v>
      </c>
      <c r="D27" s="206"/>
      <c r="E27" s="438"/>
      <c r="F27" s="438"/>
      <c r="G27" s="429"/>
      <c r="H27" s="429"/>
      <c r="I27" s="431"/>
      <c r="K27" s="1" t="s">
        <v>32</v>
      </c>
    </row>
    <row r="28" spans="1:14" ht="61.5" customHeight="1" x14ac:dyDescent="0.25">
      <c r="A28" s="869" t="s">
        <v>4</v>
      </c>
      <c r="B28" s="881">
        <f>B23+1</f>
        <v>46269</v>
      </c>
      <c r="C28" s="252" t="s">
        <v>10</v>
      </c>
      <c r="D28" s="276"/>
      <c r="E28" s="277"/>
      <c r="F28" s="277"/>
      <c r="G28" s="277"/>
      <c r="H28" s="501"/>
      <c r="I28" s="278"/>
      <c r="K28" s="1" t="s">
        <v>33</v>
      </c>
    </row>
    <row r="29" spans="1:14" ht="117" customHeight="1" x14ac:dyDescent="0.25">
      <c r="A29" s="869"/>
      <c r="B29" s="882"/>
      <c r="C29" s="253" t="s">
        <v>11</v>
      </c>
      <c r="D29" s="269" t="s">
        <v>222</v>
      </c>
      <c r="E29" s="233" t="s">
        <v>222</v>
      </c>
      <c r="F29" s="233" t="s">
        <v>222</v>
      </c>
      <c r="G29" s="233" t="s">
        <v>222</v>
      </c>
      <c r="H29" s="444" t="s">
        <v>222</v>
      </c>
      <c r="I29" s="270" t="s">
        <v>222</v>
      </c>
      <c r="K29" s="1" t="s">
        <v>34</v>
      </c>
    </row>
    <row r="30" spans="1:14" ht="84" customHeight="1" x14ac:dyDescent="0.25">
      <c r="A30" s="869"/>
      <c r="B30" s="882"/>
      <c r="C30" s="253" t="s">
        <v>12</v>
      </c>
      <c r="D30" s="267" t="s">
        <v>227</v>
      </c>
      <c r="E30" s="234" t="s">
        <v>227</v>
      </c>
      <c r="F30" s="234" t="s">
        <v>227</v>
      </c>
      <c r="G30" s="234" t="s">
        <v>227</v>
      </c>
      <c r="H30" s="234" t="s">
        <v>227</v>
      </c>
      <c r="I30" s="268" t="s">
        <v>227</v>
      </c>
      <c r="K30" s="1" t="s">
        <v>53</v>
      </c>
    </row>
    <row r="31" spans="1:14" ht="84" customHeight="1" x14ac:dyDescent="0.25">
      <c r="A31" s="869"/>
      <c r="B31" s="882"/>
      <c r="C31" s="253" t="s">
        <v>13</v>
      </c>
      <c r="D31" s="267" t="s">
        <v>223</v>
      </c>
      <c r="E31" s="234" t="s">
        <v>223</v>
      </c>
      <c r="F31" s="234" t="s">
        <v>223</v>
      </c>
      <c r="G31" s="234" t="s">
        <v>223</v>
      </c>
      <c r="H31" s="301" t="s">
        <v>223</v>
      </c>
      <c r="I31" s="268" t="s">
        <v>223</v>
      </c>
      <c r="K31" s="1" t="s">
        <v>35</v>
      </c>
      <c r="L31" t="s">
        <v>37</v>
      </c>
    </row>
    <row r="32" spans="1:14" ht="84" customHeight="1" thickBot="1" x14ac:dyDescent="0.3">
      <c r="A32" s="870"/>
      <c r="B32" s="883"/>
      <c r="C32" s="334" t="s">
        <v>15</v>
      </c>
      <c r="D32" s="271"/>
      <c r="E32" s="272"/>
      <c r="F32" s="272"/>
      <c r="G32" s="272"/>
      <c r="H32" s="272"/>
      <c r="I32" s="273"/>
      <c r="K32" s="1" t="s">
        <v>36</v>
      </c>
      <c r="L32" t="s">
        <v>38</v>
      </c>
    </row>
    <row r="33" spans="1:12" ht="71.25" customHeight="1" x14ac:dyDescent="0.25">
      <c r="A33" s="868" t="s">
        <v>47</v>
      </c>
      <c r="B33" s="859">
        <f>B28+1</f>
        <v>46270</v>
      </c>
      <c r="C33" s="120" t="s">
        <v>10</v>
      </c>
      <c r="D33" s="287"/>
      <c r="E33" s="288"/>
      <c r="F33" s="288"/>
      <c r="G33" s="288"/>
      <c r="H33" s="288"/>
      <c r="I33" s="289"/>
      <c r="K33" s="1" t="s">
        <v>33</v>
      </c>
    </row>
    <row r="34" spans="1:12" ht="71.25" customHeight="1" x14ac:dyDescent="0.25">
      <c r="A34" s="862"/>
      <c r="B34" s="858"/>
      <c r="C34" s="50" t="s">
        <v>11</v>
      </c>
      <c r="D34" s="260"/>
      <c r="E34" s="258"/>
      <c r="F34" s="258"/>
      <c r="G34" s="258"/>
      <c r="H34" s="258"/>
      <c r="I34" s="261"/>
      <c r="K34" s="1" t="s">
        <v>34</v>
      </c>
    </row>
    <row r="35" spans="1:12" ht="71.25" customHeight="1" x14ac:dyDescent="0.25">
      <c r="A35" s="862"/>
      <c r="B35" s="858"/>
      <c r="C35" s="50" t="s">
        <v>12</v>
      </c>
      <c r="D35" s="260"/>
      <c r="E35" s="258"/>
      <c r="F35" s="258"/>
      <c r="G35" s="258"/>
      <c r="H35" s="258"/>
      <c r="I35" s="261"/>
      <c r="K35" s="1" t="s">
        <v>53</v>
      </c>
    </row>
    <row r="36" spans="1:12" ht="71.25" customHeight="1" x14ac:dyDescent="0.25">
      <c r="A36" s="862"/>
      <c r="B36" s="858"/>
      <c r="C36" s="50" t="s">
        <v>13</v>
      </c>
      <c r="D36" s="262"/>
      <c r="E36" s="259"/>
      <c r="F36" s="259"/>
      <c r="G36" s="219"/>
      <c r="H36" s="219"/>
      <c r="I36" s="220"/>
      <c r="K36" s="1" t="s">
        <v>35</v>
      </c>
      <c r="L36" t="s">
        <v>37</v>
      </c>
    </row>
    <row r="37" spans="1:12" ht="71.25" customHeight="1" thickBot="1" x14ac:dyDescent="0.3">
      <c r="A37" s="863"/>
      <c r="B37" s="860"/>
      <c r="C37" s="51" t="s">
        <v>15</v>
      </c>
      <c r="D37" s="263"/>
      <c r="E37" s="127"/>
      <c r="F37" s="127"/>
      <c r="G37" s="127"/>
      <c r="H37" s="127"/>
      <c r="I37" s="128"/>
      <c r="K37" s="1" t="s">
        <v>36</v>
      </c>
      <c r="L37" t="s">
        <v>38</v>
      </c>
    </row>
    <row r="38" spans="1:12" ht="20.25" customHeight="1" x14ac:dyDescent="0.3">
      <c r="A38" s="2"/>
      <c r="B38" s="2"/>
      <c r="C38" s="37"/>
    </row>
    <row r="39" spans="1:12" s="19" customFormat="1" ht="26.25" x14ac:dyDescent="0.4">
      <c r="A39" s="18"/>
      <c r="B39" s="204">
        <v>10</v>
      </c>
      <c r="C39" s="634" t="s">
        <v>146</v>
      </c>
      <c r="D39" s="217">
        <f>COUNTIF(D$8:D$37,$C39)</f>
        <v>1</v>
      </c>
      <c r="E39" s="217">
        <f t="shared" ref="D39:I54" si="0">COUNTIF(E$8:E$37,$C39)</f>
        <v>1</v>
      </c>
      <c r="F39" s="217">
        <f t="shared" si="0"/>
        <v>1</v>
      </c>
      <c r="G39" s="217">
        <f t="shared" si="0"/>
        <v>1</v>
      </c>
      <c r="H39" s="217">
        <f t="shared" si="0"/>
        <v>1</v>
      </c>
      <c r="I39" s="217">
        <f t="shared" si="0"/>
        <v>1</v>
      </c>
    </row>
    <row r="40" spans="1:12" s="19" customFormat="1" ht="26.25" x14ac:dyDescent="0.4">
      <c r="A40" s="18"/>
      <c r="B40" s="204">
        <v>22</v>
      </c>
      <c r="C40" s="634" t="s">
        <v>147</v>
      </c>
      <c r="D40" s="217">
        <f>COUNTIF(D$8:D$37,$C40)</f>
        <v>0</v>
      </c>
      <c r="E40" s="217">
        <f t="shared" si="0"/>
        <v>0</v>
      </c>
      <c r="F40" s="217">
        <f t="shared" si="0"/>
        <v>0</v>
      </c>
      <c r="G40" s="217">
        <f t="shared" si="0"/>
        <v>0</v>
      </c>
      <c r="H40" s="217">
        <f t="shared" si="0"/>
        <v>0</v>
      </c>
      <c r="I40" s="217">
        <f t="shared" si="0"/>
        <v>0</v>
      </c>
    </row>
    <row r="41" spans="1:12" s="19" customFormat="1" ht="33.75" customHeight="1" x14ac:dyDescent="0.4">
      <c r="A41" s="171"/>
      <c r="B41" s="205">
        <v>2</v>
      </c>
      <c r="C41" s="634" t="s">
        <v>169</v>
      </c>
      <c r="D41" s="217">
        <f t="shared" si="0"/>
        <v>1</v>
      </c>
      <c r="E41" s="217">
        <f t="shared" si="0"/>
        <v>1</v>
      </c>
      <c r="F41" s="217">
        <f t="shared" si="0"/>
        <v>1</v>
      </c>
      <c r="G41" s="217">
        <f t="shared" si="0"/>
        <v>1</v>
      </c>
      <c r="H41" s="217">
        <f t="shared" si="0"/>
        <v>1</v>
      </c>
      <c r="I41" s="217">
        <f t="shared" si="0"/>
        <v>1</v>
      </c>
    </row>
    <row r="42" spans="1:12" s="19" customFormat="1" ht="26.25" x14ac:dyDescent="0.4">
      <c r="A42" s="171"/>
      <c r="B42" s="205">
        <v>18</v>
      </c>
      <c r="C42" s="634" t="s">
        <v>170</v>
      </c>
      <c r="D42" s="217">
        <f t="shared" si="0"/>
        <v>0</v>
      </c>
      <c r="E42" s="217">
        <f t="shared" si="0"/>
        <v>0</v>
      </c>
      <c r="F42" s="217">
        <f t="shared" si="0"/>
        <v>0</v>
      </c>
      <c r="G42" s="217">
        <f t="shared" si="0"/>
        <v>0</v>
      </c>
      <c r="H42" s="217">
        <f t="shared" si="0"/>
        <v>0</v>
      </c>
      <c r="I42" s="217">
        <f t="shared" si="0"/>
        <v>0</v>
      </c>
    </row>
    <row r="43" spans="1:12" s="19" customFormat="1" ht="26.25" x14ac:dyDescent="0.4">
      <c r="A43" s="18"/>
      <c r="B43" s="204">
        <v>8</v>
      </c>
      <c r="C43" s="634" t="s">
        <v>58</v>
      </c>
      <c r="D43" s="217">
        <f t="shared" si="0"/>
        <v>0</v>
      </c>
      <c r="E43" s="217">
        <f t="shared" si="0"/>
        <v>0</v>
      </c>
      <c r="F43" s="217">
        <f t="shared" si="0"/>
        <v>0</v>
      </c>
      <c r="G43" s="217">
        <f t="shared" si="0"/>
        <v>0</v>
      </c>
      <c r="H43" s="217">
        <f t="shared" si="0"/>
        <v>0</v>
      </c>
      <c r="I43" s="217">
        <f t="shared" si="0"/>
        <v>0</v>
      </c>
    </row>
    <row r="44" spans="1:12" s="19" customFormat="1" ht="26.25" x14ac:dyDescent="0.4">
      <c r="A44" s="18"/>
      <c r="B44" s="204">
        <v>24</v>
      </c>
      <c r="C44" s="634" t="s">
        <v>59</v>
      </c>
      <c r="D44" s="217">
        <f t="shared" si="0"/>
        <v>0</v>
      </c>
      <c r="E44" s="217">
        <f t="shared" si="0"/>
        <v>0</v>
      </c>
      <c r="F44" s="217">
        <f t="shared" si="0"/>
        <v>0</v>
      </c>
      <c r="G44" s="217">
        <f t="shared" si="0"/>
        <v>0</v>
      </c>
      <c r="H44" s="217">
        <f t="shared" si="0"/>
        <v>0</v>
      </c>
      <c r="I44" s="217">
        <f t="shared" si="0"/>
        <v>0</v>
      </c>
    </row>
    <row r="45" spans="1:12" s="19" customFormat="1" ht="26.25" x14ac:dyDescent="0.4">
      <c r="A45" s="18"/>
      <c r="B45" s="204">
        <v>10</v>
      </c>
      <c r="C45" s="634" t="s">
        <v>62</v>
      </c>
      <c r="D45" s="217">
        <f t="shared" si="0"/>
        <v>1</v>
      </c>
      <c r="E45" s="217">
        <f t="shared" si="0"/>
        <v>1</v>
      </c>
      <c r="F45" s="217">
        <f t="shared" si="0"/>
        <v>1</v>
      </c>
      <c r="G45" s="217">
        <f t="shared" si="0"/>
        <v>1</v>
      </c>
      <c r="H45" s="217">
        <f t="shared" si="0"/>
        <v>1</v>
      </c>
      <c r="I45" s="217">
        <f t="shared" si="0"/>
        <v>1</v>
      </c>
    </row>
    <row r="46" spans="1:12" s="19" customFormat="1" ht="26.25" x14ac:dyDescent="0.4">
      <c r="A46" s="18"/>
      <c r="B46" s="498">
        <v>90</v>
      </c>
      <c r="C46" s="634" t="s">
        <v>63</v>
      </c>
      <c r="D46" s="217">
        <f t="shared" si="0"/>
        <v>0</v>
      </c>
      <c r="E46" s="217">
        <f t="shared" si="0"/>
        <v>2</v>
      </c>
      <c r="F46" s="217">
        <f t="shared" si="0"/>
        <v>2</v>
      </c>
      <c r="G46" s="217">
        <f t="shared" si="0"/>
        <v>2</v>
      </c>
      <c r="H46" s="217">
        <f t="shared" si="0"/>
        <v>2</v>
      </c>
      <c r="I46" s="217">
        <f t="shared" si="0"/>
        <v>0</v>
      </c>
    </row>
    <row r="47" spans="1:12" s="19" customFormat="1" ht="26.25" x14ac:dyDescent="0.4">
      <c r="A47" s="18"/>
      <c r="B47" s="204">
        <v>10</v>
      </c>
      <c r="C47" s="634" t="s">
        <v>148</v>
      </c>
      <c r="D47" s="217">
        <f t="shared" si="0"/>
        <v>1</v>
      </c>
      <c r="E47" s="217">
        <f t="shared" si="0"/>
        <v>1</v>
      </c>
      <c r="F47" s="217">
        <f t="shared" si="0"/>
        <v>1</v>
      </c>
      <c r="G47" s="217">
        <f t="shared" si="0"/>
        <v>1</v>
      </c>
      <c r="H47" s="217">
        <f t="shared" si="0"/>
        <v>1</v>
      </c>
      <c r="I47" s="217">
        <f t="shared" si="0"/>
        <v>1</v>
      </c>
    </row>
    <row r="48" spans="1:12" s="19" customFormat="1" ht="26.25" x14ac:dyDescent="0.4">
      <c r="A48" s="18"/>
      <c r="B48" s="204">
        <v>10</v>
      </c>
      <c r="C48" s="634" t="s">
        <v>149</v>
      </c>
      <c r="D48" s="217">
        <f t="shared" si="0"/>
        <v>0</v>
      </c>
      <c r="E48" s="217">
        <f t="shared" si="0"/>
        <v>0</v>
      </c>
      <c r="F48" s="217">
        <f t="shared" si="0"/>
        <v>0</v>
      </c>
      <c r="G48" s="217">
        <f t="shared" si="0"/>
        <v>0</v>
      </c>
      <c r="H48" s="217">
        <f t="shared" si="0"/>
        <v>0</v>
      </c>
      <c r="I48" s="217">
        <f t="shared" si="0"/>
        <v>0</v>
      </c>
    </row>
    <row r="49" spans="1:9" s="19" customFormat="1" ht="26.25" x14ac:dyDescent="0.4">
      <c r="A49" s="18"/>
      <c r="B49" s="204">
        <v>4</v>
      </c>
      <c r="C49" s="634" t="s">
        <v>154</v>
      </c>
      <c r="D49" s="217">
        <f t="shared" ref="D49:I65" si="1">COUNTIF(D$8:D$37,$C49)</f>
        <v>2</v>
      </c>
      <c r="E49" s="217">
        <f t="shared" si="0"/>
        <v>2</v>
      </c>
      <c r="F49" s="217">
        <f t="shared" si="0"/>
        <v>2</v>
      </c>
      <c r="G49" s="217">
        <f t="shared" si="1"/>
        <v>2</v>
      </c>
      <c r="H49" s="217">
        <f t="shared" si="1"/>
        <v>2</v>
      </c>
      <c r="I49" s="217">
        <f t="shared" si="1"/>
        <v>2</v>
      </c>
    </row>
    <row r="50" spans="1:9" s="19" customFormat="1" ht="26.25" x14ac:dyDescent="0.4">
      <c r="A50" s="18"/>
      <c r="B50" s="204">
        <v>28</v>
      </c>
      <c r="C50" s="634" t="s">
        <v>155</v>
      </c>
      <c r="D50" s="217">
        <f t="shared" si="1"/>
        <v>0</v>
      </c>
      <c r="E50" s="217">
        <f t="shared" si="0"/>
        <v>0</v>
      </c>
      <c r="F50" s="217">
        <f t="shared" si="0"/>
        <v>0</v>
      </c>
      <c r="G50" s="217">
        <f t="shared" si="1"/>
        <v>0</v>
      </c>
      <c r="H50" s="217">
        <f t="shared" si="1"/>
        <v>0</v>
      </c>
      <c r="I50" s="217">
        <f t="shared" si="1"/>
        <v>0</v>
      </c>
    </row>
    <row r="51" spans="1:9" s="19" customFormat="1" ht="26.25" x14ac:dyDescent="0.4">
      <c r="A51" s="18"/>
      <c r="B51" s="204">
        <v>6</v>
      </c>
      <c r="C51" s="635" t="s">
        <v>145</v>
      </c>
      <c r="D51" s="217">
        <f t="shared" si="1"/>
        <v>3</v>
      </c>
      <c r="E51" s="217">
        <f t="shared" si="0"/>
        <v>3</v>
      </c>
      <c r="F51" s="217">
        <f t="shared" si="0"/>
        <v>3</v>
      </c>
      <c r="G51" s="217">
        <f t="shared" si="1"/>
        <v>3</v>
      </c>
      <c r="H51" s="217">
        <f t="shared" si="1"/>
        <v>3</v>
      </c>
      <c r="I51" s="217">
        <f t="shared" si="1"/>
        <v>3</v>
      </c>
    </row>
    <row r="52" spans="1:9" s="19" customFormat="1" ht="26.25" x14ac:dyDescent="0.4">
      <c r="A52" s="18"/>
      <c r="B52" s="499">
        <v>40</v>
      </c>
      <c r="C52" s="636" t="s">
        <v>60</v>
      </c>
      <c r="D52" s="217">
        <f t="shared" si="1"/>
        <v>0</v>
      </c>
      <c r="E52" s="217">
        <f t="shared" si="0"/>
        <v>0</v>
      </c>
      <c r="F52" s="217">
        <f t="shared" si="0"/>
        <v>0</v>
      </c>
      <c r="G52" s="217">
        <f t="shared" si="1"/>
        <v>0</v>
      </c>
      <c r="H52" s="217">
        <f t="shared" si="1"/>
        <v>0</v>
      </c>
      <c r="I52" s="217">
        <f t="shared" si="1"/>
        <v>0</v>
      </c>
    </row>
    <row r="53" spans="1:9" s="19" customFormat="1" ht="26.25" x14ac:dyDescent="0.4">
      <c r="A53" s="18"/>
      <c r="B53" s="204">
        <v>2</v>
      </c>
      <c r="C53" s="634" t="s">
        <v>160</v>
      </c>
      <c r="D53" s="217">
        <f t="shared" si="1"/>
        <v>1</v>
      </c>
      <c r="E53" s="217">
        <f t="shared" si="0"/>
        <v>1</v>
      </c>
      <c r="F53" s="217">
        <f t="shared" si="0"/>
        <v>1</v>
      </c>
      <c r="G53" s="217">
        <f t="shared" si="1"/>
        <v>1</v>
      </c>
      <c r="H53" s="217">
        <f t="shared" si="1"/>
        <v>1</v>
      </c>
      <c r="I53" s="217">
        <f t="shared" si="1"/>
        <v>1</v>
      </c>
    </row>
    <row r="54" spans="1:9" s="19" customFormat="1" ht="26.25" x14ac:dyDescent="0.4">
      <c r="A54" s="18"/>
      <c r="B54" s="204">
        <v>46</v>
      </c>
      <c r="C54" s="634" t="s">
        <v>161</v>
      </c>
      <c r="D54" s="217">
        <f t="shared" si="1"/>
        <v>0</v>
      </c>
      <c r="E54" s="217">
        <f t="shared" si="0"/>
        <v>0</v>
      </c>
      <c r="F54" s="217">
        <f t="shared" si="0"/>
        <v>0</v>
      </c>
      <c r="G54" s="217">
        <f t="shared" si="1"/>
        <v>0</v>
      </c>
      <c r="H54" s="217">
        <f t="shared" si="1"/>
        <v>0</v>
      </c>
      <c r="I54" s="217">
        <f t="shared" si="1"/>
        <v>0</v>
      </c>
    </row>
    <row r="55" spans="1:9" s="19" customFormat="1" ht="26.25" x14ac:dyDescent="0.4">
      <c r="A55" s="18"/>
      <c r="B55" s="204">
        <v>2</v>
      </c>
      <c r="C55" s="634" t="s">
        <v>162</v>
      </c>
      <c r="D55" s="217">
        <f t="shared" si="1"/>
        <v>0</v>
      </c>
      <c r="E55" s="217">
        <f t="shared" si="1"/>
        <v>0</v>
      </c>
      <c r="F55" s="217">
        <f t="shared" si="1"/>
        <v>0</v>
      </c>
      <c r="G55" s="217">
        <f t="shared" si="1"/>
        <v>0</v>
      </c>
      <c r="H55" s="217">
        <f t="shared" si="1"/>
        <v>0</v>
      </c>
      <c r="I55" s="217">
        <f t="shared" si="1"/>
        <v>0</v>
      </c>
    </row>
    <row r="56" spans="1:9" s="19" customFormat="1" ht="26.25" x14ac:dyDescent="0.4">
      <c r="A56" s="18"/>
      <c r="B56" s="204">
        <v>62</v>
      </c>
      <c r="C56" s="634" t="s">
        <v>163</v>
      </c>
      <c r="D56" s="217">
        <f t="shared" si="1"/>
        <v>0</v>
      </c>
      <c r="E56" s="217">
        <f t="shared" si="1"/>
        <v>0</v>
      </c>
      <c r="F56" s="217">
        <f t="shared" si="1"/>
        <v>0</v>
      </c>
      <c r="G56" s="217">
        <f t="shared" si="1"/>
        <v>0</v>
      </c>
      <c r="H56" s="217">
        <f t="shared" si="1"/>
        <v>0</v>
      </c>
      <c r="I56" s="217">
        <f t="shared" si="1"/>
        <v>0</v>
      </c>
    </row>
    <row r="57" spans="1:9" s="19" customFormat="1" ht="26.25" x14ac:dyDescent="0.4">
      <c r="A57" s="18"/>
      <c r="B57" s="204">
        <v>2</v>
      </c>
      <c r="C57" s="634" t="s">
        <v>167</v>
      </c>
      <c r="D57" s="217">
        <f t="shared" si="1"/>
        <v>1</v>
      </c>
      <c r="E57" s="217">
        <f t="shared" si="1"/>
        <v>0</v>
      </c>
      <c r="F57" s="217">
        <f t="shared" si="1"/>
        <v>0</v>
      </c>
      <c r="G57" s="217">
        <f t="shared" si="1"/>
        <v>0</v>
      </c>
      <c r="H57" s="217">
        <f t="shared" si="1"/>
        <v>0</v>
      </c>
      <c r="I57" s="217">
        <f t="shared" si="1"/>
        <v>0</v>
      </c>
    </row>
    <row r="58" spans="1:9" s="19" customFormat="1" ht="26.25" x14ac:dyDescent="0.4">
      <c r="A58" s="18"/>
      <c r="B58" s="204">
        <v>4</v>
      </c>
      <c r="C58" s="634" t="s">
        <v>168</v>
      </c>
      <c r="D58" s="217">
        <f t="shared" si="1"/>
        <v>0</v>
      </c>
      <c r="E58" s="217">
        <f t="shared" si="1"/>
        <v>0</v>
      </c>
      <c r="F58" s="217">
        <f t="shared" si="1"/>
        <v>0</v>
      </c>
      <c r="G58" s="217">
        <f t="shared" si="1"/>
        <v>0</v>
      </c>
      <c r="H58" s="217">
        <f t="shared" si="1"/>
        <v>0</v>
      </c>
      <c r="I58" s="217">
        <f t="shared" si="1"/>
        <v>0</v>
      </c>
    </row>
    <row r="59" spans="1:9" s="19" customFormat="1" ht="26.25" x14ac:dyDescent="0.4">
      <c r="A59" s="18"/>
      <c r="B59" s="204">
        <v>32</v>
      </c>
      <c r="C59" s="634" t="s">
        <v>61</v>
      </c>
      <c r="D59" s="217">
        <f t="shared" si="1"/>
        <v>0</v>
      </c>
      <c r="E59" s="217">
        <f t="shared" si="1"/>
        <v>0</v>
      </c>
      <c r="F59" s="217">
        <f t="shared" si="1"/>
        <v>0</v>
      </c>
      <c r="G59" s="217">
        <f t="shared" si="1"/>
        <v>0</v>
      </c>
      <c r="H59" s="217">
        <f t="shared" si="1"/>
        <v>0</v>
      </c>
      <c r="I59" s="217">
        <f t="shared" si="1"/>
        <v>0</v>
      </c>
    </row>
    <row r="60" spans="1:9" s="19" customFormat="1" ht="26.25" x14ac:dyDescent="0.4">
      <c r="A60" s="18"/>
      <c r="B60" s="204">
        <v>22</v>
      </c>
      <c r="C60" s="413" t="s">
        <v>280</v>
      </c>
      <c r="D60" s="217">
        <f t="shared" si="1"/>
        <v>0</v>
      </c>
      <c r="E60" s="217">
        <f t="shared" si="1"/>
        <v>0</v>
      </c>
      <c r="F60" s="217">
        <f t="shared" si="1"/>
        <v>0</v>
      </c>
      <c r="G60" s="217">
        <f t="shared" si="1"/>
        <v>0</v>
      </c>
      <c r="H60" s="217">
        <f t="shared" si="1"/>
        <v>0</v>
      </c>
      <c r="I60" s="217">
        <f t="shared" si="1"/>
        <v>0</v>
      </c>
    </row>
    <row r="61" spans="1:9" ht="26.25" x14ac:dyDescent="0.4">
      <c r="A61" s="2"/>
      <c r="B61" s="204">
        <v>22</v>
      </c>
      <c r="C61" s="413" t="s">
        <v>281</v>
      </c>
      <c r="D61" s="217">
        <f t="shared" si="1"/>
        <v>0</v>
      </c>
      <c r="E61" s="217">
        <f t="shared" si="1"/>
        <v>0</v>
      </c>
      <c r="F61" s="217">
        <f t="shared" si="1"/>
        <v>0</v>
      </c>
      <c r="G61" s="217">
        <f t="shared" si="1"/>
        <v>0</v>
      </c>
      <c r="H61" s="217">
        <f t="shared" si="1"/>
        <v>0</v>
      </c>
      <c r="I61" s="217">
        <f t="shared" si="1"/>
        <v>0</v>
      </c>
    </row>
    <row r="62" spans="1:9" ht="26.25" x14ac:dyDescent="0.4">
      <c r="A62" s="2"/>
      <c r="B62" s="204">
        <v>22</v>
      </c>
      <c r="C62" s="413" t="s">
        <v>282</v>
      </c>
      <c r="D62" s="217">
        <f t="shared" si="1"/>
        <v>0</v>
      </c>
      <c r="E62" s="217">
        <f t="shared" si="1"/>
        <v>0</v>
      </c>
      <c r="F62" s="217">
        <f t="shared" si="1"/>
        <v>0</v>
      </c>
      <c r="G62" s="217">
        <f t="shared" si="1"/>
        <v>0</v>
      </c>
      <c r="H62" s="217">
        <f t="shared" si="1"/>
        <v>0</v>
      </c>
      <c r="I62" s="217">
        <f t="shared" si="1"/>
        <v>0</v>
      </c>
    </row>
    <row r="63" spans="1:9" ht="26.25" x14ac:dyDescent="0.4">
      <c r="A63" s="2"/>
      <c r="B63" s="204">
        <v>22</v>
      </c>
      <c r="C63" s="413" t="s">
        <v>283</v>
      </c>
      <c r="D63" s="217">
        <f t="shared" si="1"/>
        <v>0</v>
      </c>
      <c r="E63" s="217">
        <f t="shared" si="1"/>
        <v>0</v>
      </c>
      <c r="F63" s="217">
        <f t="shared" si="1"/>
        <v>0</v>
      </c>
      <c r="G63" s="217">
        <f t="shared" si="1"/>
        <v>0</v>
      </c>
      <c r="H63" s="217">
        <f t="shared" si="1"/>
        <v>0</v>
      </c>
      <c r="I63" s="217">
        <f t="shared" si="1"/>
        <v>0</v>
      </c>
    </row>
    <row r="64" spans="1:9" ht="26.25" x14ac:dyDescent="0.4">
      <c r="A64" s="2"/>
      <c r="B64" s="204"/>
      <c r="C64" s="413"/>
      <c r="D64" s="217">
        <f t="shared" si="1"/>
        <v>0</v>
      </c>
      <c r="E64" s="217">
        <f t="shared" si="1"/>
        <v>0</v>
      </c>
      <c r="F64" s="217">
        <f t="shared" si="1"/>
        <v>0</v>
      </c>
      <c r="G64" s="217">
        <f t="shared" si="1"/>
        <v>0</v>
      </c>
      <c r="H64" s="217">
        <f t="shared" si="1"/>
        <v>0</v>
      </c>
      <c r="I64" s="217">
        <f t="shared" si="1"/>
        <v>0</v>
      </c>
    </row>
    <row r="65" spans="3:9" ht="26.25" x14ac:dyDescent="0.4">
      <c r="C65" s="413"/>
      <c r="D65" s="217">
        <f t="shared" si="1"/>
        <v>0</v>
      </c>
      <c r="E65" s="217">
        <f t="shared" si="1"/>
        <v>0</v>
      </c>
      <c r="F65" s="217">
        <f t="shared" si="1"/>
        <v>0</v>
      </c>
      <c r="G65" s="217">
        <f t="shared" si="1"/>
        <v>0</v>
      </c>
      <c r="H65" s="217">
        <f t="shared" si="1"/>
        <v>0</v>
      </c>
      <c r="I65" s="217">
        <f t="shared" si="1"/>
        <v>0</v>
      </c>
    </row>
  </sheetData>
  <mergeCells count="21">
    <mergeCell ref="D14:I14"/>
    <mergeCell ref="B13:B17"/>
    <mergeCell ref="A23:A27"/>
    <mergeCell ref="B18:B22"/>
    <mergeCell ref="B23:B27"/>
    <mergeCell ref="A33:A37"/>
    <mergeCell ref="B33:B37"/>
    <mergeCell ref="A28:A32"/>
    <mergeCell ref="B1:I1"/>
    <mergeCell ref="B2:I2"/>
    <mergeCell ref="A6:A7"/>
    <mergeCell ref="A3:I3"/>
    <mergeCell ref="C6:C7"/>
    <mergeCell ref="B6:B7"/>
    <mergeCell ref="A4:I4"/>
    <mergeCell ref="A5:I5"/>
    <mergeCell ref="A8:A12"/>
    <mergeCell ref="A13:A17"/>
    <mergeCell ref="B8:B12"/>
    <mergeCell ref="B28:B32"/>
    <mergeCell ref="A18:A22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8" orientation="portrait" r:id="rId1"/>
  <rowBreaks count="1" manualBreakCount="1">
    <brk id="37" max="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L70"/>
  <sheetViews>
    <sheetView view="pageBreakPreview" zoomScale="40" zoomScaleNormal="40" zoomScaleSheetLayoutView="40" zoomScalePageLayoutView="40" workbookViewId="0">
      <selection activeCell="F7" sqref="F7"/>
    </sheetView>
  </sheetViews>
  <sheetFormatPr defaultRowHeight="15" x14ac:dyDescent="0.25"/>
  <cols>
    <col min="1" max="2" width="4.42578125" customWidth="1"/>
    <col min="3" max="3" width="20.5703125" customWidth="1"/>
    <col min="4" max="9" width="59.140625" customWidth="1"/>
  </cols>
  <sheetData>
    <row r="1" spans="1:9" ht="32.25" customHeight="1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9" ht="24" customHeight="1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9" ht="30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9" ht="31.5" customHeight="1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9" ht="36.75" customHeight="1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9" ht="27.75" customHeight="1" thickBot="1" x14ac:dyDescent="0.3">
      <c r="A6" s="895" t="s">
        <v>54</v>
      </c>
      <c r="B6" s="895" t="s">
        <v>14</v>
      </c>
      <c r="C6" s="893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9" ht="106.5" customHeight="1" thickBot="1" x14ac:dyDescent="0.3">
      <c r="A7" s="896"/>
      <c r="B7" s="896"/>
      <c r="C7" s="894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9" ht="76.5" customHeight="1" x14ac:dyDescent="0.25">
      <c r="A8" s="868" t="s">
        <v>0</v>
      </c>
      <c r="B8" s="897">
        <v>46272</v>
      </c>
      <c r="C8" s="49" t="s">
        <v>10</v>
      </c>
      <c r="D8" s="298" t="s">
        <v>236</v>
      </c>
      <c r="E8" s="282"/>
      <c r="F8" s="282"/>
      <c r="G8" s="282"/>
      <c r="H8" s="343"/>
      <c r="I8" s="344"/>
    </row>
    <row r="9" spans="1:9" ht="111" x14ac:dyDescent="0.25">
      <c r="A9" s="862"/>
      <c r="B9" s="862"/>
      <c r="C9" s="50" t="s">
        <v>11</v>
      </c>
      <c r="D9" s="392" t="s">
        <v>264</v>
      </c>
      <c r="E9" s="361" t="s">
        <v>248</v>
      </c>
      <c r="F9" s="361"/>
      <c r="G9" s="361"/>
      <c r="H9" s="361" t="s">
        <v>246</v>
      </c>
      <c r="I9" s="491"/>
    </row>
    <row r="10" spans="1:9" ht="138.75" x14ac:dyDescent="0.25">
      <c r="A10" s="862"/>
      <c r="B10" s="862"/>
      <c r="C10" s="50" t="s">
        <v>12</v>
      </c>
      <c r="D10" s="392" t="s">
        <v>240</v>
      </c>
      <c r="E10" s="361" t="s">
        <v>236</v>
      </c>
      <c r="F10" s="361"/>
      <c r="G10" s="361" t="s">
        <v>251</v>
      </c>
      <c r="H10" s="432" t="s">
        <v>232</v>
      </c>
      <c r="I10" s="478" t="s">
        <v>243</v>
      </c>
    </row>
    <row r="11" spans="1:9" ht="111" x14ac:dyDescent="0.25">
      <c r="A11" s="862"/>
      <c r="B11" s="862"/>
      <c r="C11" s="50" t="s">
        <v>13</v>
      </c>
      <c r="D11" s="392" t="s">
        <v>243</v>
      </c>
      <c r="E11" s="361" t="s">
        <v>264</v>
      </c>
      <c r="F11" s="361"/>
      <c r="G11" s="416" t="s">
        <v>294</v>
      </c>
      <c r="H11" s="432" t="s">
        <v>232</v>
      </c>
      <c r="I11" s="478" t="s">
        <v>236</v>
      </c>
    </row>
    <row r="12" spans="1:9" ht="58.5" customHeight="1" thickBot="1" x14ac:dyDescent="0.3">
      <c r="A12" s="862"/>
      <c r="B12" s="862"/>
      <c r="C12" s="51" t="s">
        <v>15</v>
      </c>
      <c r="D12" s="345"/>
      <c r="E12" s="312"/>
      <c r="F12" s="312"/>
      <c r="G12" s="312"/>
      <c r="H12" s="312"/>
      <c r="I12" s="335"/>
    </row>
    <row r="13" spans="1:9" ht="111" x14ac:dyDescent="0.25">
      <c r="A13" s="862" t="s">
        <v>1</v>
      </c>
      <c r="B13" s="861">
        <f>B8+1</f>
        <v>46273</v>
      </c>
      <c r="C13" s="49" t="s">
        <v>10</v>
      </c>
      <c r="D13" s="575" t="s">
        <v>261</v>
      </c>
      <c r="E13" s="360"/>
      <c r="F13" s="351" t="s">
        <v>258</v>
      </c>
      <c r="G13" s="360" t="s">
        <v>230</v>
      </c>
      <c r="H13" s="286"/>
      <c r="I13" s="303"/>
    </row>
    <row r="14" spans="1:9" ht="111" x14ac:dyDescent="0.25">
      <c r="A14" s="862"/>
      <c r="B14" s="862"/>
      <c r="C14" s="50" t="s">
        <v>11</v>
      </c>
      <c r="D14" s="392" t="s">
        <v>261</v>
      </c>
      <c r="E14" s="351" t="s">
        <v>260</v>
      </c>
      <c r="F14" s="487" t="s">
        <v>258</v>
      </c>
      <c r="G14" s="361" t="s">
        <v>230</v>
      </c>
      <c r="H14" s="265" t="s">
        <v>237</v>
      </c>
      <c r="I14" s="266" t="s">
        <v>266</v>
      </c>
    </row>
    <row r="15" spans="1:9" ht="105" customHeight="1" x14ac:dyDescent="0.25">
      <c r="A15" s="862"/>
      <c r="B15" s="862"/>
      <c r="C15" s="50" t="s">
        <v>12</v>
      </c>
      <c r="D15" s="485"/>
      <c r="E15" s="265" t="s">
        <v>241</v>
      </c>
      <c r="F15" s="265" t="s">
        <v>236</v>
      </c>
      <c r="G15" s="265"/>
      <c r="H15" s="265" t="s">
        <v>249</v>
      </c>
      <c r="I15" s="478" t="s">
        <v>234</v>
      </c>
    </row>
    <row r="16" spans="1:9" ht="97.5" customHeight="1" x14ac:dyDescent="0.25">
      <c r="A16" s="862"/>
      <c r="B16" s="862"/>
      <c r="C16" s="50" t="s">
        <v>13</v>
      </c>
      <c r="D16" s="485"/>
      <c r="E16" s="265"/>
      <c r="F16" s="265" t="s">
        <v>249</v>
      </c>
      <c r="G16" s="265"/>
      <c r="H16" s="265"/>
      <c r="I16" s="478" t="s">
        <v>234</v>
      </c>
    </row>
    <row r="17" spans="1:12" ht="41.25" customHeight="1" x14ac:dyDescent="0.25">
      <c r="A17" s="862"/>
      <c r="B17" s="862"/>
      <c r="C17" s="118" t="s">
        <v>15</v>
      </c>
      <c r="D17" s="492"/>
      <c r="E17" s="515"/>
      <c r="F17" s="515"/>
      <c r="G17" s="515"/>
      <c r="H17" s="515"/>
      <c r="I17" s="486"/>
    </row>
    <row r="18" spans="1:12" ht="28.5" thickBot="1" x14ac:dyDescent="0.3">
      <c r="A18" s="862"/>
      <c r="B18" s="862"/>
      <c r="C18" s="122" t="s">
        <v>64</v>
      </c>
      <c r="D18" s="306"/>
      <c r="E18" s="361"/>
      <c r="F18" s="393"/>
      <c r="G18" s="307"/>
      <c r="H18" s="307"/>
      <c r="I18" s="308"/>
      <c r="L18" s="3"/>
    </row>
    <row r="19" spans="1:12" ht="88.5" customHeight="1" x14ac:dyDescent="0.25">
      <c r="A19" s="862" t="s">
        <v>2</v>
      </c>
      <c r="B19" s="861">
        <f>B13+1</f>
        <v>46274</v>
      </c>
      <c r="C19" s="49" t="s">
        <v>10</v>
      </c>
      <c r="D19" s="285"/>
      <c r="E19" s="286"/>
      <c r="F19" s="286"/>
      <c r="G19" s="286"/>
      <c r="H19" s="286" t="s">
        <v>246</v>
      </c>
      <c r="I19" s="303"/>
    </row>
    <row r="20" spans="1:12" ht="88.5" customHeight="1" x14ac:dyDescent="0.25">
      <c r="A20" s="862"/>
      <c r="B20" s="862"/>
      <c r="C20" s="50" t="s">
        <v>11</v>
      </c>
      <c r="D20" s="264" t="s">
        <v>247</v>
      </c>
      <c r="E20" s="265"/>
      <c r="F20" s="265"/>
      <c r="G20" s="265"/>
      <c r="H20" s="265" t="s">
        <v>242</v>
      </c>
      <c r="I20" s="266" t="s">
        <v>243</v>
      </c>
    </row>
    <row r="21" spans="1:12" ht="77.25" customHeight="1" x14ac:dyDescent="0.25">
      <c r="A21" s="862"/>
      <c r="B21" s="862"/>
      <c r="C21" s="50" t="s">
        <v>12</v>
      </c>
      <c r="D21" s="392" t="s">
        <v>243</v>
      </c>
      <c r="E21" s="384" t="s">
        <v>241</v>
      </c>
      <c r="F21" s="384"/>
      <c r="G21" s="265"/>
      <c r="H21" s="265"/>
      <c r="I21" s="478" t="s">
        <v>234</v>
      </c>
      <c r="L21" s="3"/>
    </row>
    <row r="22" spans="1:12" ht="77.25" customHeight="1" x14ac:dyDescent="0.25">
      <c r="A22" s="862"/>
      <c r="B22" s="862"/>
      <c r="C22" s="50" t="s">
        <v>13</v>
      </c>
      <c r="D22" s="392"/>
      <c r="E22" s="361" t="s">
        <v>244</v>
      </c>
      <c r="F22" s="361"/>
      <c r="G22" s="265"/>
      <c r="H22" s="265"/>
      <c r="I22" s="478" t="s">
        <v>234</v>
      </c>
    </row>
    <row r="23" spans="1:12" ht="88.5" customHeight="1" thickBot="1" x14ac:dyDescent="0.3">
      <c r="A23" s="862"/>
      <c r="B23" s="862"/>
      <c r="C23" s="51" t="s">
        <v>15</v>
      </c>
      <c r="D23" s="206"/>
      <c r="E23" s="429"/>
      <c r="F23" s="429"/>
      <c r="G23" s="207"/>
      <c r="H23" s="207"/>
      <c r="I23" s="208"/>
    </row>
    <row r="24" spans="1:12" ht="88.5" customHeight="1" x14ac:dyDescent="0.25">
      <c r="A24" s="862" t="s">
        <v>3</v>
      </c>
      <c r="B24" s="861">
        <f>B19+1</f>
        <v>46275</v>
      </c>
      <c r="C24" s="49" t="s">
        <v>10</v>
      </c>
      <c r="D24" s="285"/>
      <c r="E24" s="286"/>
      <c r="F24" s="286"/>
      <c r="G24" s="286"/>
      <c r="H24" s="286"/>
      <c r="I24" s="303"/>
    </row>
    <row r="25" spans="1:12" ht="111" x14ac:dyDescent="0.25">
      <c r="A25" s="891"/>
      <c r="B25" s="862"/>
      <c r="C25" s="50" t="s">
        <v>11</v>
      </c>
      <c r="D25" s="267"/>
      <c r="E25" s="234"/>
      <c r="F25" s="234" t="s">
        <v>264</v>
      </c>
      <c r="G25" s="361" t="s">
        <v>248</v>
      </c>
      <c r="H25" s="234"/>
      <c r="I25" s="268" t="s">
        <v>266</v>
      </c>
    </row>
    <row r="26" spans="1:12" ht="114.75" customHeight="1" x14ac:dyDescent="0.25">
      <c r="A26" s="891"/>
      <c r="B26" s="862"/>
      <c r="C26" s="50" t="s">
        <v>12</v>
      </c>
      <c r="D26" s="392" t="s">
        <v>261</v>
      </c>
      <c r="E26" s="378" t="s">
        <v>260</v>
      </c>
      <c r="F26" s="416" t="s">
        <v>245</v>
      </c>
      <c r="G26" s="416" t="s">
        <v>265</v>
      </c>
      <c r="H26" s="265" t="s">
        <v>242</v>
      </c>
      <c r="I26" s="443" t="s">
        <v>264</v>
      </c>
    </row>
    <row r="27" spans="1:12" ht="138.75" x14ac:dyDescent="0.25">
      <c r="A27" s="891"/>
      <c r="B27" s="862"/>
      <c r="C27" s="50" t="s">
        <v>13</v>
      </c>
      <c r="D27" s="392" t="s">
        <v>261</v>
      </c>
      <c r="E27" s="378" t="s">
        <v>260</v>
      </c>
      <c r="F27" s="487" t="s">
        <v>258</v>
      </c>
      <c r="G27" s="361" t="s">
        <v>230</v>
      </c>
      <c r="H27" s="384" t="s">
        <v>251</v>
      </c>
      <c r="I27" s="266"/>
    </row>
    <row r="28" spans="1:12" ht="88.5" customHeight="1" thickBot="1" x14ac:dyDescent="0.3">
      <c r="A28" s="891"/>
      <c r="B28" s="862"/>
      <c r="C28" s="51" t="s">
        <v>15</v>
      </c>
      <c r="D28" s="206"/>
      <c r="E28" s="438"/>
      <c r="F28" s="438"/>
      <c r="G28" s="429"/>
      <c r="H28" s="429"/>
      <c r="I28" s="431"/>
    </row>
    <row r="29" spans="1:12" ht="83.25" x14ac:dyDescent="0.25">
      <c r="A29" s="862" t="s">
        <v>4</v>
      </c>
      <c r="B29" s="861">
        <f>B24+1</f>
        <v>46276</v>
      </c>
      <c r="C29" s="49" t="s">
        <v>10</v>
      </c>
      <c r="D29" s="276"/>
      <c r="E29" s="689" t="s">
        <v>244</v>
      </c>
      <c r="F29" s="277" t="s">
        <v>240</v>
      </c>
      <c r="G29" s="277" t="s">
        <v>245</v>
      </c>
      <c r="H29" s="501" t="s">
        <v>232</v>
      </c>
      <c r="I29" s="278" t="s">
        <v>249</v>
      </c>
    </row>
    <row r="30" spans="1:12" ht="124.5" customHeight="1" x14ac:dyDescent="0.25">
      <c r="A30" s="862"/>
      <c r="B30" s="862"/>
      <c r="C30" s="50" t="s">
        <v>11</v>
      </c>
      <c r="D30" s="269" t="s">
        <v>222</v>
      </c>
      <c r="E30" s="233" t="s">
        <v>222</v>
      </c>
      <c r="F30" s="233" t="s">
        <v>222</v>
      </c>
      <c r="G30" s="233" t="s">
        <v>222</v>
      </c>
      <c r="H30" s="444" t="s">
        <v>222</v>
      </c>
      <c r="I30" s="270" t="s">
        <v>222</v>
      </c>
    </row>
    <row r="31" spans="1:12" ht="88.5" customHeight="1" x14ac:dyDescent="0.25">
      <c r="A31" s="862"/>
      <c r="B31" s="862"/>
      <c r="C31" s="50" t="s">
        <v>12</v>
      </c>
      <c r="D31" s="267" t="s">
        <v>238</v>
      </c>
      <c r="E31" s="234" t="s">
        <v>238</v>
      </c>
      <c r="F31" s="234" t="s">
        <v>238</v>
      </c>
      <c r="G31" s="234" t="s">
        <v>238</v>
      </c>
      <c r="H31" s="234" t="s">
        <v>238</v>
      </c>
      <c r="I31" s="268" t="s">
        <v>238</v>
      </c>
    </row>
    <row r="32" spans="1:12" ht="88.5" customHeight="1" x14ac:dyDescent="0.25">
      <c r="A32" s="862"/>
      <c r="B32" s="862"/>
      <c r="C32" s="50" t="s">
        <v>13</v>
      </c>
      <c r="D32" s="267" t="s">
        <v>223</v>
      </c>
      <c r="E32" s="234" t="s">
        <v>223</v>
      </c>
      <c r="F32" s="234" t="s">
        <v>223</v>
      </c>
      <c r="G32" s="234" t="s">
        <v>223</v>
      </c>
      <c r="H32" s="301" t="s">
        <v>223</v>
      </c>
      <c r="I32" s="268" t="s">
        <v>223</v>
      </c>
    </row>
    <row r="33" spans="1:9" ht="88.5" customHeight="1" thickBot="1" x14ac:dyDescent="0.3">
      <c r="A33" s="862"/>
      <c r="B33" s="862"/>
      <c r="C33" s="51" t="s">
        <v>15</v>
      </c>
      <c r="D33" s="271"/>
      <c r="E33" s="272"/>
      <c r="F33" s="272"/>
      <c r="G33" s="272"/>
      <c r="H33" s="272"/>
      <c r="I33" s="273"/>
    </row>
    <row r="34" spans="1:9" ht="50.25" customHeight="1" x14ac:dyDescent="0.25">
      <c r="A34" s="862" t="s">
        <v>47</v>
      </c>
      <c r="B34" s="861">
        <f>B29+1</f>
        <v>46277</v>
      </c>
      <c r="C34" s="46" t="s">
        <v>10</v>
      </c>
      <c r="D34" s="189"/>
      <c r="E34" s="190"/>
      <c r="F34" s="190"/>
      <c r="G34" s="346"/>
      <c r="H34" s="346"/>
      <c r="I34" s="191"/>
    </row>
    <row r="35" spans="1:9" ht="50.25" customHeight="1" x14ac:dyDescent="0.25">
      <c r="A35" s="862"/>
      <c r="B35" s="862"/>
      <c r="C35" s="47" t="s">
        <v>11</v>
      </c>
      <c r="D35" s="192"/>
      <c r="E35" s="347"/>
      <c r="F35" s="347"/>
      <c r="G35" s="347"/>
      <c r="H35" s="347"/>
      <c r="I35" s="183"/>
    </row>
    <row r="36" spans="1:9" ht="50.25" customHeight="1" x14ac:dyDescent="0.25">
      <c r="A36" s="862"/>
      <c r="B36" s="862"/>
      <c r="C36" s="47" t="s">
        <v>12</v>
      </c>
      <c r="D36" s="182"/>
      <c r="E36" s="347"/>
      <c r="F36" s="347"/>
      <c r="G36" s="347"/>
      <c r="H36" s="347"/>
      <c r="I36" s="183"/>
    </row>
    <row r="37" spans="1:9" ht="50.25" customHeight="1" x14ac:dyDescent="0.25">
      <c r="A37" s="862"/>
      <c r="B37" s="862"/>
      <c r="C37" s="47" t="s">
        <v>13</v>
      </c>
      <c r="D37" s="57"/>
      <c r="E37" s="53"/>
      <c r="F37" s="53"/>
      <c r="G37" s="53"/>
      <c r="H37" s="53"/>
      <c r="I37" s="56"/>
    </row>
    <row r="38" spans="1:9" ht="50.25" customHeight="1" thickBot="1" x14ac:dyDescent="0.3">
      <c r="A38" s="863"/>
      <c r="B38" s="863"/>
      <c r="C38" s="48" t="s">
        <v>15</v>
      </c>
      <c r="D38" s="95"/>
      <c r="E38" s="96"/>
      <c r="F38" s="96"/>
      <c r="G38" s="96"/>
      <c r="H38" s="96"/>
      <c r="I38" s="97"/>
    </row>
    <row r="39" spans="1:9" ht="32.25" customHeight="1" x14ac:dyDescent="0.45">
      <c r="A39" s="2"/>
      <c r="B39" s="2"/>
      <c r="C39" s="37"/>
      <c r="D39" s="166" t="s">
        <v>86</v>
      </c>
    </row>
    <row r="40" spans="1:9" s="19" customFormat="1" ht="20.25" x14ac:dyDescent="0.3">
      <c r="A40" s="18"/>
      <c r="B40" s="18"/>
      <c r="C40" s="58" t="str">
        <f>'01.09'!C39</f>
        <v>*Л. Речевое общение в профессиональной деятельности*</v>
      </c>
      <c r="D40" s="59">
        <f>'01.09'!D39+COUNTIF(D$8:D$38,$C40)</f>
        <v>2</v>
      </c>
      <c r="E40" s="59">
        <f>'01.09'!E39+COUNTIF(E$8:E$38,$C40)</f>
        <v>2</v>
      </c>
      <c r="F40" s="59">
        <f>'01.09'!F39+COUNTIF(F$8:F$38,$C40)</f>
        <v>2</v>
      </c>
      <c r="G40" s="59">
        <f>'01.09'!G39+COUNTIF(G$8:G$38,$C40)</f>
        <v>2</v>
      </c>
      <c r="H40" s="59">
        <f>'01.09'!H39+COUNTIF(H$8:H$38,$C40)</f>
        <v>2</v>
      </c>
      <c r="I40" s="59">
        <f>'01.09'!I39+COUNTIF(I$8:I$38,$C40)</f>
        <v>2</v>
      </c>
    </row>
    <row r="41" spans="1:9" s="19" customFormat="1" ht="20.25" x14ac:dyDescent="0.3">
      <c r="A41" s="18"/>
      <c r="B41" s="18"/>
      <c r="C41" s="58" t="str">
        <f>'01.09'!C40</f>
        <v>*Пр. Речевое общение в профессиональной деятельности*</v>
      </c>
      <c r="D41" s="60">
        <f>'01.09'!D40+COUNTIF(D$8:D$38,$C41)</f>
        <v>0</v>
      </c>
      <c r="E41" s="60">
        <f>'01.09'!E40+COUNTIF(E$8:E$38,$C41)</f>
        <v>0</v>
      </c>
      <c r="F41" s="59">
        <f>'01.09'!F40+COUNTIF(F$8:F$38,$C41)</f>
        <v>0</v>
      </c>
      <c r="G41" s="60">
        <f>'01.09'!G40+COUNTIF(G$8:G$38,$C41)</f>
        <v>0</v>
      </c>
      <c r="H41" s="60">
        <f>'01.09'!H40+COUNTIF(H$8:H$38,$C41)</f>
        <v>0</v>
      </c>
      <c r="I41" s="60">
        <f>'01.09'!I40+COUNTIF(I$8:I$38,$C41)</f>
        <v>0</v>
      </c>
    </row>
    <row r="42" spans="1:9" s="19" customFormat="1" ht="20.25" x14ac:dyDescent="0.3">
      <c r="A42" s="18"/>
      <c r="B42" s="18"/>
      <c r="C42" s="58" t="str">
        <f>'01.09'!C41</f>
        <v>*Л. Элективные дисциплины по ФКиС: Силовая подготовка*</v>
      </c>
      <c r="D42" s="59">
        <f>'01.09'!D41+COUNTIF(D$8:D$38,$C42)</f>
        <v>1</v>
      </c>
      <c r="E42" s="59">
        <f>'01.09'!E41+COUNTIF(E$8:E$38,$C42)</f>
        <v>1</v>
      </c>
      <c r="F42" s="59">
        <f>'01.09'!F41+COUNTIF(F$8:F$38,$C42)</f>
        <v>1</v>
      </c>
      <c r="G42" s="59">
        <f>'01.09'!G41+COUNTIF(G$8:G$38,$C42)</f>
        <v>1</v>
      </c>
      <c r="H42" s="59">
        <f>'01.09'!H41+COUNTIF(H$8:H$38,$C42)</f>
        <v>1</v>
      </c>
      <c r="I42" s="59">
        <f>'01.09'!I41+COUNTIF(I$8:I$38,$C42)</f>
        <v>1</v>
      </c>
    </row>
    <row r="43" spans="1:9" s="19" customFormat="1" ht="20.25" x14ac:dyDescent="0.3">
      <c r="A43" s="18"/>
      <c r="B43" s="18"/>
      <c r="C43" s="58" t="str">
        <f>'01.09'!C42</f>
        <v>*Пр. Элективные дисциплины по ФКиС: Силовая подготовка*</v>
      </c>
      <c r="D43" s="60">
        <f>'01.09'!D42+COUNTIF(D$8:D$38,$C43)</f>
        <v>1</v>
      </c>
      <c r="E43" s="60">
        <f>'01.09'!E42+COUNTIF(E$8:E$38,$C43)</f>
        <v>1</v>
      </c>
      <c r="F43" s="59">
        <f>'01.09'!F42+COUNTIF(F$8:F$38,$C43)</f>
        <v>1</v>
      </c>
      <c r="G43" s="60">
        <f>'01.09'!G42+COUNTIF(G$8:G$38,$C43)</f>
        <v>1</v>
      </c>
      <c r="H43" s="60">
        <f>'01.09'!H42+COUNTIF(H$8:H$38,$C43)</f>
        <v>1</v>
      </c>
      <c r="I43" s="60">
        <f>'01.09'!I42+COUNTIF(I$8:I$38,$C43)</f>
        <v>1</v>
      </c>
    </row>
    <row r="44" spans="1:9" s="19" customFormat="1" ht="20.25" x14ac:dyDescent="0.3">
      <c r="A44" s="18"/>
      <c r="B44" s="18"/>
      <c r="C44" s="58" t="str">
        <f>'01.09'!C43</f>
        <v>*Л. Анатомия*</v>
      </c>
      <c r="D44" s="59">
        <f>'01.09'!D43+COUNTIF(D$8:D$38,$C44)</f>
        <v>1</v>
      </c>
      <c r="E44" s="59">
        <f>'01.09'!E43+COUNTIF(E$8:E$38,$C44)</f>
        <v>1</v>
      </c>
      <c r="F44" s="59">
        <f>'01.09'!F43+COUNTIF(F$8:F$38,$C44)</f>
        <v>1</v>
      </c>
      <c r="G44" s="59">
        <f>'01.09'!G43+COUNTIF(G$8:G$38,$C44)</f>
        <v>1</v>
      </c>
      <c r="H44" s="59">
        <f>'01.09'!H43+COUNTIF(H$8:H$38,$C44)</f>
        <v>1</v>
      </c>
      <c r="I44" s="59">
        <f>'01.09'!I43+COUNTIF(I$8:I$38,$C44)</f>
        <v>1</v>
      </c>
    </row>
    <row r="45" spans="1:9" s="19" customFormat="1" ht="20.25" x14ac:dyDescent="0.3">
      <c r="A45" s="18"/>
      <c r="B45" s="18"/>
      <c r="C45" s="58" t="str">
        <f>'01.09'!C44</f>
        <v>*Пр. Анатомия*</v>
      </c>
      <c r="D45" s="60">
        <f>'01.09'!D44+COUNTIF(D$8:D$38,$C45)</f>
        <v>0</v>
      </c>
      <c r="E45" s="60">
        <f>'01.09'!E44+COUNTIF(E$8:E$38,$C45)</f>
        <v>0</v>
      </c>
      <c r="F45" s="59">
        <f>'01.09'!F44+COUNTIF(F$8:F$38,$C45)</f>
        <v>0</v>
      </c>
      <c r="G45" s="60">
        <f>'01.09'!G44+COUNTIF(G$8:G$38,$C45)</f>
        <v>0</v>
      </c>
      <c r="H45" s="60">
        <f>'01.09'!H44+COUNTIF(H$8:H$38,$C45)</f>
        <v>0</v>
      </c>
      <c r="I45" s="60">
        <f>'01.09'!I44+COUNTIF(I$8:I$38,$C45)</f>
        <v>0</v>
      </c>
    </row>
    <row r="46" spans="1:9" s="19" customFormat="1" ht="20.25" x14ac:dyDescent="0.3">
      <c r="A46" s="18"/>
      <c r="B46" s="18"/>
      <c r="C46" s="58" t="str">
        <f>'01.09'!C45</f>
        <v>*Л. Теория и методика*</v>
      </c>
      <c r="D46" s="59">
        <f>'01.09'!D45+COUNTIF(D$8:D$38,$C46)</f>
        <v>1</v>
      </c>
      <c r="E46" s="59">
        <f>'01.09'!E45+COUNTIF(E$8:E$38,$C46)</f>
        <v>1</v>
      </c>
      <c r="F46" s="59">
        <f>'01.09'!F45+COUNTIF(F$8:F$38,$C46)</f>
        <v>1</v>
      </c>
      <c r="G46" s="59">
        <f>'01.09'!G45+COUNTIF(G$8:G$38,$C46)</f>
        <v>1</v>
      </c>
      <c r="H46" s="59">
        <f>'01.09'!H45+COUNTIF(H$8:H$38,$C46)</f>
        <v>1</v>
      </c>
      <c r="I46" s="59">
        <f>'01.09'!I45+COUNTIF(I$8:I$38,$C46)</f>
        <v>1</v>
      </c>
    </row>
    <row r="47" spans="1:9" s="19" customFormat="1" ht="20.25" x14ac:dyDescent="0.3">
      <c r="A47" s="18"/>
      <c r="B47" s="18"/>
      <c r="C47" s="58" t="str">
        <f>'01.09'!C46</f>
        <v>*Пр. Теория и методика*</v>
      </c>
      <c r="D47" s="60">
        <f>'01.09'!D46+COUNTIF(D$8:D$38,$C47)</f>
        <v>4</v>
      </c>
      <c r="E47" s="60">
        <f>'01.09'!E46+COUNTIF(E$8:E$38,$C47)</f>
        <v>5</v>
      </c>
      <c r="F47" s="59">
        <f>'01.09'!F46+COUNTIF(F$8:F$38,$C47)</f>
        <v>5</v>
      </c>
      <c r="G47" s="60">
        <f>'01.09'!G46+COUNTIF(G$8:G$38,$C47)</f>
        <v>5</v>
      </c>
      <c r="H47" s="60">
        <f>'01.09'!H46+COUNTIF(H$8:H$38,$C47)</f>
        <v>5</v>
      </c>
      <c r="I47" s="60">
        <f>'01.09'!I46+COUNTIF(I$8:I$38,$C47)</f>
        <v>4</v>
      </c>
    </row>
    <row r="48" spans="1:9" s="19" customFormat="1" ht="20.25" x14ac:dyDescent="0.3">
      <c r="A48" s="18"/>
      <c r="B48" s="18"/>
      <c r="C48" s="58" t="str">
        <f>'01.09'!C47</f>
        <v>*Л. Физическая культура и спорт*</v>
      </c>
      <c r="D48" s="59">
        <f>'01.09'!D47+COUNTIF(D$8:D$38,$C48)</f>
        <v>2</v>
      </c>
      <c r="E48" s="59">
        <f>'01.09'!E47+COUNTIF(E$8:E$38,$C48)</f>
        <v>2</v>
      </c>
      <c r="F48" s="59">
        <f>'01.09'!F47+COUNTIF(F$8:F$38,$C48)</f>
        <v>2</v>
      </c>
      <c r="G48" s="59">
        <f>'01.09'!G47+COUNTIF(G$8:G$38,$C48)</f>
        <v>2</v>
      </c>
      <c r="H48" s="59">
        <f>'01.09'!H47+COUNTIF(H$8:H$38,$C48)</f>
        <v>2</v>
      </c>
      <c r="I48" s="59">
        <f>'01.09'!I47+COUNTIF(I$8:I$38,$C48)</f>
        <v>2</v>
      </c>
    </row>
    <row r="49" spans="1:9" s="19" customFormat="1" ht="20.25" x14ac:dyDescent="0.3">
      <c r="A49" s="18"/>
      <c r="B49" s="18"/>
      <c r="C49" s="58" t="str">
        <f>'01.09'!C48</f>
        <v>*Пр. Физическая культура и спорт*</v>
      </c>
      <c r="D49" s="60">
        <f>'01.09'!D48+COUNTIF(D$8:D$38,$C49)</f>
        <v>0</v>
      </c>
      <c r="E49" s="60">
        <f>'01.09'!E48+COUNTIF(E$8:E$38,$C49)</f>
        <v>0</v>
      </c>
      <c r="F49" s="59">
        <f>'01.09'!F48+COUNTIF(F$8:F$38,$C49)</f>
        <v>0</v>
      </c>
      <c r="G49" s="60">
        <f>'01.09'!G48+COUNTIF(G$8:G$38,$C49)</f>
        <v>0</v>
      </c>
      <c r="H49" s="60">
        <f>'01.09'!H48+COUNTIF(H$8:H$38,$C49)</f>
        <v>0</v>
      </c>
      <c r="I49" s="60">
        <f>'01.09'!I48+COUNTIF(I$8:I$38,$C49)</f>
        <v>0</v>
      </c>
    </row>
    <row r="50" spans="1:9" s="19" customFormat="1" ht="20.25" x14ac:dyDescent="0.3">
      <c r="A50" s="18"/>
      <c r="B50" s="18"/>
      <c r="C50" s="58" t="str">
        <f>'01.09'!C49</f>
        <v>*Л. Информационные технологии*</v>
      </c>
      <c r="D50" s="59">
        <f>'01.09'!D49+COUNTIF(D$8:D$38,$C50)</f>
        <v>2</v>
      </c>
      <c r="E50" s="59">
        <f>'01.09'!E49+COUNTIF(E$8:E$38,$C50)</f>
        <v>2</v>
      </c>
      <c r="F50" s="59">
        <f>'01.09'!F49+COUNTIF(F$8:F$38,$C50)</f>
        <v>2</v>
      </c>
      <c r="G50" s="59">
        <f>'01.09'!G49+COUNTIF(G$8:G$38,$C50)</f>
        <v>2</v>
      </c>
      <c r="H50" s="59">
        <f>'01.09'!H49+COUNTIF(H$8:H$38,$C50)</f>
        <v>2</v>
      </c>
      <c r="I50" s="59">
        <f>'01.09'!I49+COUNTIF(I$8:I$38,$C50)</f>
        <v>2</v>
      </c>
    </row>
    <row r="51" spans="1:9" s="19" customFormat="1" ht="20.25" x14ac:dyDescent="0.3">
      <c r="A51" s="18"/>
      <c r="B51" s="18"/>
      <c r="C51" s="58" t="str">
        <f>'01.09'!C50</f>
        <v>*Пр. Информационные технологии*</v>
      </c>
      <c r="D51" s="60">
        <f>'01.09'!D50+COUNTIF(D$8:D$38,$C51)</f>
        <v>1</v>
      </c>
      <c r="E51" s="60">
        <f>'01.09'!E50+COUNTIF(E$8:E$38,$C51)</f>
        <v>1</v>
      </c>
      <c r="F51" s="59">
        <f>'01.09'!F50+COUNTIF(F$8:F$38,$C51)</f>
        <v>1</v>
      </c>
      <c r="G51" s="60">
        <f>'01.09'!G50+COUNTIF(G$8:G$38,$C51)</f>
        <v>1</v>
      </c>
      <c r="H51" s="60">
        <f>'01.09'!H50+COUNTIF(H$8:H$38,$C51)</f>
        <v>1</v>
      </c>
      <c r="I51" s="60">
        <f>'01.09'!I50+COUNTIF(I$8:I$38,$C51)</f>
        <v>1</v>
      </c>
    </row>
    <row r="52" spans="1:9" s="19" customFormat="1" ht="20.25" x14ac:dyDescent="0.3">
      <c r="A52" s="18"/>
      <c r="B52" s="18"/>
      <c r="C52" s="58" t="str">
        <f>'01.09'!C51</f>
        <v>*Л. Гимнастика*</v>
      </c>
      <c r="D52" s="59">
        <f>'01.09'!D51+COUNTIF(D$8:D$38,$C52)</f>
        <v>3</v>
      </c>
      <c r="E52" s="59">
        <f>'01.09'!E51+COUNTIF(E$8:E$38,$C52)</f>
        <v>3</v>
      </c>
      <c r="F52" s="59">
        <f>'01.09'!F51+COUNTIF(F$8:F$38,$C52)</f>
        <v>3</v>
      </c>
      <c r="G52" s="59">
        <f>'01.09'!G51+COUNTIF(G$8:G$38,$C52)</f>
        <v>3</v>
      </c>
      <c r="H52" s="59">
        <f>'01.09'!H51+COUNTIF(H$8:H$38,$C52)</f>
        <v>3</v>
      </c>
      <c r="I52" s="59">
        <f>'01.09'!I51+COUNTIF(I$8:I$38,$C52)</f>
        <v>3</v>
      </c>
    </row>
    <row r="53" spans="1:9" s="19" customFormat="1" ht="20.25" x14ac:dyDescent="0.3">
      <c r="A53" s="18"/>
      <c r="B53" s="18"/>
      <c r="C53" s="58" t="str">
        <f>'01.09'!C52</f>
        <v>*Пр. Гимнастика*</v>
      </c>
      <c r="D53" s="60">
        <f>'01.09'!D52+COUNTIF(D$8:D$38,$C53)</f>
        <v>1</v>
      </c>
      <c r="E53" s="60">
        <f>'01.09'!E52+COUNTIF(E$8:E$38,$C53)</f>
        <v>2</v>
      </c>
      <c r="F53" s="59">
        <f>'01.09'!F52+COUNTIF(F$8:F$38,$C53)</f>
        <v>1</v>
      </c>
      <c r="G53" s="60">
        <f>'01.09'!G52+COUNTIF(G$8:G$38,$C53)</f>
        <v>1</v>
      </c>
      <c r="H53" s="60">
        <f>'01.09'!H52+COUNTIF(H$8:H$38,$C53)</f>
        <v>2</v>
      </c>
      <c r="I53" s="60">
        <f>'01.09'!I52+COUNTIF(I$8:I$38,$C53)</f>
        <v>2</v>
      </c>
    </row>
    <row r="54" spans="1:9" s="19" customFormat="1" ht="20.25" x14ac:dyDescent="0.3">
      <c r="A54" s="18"/>
      <c r="B54" s="18"/>
      <c r="C54" s="58" t="str">
        <f>'01.09'!C53</f>
        <v>*Л. Волейбол*</v>
      </c>
      <c r="D54" s="59">
        <f>'01.09'!D53+COUNTIF(D$8:D$38,$C54)</f>
        <v>1</v>
      </c>
      <c r="E54" s="59">
        <f>'01.09'!E53+COUNTIF(E$8:E$38,$C54)</f>
        <v>1</v>
      </c>
      <c r="F54" s="59">
        <f>'01.09'!F53+COUNTIF(F$8:F$38,$C54)</f>
        <v>1</v>
      </c>
      <c r="G54" s="59">
        <f>'01.09'!G53+COUNTIF(G$8:G$38,$C54)</f>
        <v>1</v>
      </c>
      <c r="H54" s="59">
        <f>'01.09'!H53+COUNTIF(H$8:H$38,$C54)</f>
        <v>1</v>
      </c>
      <c r="I54" s="59">
        <f>'01.09'!I53+COUNTIF(I$8:I$38,$C54)</f>
        <v>1</v>
      </c>
    </row>
    <row r="55" spans="1:9" s="19" customFormat="1" ht="20.25" x14ac:dyDescent="0.3">
      <c r="A55" s="18"/>
      <c r="B55" s="18"/>
      <c r="C55" s="58" t="str">
        <f>'01.09'!C54</f>
        <v>*Пр. Волейбол*</v>
      </c>
      <c r="D55" s="60">
        <f>'01.09'!D54+COUNTIF(D$8:D$38,$C55)</f>
        <v>2</v>
      </c>
      <c r="E55" s="60">
        <f>'01.09'!E54+COUNTIF(E$8:E$38,$C55)</f>
        <v>2</v>
      </c>
      <c r="F55" s="59">
        <f>'01.09'!F54+COUNTIF(F$8:F$38,$C55)</f>
        <v>1</v>
      </c>
      <c r="G55" s="60">
        <f>'01.09'!G54+COUNTIF(G$8:G$38,$C55)</f>
        <v>1</v>
      </c>
      <c r="H55" s="60">
        <f>'01.09'!H54+COUNTIF(H$8:H$38,$C55)</f>
        <v>2</v>
      </c>
      <c r="I55" s="60">
        <f>'01.09'!I54+COUNTIF(I$8:I$38,$C55)</f>
        <v>2</v>
      </c>
    </row>
    <row r="56" spans="1:9" s="19" customFormat="1" ht="20.25" x14ac:dyDescent="0.3">
      <c r="A56" s="18"/>
      <c r="B56" s="18"/>
      <c r="C56" s="58" t="str">
        <f>'01.09'!C55</f>
        <v>*Л. Лыжные гонки*</v>
      </c>
      <c r="D56" s="59">
        <f>'01.09'!D55+COUNTIF(D$8:D$38,$C56)</f>
        <v>0</v>
      </c>
      <c r="E56" s="59">
        <f>'01.09'!E55+COUNTIF(E$8:E$38,$C56)</f>
        <v>0</v>
      </c>
      <c r="F56" s="59">
        <f>'01.09'!F55+COUNTIF(F$8:F$38,$C56)</f>
        <v>0</v>
      </c>
      <c r="G56" s="59">
        <f>'01.09'!G55+COUNTIF(G$8:G$38,$C56)</f>
        <v>0</v>
      </c>
      <c r="H56" s="59">
        <f>'01.09'!H55+COUNTIF(H$8:H$38,$C56)</f>
        <v>0</v>
      </c>
      <c r="I56" s="59">
        <f>'01.09'!I55+COUNTIF(I$8:I$38,$C56)</f>
        <v>0</v>
      </c>
    </row>
    <row r="57" spans="1:9" s="19" customFormat="1" ht="20.25" x14ac:dyDescent="0.3">
      <c r="A57" s="18"/>
      <c r="B57" s="18"/>
      <c r="C57" s="58" t="str">
        <f>'01.09'!C56</f>
        <v>*Пр. Лыжные гонки*</v>
      </c>
      <c r="D57" s="60">
        <f>'01.09'!D56+COUNTIF(D$8:D$38,$C57)</f>
        <v>0</v>
      </c>
      <c r="E57" s="60">
        <f>'01.09'!E56+COUNTIF(E$8:E$38,$C57)</f>
        <v>0</v>
      </c>
      <c r="F57" s="59">
        <f>'01.09'!F56+COUNTIF(F$8:F$38,$C57)</f>
        <v>0</v>
      </c>
      <c r="G57" s="60">
        <f>'01.09'!G56+COUNTIF(G$8:G$38,$C57)</f>
        <v>0</v>
      </c>
      <c r="H57" s="60">
        <f>'01.09'!H56+COUNTIF(H$8:H$38,$C57)</f>
        <v>0</v>
      </c>
      <c r="I57" s="60">
        <f>'01.09'!I56+COUNTIF(I$8:I$38,$C57)</f>
        <v>0</v>
      </c>
    </row>
    <row r="58" spans="1:9" s="19" customFormat="1" ht="20.25" x14ac:dyDescent="0.3">
      <c r="A58" s="18"/>
      <c r="B58" s="18"/>
      <c r="C58" s="58" t="str">
        <f>'01.09'!C57</f>
        <v>*Л. Использование электронной*</v>
      </c>
      <c r="D58" s="59">
        <f>'01.09'!D57+COUNTIF(D$8:D$38,$C58)</f>
        <v>1</v>
      </c>
      <c r="E58" s="59">
        <f>'01.09'!E57+COUNTIF(E$8:E$38,$C58)</f>
        <v>0</v>
      </c>
      <c r="F58" s="59">
        <f>'01.09'!F57+COUNTIF(F$8:F$38,$C58)</f>
        <v>0</v>
      </c>
      <c r="G58" s="59">
        <f>'01.09'!G57+COUNTIF(G$8:G$38,$C58)</f>
        <v>0</v>
      </c>
      <c r="H58" s="59">
        <f>'01.09'!H57+COUNTIF(H$8:H$38,$C58)</f>
        <v>0</v>
      </c>
      <c r="I58" s="59">
        <f>'01.09'!I57+COUNTIF(I$8:I$38,$C58)</f>
        <v>0</v>
      </c>
    </row>
    <row r="59" spans="1:9" s="19" customFormat="1" ht="20.25" x14ac:dyDescent="0.3">
      <c r="A59" s="18"/>
      <c r="B59" s="18"/>
      <c r="C59" s="58" t="str">
        <f>'01.09'!C58</f>
        <v>*Пр. Использование электронной*</v>
      </c>
      <c r="D59" s="60">
        <f>'01.09'!D58+COUNTIF(D$8:D$38,$C59)</f>
        <v>0</v>
      </c>
      <c r="E59" s="60">
        <f>'01.09'!E58+COUNTIF(E$8:E$38,$C59)</f>
        <v>0</v>
      </c>
      <c r="F59" s="59">
        <f>'01.09'!F58+COUNTIF(F$8:F$38,$C59)</f>
        <v>0</v>
      </c>
      <c r="G59" s="60">
        <f>'01.09'!G58+COUNTIF(G$8:G$38,$C59)</f>
        <v>0</v>
      </c>
      <c r="H59" s="60">
        <f>'01.09'!H58+COUNTIF(H$8:H$38,$C59)</f>
        <v>0</v>
      </c>
      <c r="I59" s="60">
        <f>'01.09'!I58+COUNTIF(I$8:I$38,$C59)</f>
        <v>0</v>
      </c>
    </row>
    <row r="60" spans="1:9" s="19" customFormat="1" ht="20.25" x14ac:dyDescent="0.3">
      <c r="A60" s="18"/>
      <c r="B60" s="18"/>
      <c r="C60" s="58" t="str">
        <f>'01.09'!C59</f>
        <v>*Пр. Иностранный язык*</v>
      </c>
      <c r="D60" s="59">
        <f>'01.09'!D59+COUNTIF(D$8:D$38,$C60)</f>
        <v>1</v>
      </c>
      <c r="E60" s="59">
        <f>'01.09'!E59+COUNTIF(E$8:E$38,$C60)</f>
        <v>1</v>
      </c>
      <c r="F60" s="59">
        <f>'01.09'!F59+COUNTIF(F$8:F$38,$C60)</f>
        <v>1</v>
      </c>
      <c r="G60" s="59">
        <f>'01.09'!G59+COUNTIF(G$8:G$38,$C60)</f>
        <v>1</v>
      </c>
      <c r="H60" s="59">
        <f>'01.09'!H59+COUNTIF(H$8:H$38,$C60)</f>
        <v>1</v>
      </c>
      <c r="I60" s="59">
        <f>'01.09'!I59+COUNTIF(I$8:I$38,$C60)</f>
        <v>1</v>
      </c>
    </row>
    <row r="61" spans="1:9" s="19" customFormat="1" ht="20.25" x14ac:dyDescent="0.3">
      <c r="A61" s="18"/>
      <c r="B61" s="18"/>
      <c r="C61" s="58" t="str">
        <f>'01.09'!C60</f>
        <v>*С1-04А-26*</v>
      </c>
      <c r="D61" s="60">
        <f>'01.09'!D60+COUNTIF(D$8:D$38,$C61)</f>
        <v>0</v>
      </c>
      <c r="E61" s="60">
        <f>'01.09'!E60+COUNTIF(E$8:E$38,$C61)</f>
        <v>0</v>
      </c>
      <c r="F61" s="59">
        <f>'01.09'!F60+COUNTIF(F$8:F$38,$C61)</f>
        <v>0</v>
      </c>
      <c r="G61" s="60">
        <f>'01.09'!G60+COUNTIF(G$8:G$38,$C61)</f>
        <v>1</v>
      </c>
      <c r="H61" s="60">
        <f>'01.09'!H60+COUNTIF(H$8:H$38,$C61)</f>
        <v>0</v>
      </c>
      <c r="I61" s="60">
        <f>'01.09'!I60+COUNTIF(I$8:I$38,$C61)</f>
        <v>0</v>
      </c>
    </row>
    <row r="62" spans="1:9" ht="20.25" x14ac:dyDescent="0.3">
      <c r="A62" s="2"/>
      <c r="B62" s="2"/>
      <c r="C62" s="58" t="str">
        <f>'01.09'!C61</f>
        <v>*С1-04Б-26*</v>
      </c>
      <c r="D62" s="59">
        <f>'01.09'!D61+COUNTIF(D$8:D$38,$C62)</f>
        <v>0</v>
      </c>
      <c r="E62" s="59">
        <f>'01.09'!E61+COUNTIF(E$8:E$38,$C62)</f>
        <v>0</v>
      </c>
      <c r="F62" s="59">
        <f>'01.09'!F61+COUNTIF(F$8:F$38,$C62)</f>
        <v>0</v>
      </c>
      <c r="G62" s="59">
        <f>'01.09'!G61+COUNTIF(G$8:G$38,$C62)</f>
        <v>1</v>
      </c>
      <c r="H62" s="59">
        <f>'01.09'!H61+COUNTIF(H$8:H$38,$C62)</f>
        <v>0</v>
      </c>
      <c r="I62" s="59">
        <f>'01.09'!I61+COUNTIF(I$8:I$38,$C62)</f>
        <v>0</v>
      </c>
    </row>
    <row r="63" spans="1:9" ht="20.25" x14ac:dyDescent="0.3">
      <c r="A63" s="2"/>
      <c r="B63" s="2"/>
      <c r="C63" s="58" t="str">
        <f>'01.09'!C62</f>
        <v>*С1-05А-26*</v>
      </c>
      <c r="D63" s="60">
        <f>'01.09'!D62+COUNTIF(D$8:D$38,$C63)</f>
        <v>0</v>
      </c>
      <c r="E63" s="60">
        <f>'01.09'!E62+COUNTIF(E$8:E$38,$C63)</f>
        <v>0</v>
      </c>
      <c r="F63" s="59">
        <f>'01.09'!F62+COUNTIF(F$8:F$38,$C63)</f>
        <v>0</v>
      </c>
      <c r="G63" s="60">
        <f>'01.09'!G62+COUNTIF(G$8:G$38,$C63)</f>
        <v>0</v>
      </c>
      <c r="H63" s="60">
        <f>'01.09'!H62+COUNTIF(H$8:H$38,$C63)</f>
        <v>0</v>
      </c>
      <c r="I63" s="60">
        <f>'01.09'!I62+COUNTIF(I$8:I$38,$C63)</f>
        <v>0</v>
      </c>
    </row>
    <row r="64" spans="1:9" ht="20.25" x14ac:dyDescent="0.3">
      <c r="A64" s="2"/>
      <c r="B64" s="2"/>
      <c r="C64" s="58" t="str">
        <f>'01.09'!C63</f>
        <v>*С1-05Б-26*</v>
      </c>
      <c r="D64" s="59">
        <f>'01.09'!D63+COUNTIF(D$8:D$38,$C64)</f>
        <v>0</v>
      </c>
      <c r="E64" s="59">
        <f>'01.09'!E63+COUNTIF(E$8:E$38,$C64)</f>
        <v>0</v>
      </c>
      <c r="F64" s="59">
        <f>'01.09'!F63+COUNTIF(F$8:F$38,$C64)</f>
        <v>0</v>
      </c>
      <c r="G64" s="59">
        <f>'01.09'!G63+COUNTIF(G$8:G$38,$C64)</f>
        <v>0</v>
      </c>
      <c r="H64" s="59">
        <f>'01.09'!H63+COUNTIF(H$8:H$38,$C64)</f>
        <v>0</v>
      </c>
      <c r="I64" s="59">
        <f>'01.09'!I63+COUNTIF(I$8:I$38,$C64)</f>
        <v>0</v>
      </c>
    </row>
    <row r="65" spans="1:9" ht="20.25" x14ac:dyDescent="0.3">
      <c r="A65" s="2"/>
      <c r="B65" s="2"/>
      <c r="C65" s="58">
        <f>'01.09'!C64</f>
        <v>0</v>
      </c>
      <c r="D65" s="60">
        <f>'01.09'!D64+COUNTIF(D$8:D$38,$C65)</f>
        <v>0</v>
      </c>
      <c r="E65" s="60">
        <f>'01.09'!E64+COUNTIF(E$8:E$38,$C65)</f>
        <v>0</v>
      </c>
      <c r="F65" s="59">
        <f>'01.09'!F64+COUNTIF(F$8:F$38,$C65)</f>
        <v>0</v>
      </c>
      <c r="G65" s="60">
        <f>'01.09'!G64+COUNTIF(G$8:G$38,$C65)</f>
        <v>0</v>
      </c>
      <c r="H65" s="60">
        <f>'01.09'!H64+COUNTIF(H$8:H$38,$C65)</f>
        <v>0</v>
      </c>
      <c r="I65" s="60">
        <f>'01.09'!I64+COUNTIF(I$8:I$38,$C65)</f>
        <v>0</v>
      </c>
    </row>
    <row r="66" spans="1:9" ht="20.25" x14ac:dyDescent="0.3">
      <c r="A66" s="2"/>
      <c r="B66" s="2"/>
      <c r="C66" s="58">
        <f>'01.09'!C65</f>
        <v>0</v>
      </c>
      <c r="D66" s="59">
        <f>'01.09'!D65+COUNTIF(D$8:D$38,$C66)</f>
        <v>0</v>
      </c>
      <c r="E66" s="59">
        <f>'01.09'!E65+COUNTIF(E$8:E$38,$C66)</f>
        <v>0</v>
      </c>
      <c r="F66" s="59">
        <f>'01.09'!F65+COUNTIF(F$8:F$38,$C66)</f>
        <v>0</v>
      </c>
      <c r="G66" s="59">
        <f>'01.09'!G65+COUNTIF(G$8:G$38,$C66)</f>
        <v>0</v>
      </c>
      <c r="H66" s="59">
        <f>'01.09'!H65+COUNTIF(H$8:H$38,$C66)</f>
        <v>0</v>
      </c>
      <c r="I66" s="59">
        <f>'01.09'!I65+COUNTIF(I$8:I$38,$C66)</f>
        <v>0</v>
      </c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</sheetData>
  <mergeCells count="20">
    <mergeCell ref="B1:I1"/>
    <mergeCell ref="B2:I2"/>
    <mergeCell ref="B3:I3"/>
    <mergeCell ref="B4:I4"/>
    <mergeCell ref="B19:B23"/>
    <mergeCell ref="A5:I5"/>
    <mergeCell ref="A19:A23"/>
    <mergeCell ref="C6:C7"/>
    <mergeCell ref="B6:B7"/>
    <mergeCell ref="A8:A12"/>
    <mergeCell ref="A13:A18"/>
    <mergeCell ref="A6:A7"/>
    <mergeCell ref="B8:B12"/>
    <mergeCell ref="B13:B18"/>
    <mergeCell ref="B34:B38"/>
    <mergeCell ref="A34:A38"/>
    <mergeCell ref="A24:A28"/>
    <mergeCell ref="A29:A33"/>
    <mergeCell ref="B24:B28"/>
    <mergeCell ref="B29:B33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6" fitToWidth="0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70"/>
  <sheetViews>
    <sheetView view="pageBreakPreview" topLeftCell="A22" zoomScale="40" zoomScaleNormal="40" zoomScaleSheetLayoutView="40" zoomScalePageLayoutView="40" workbookViewId="0">
      <selection activeCell="D29" sqref="D29"/>
    </sheetView>
  </sheetViews>
  <sheetFormatPr defaultRowHeight="15" x14ac:dyDescent="0.25"/>
  <cols>
    <col min="1" max="2" width="4.42578125" customWidth="1"/>
    <col min="3" max="3" width="24.85546875" customWidth="1"/>
    <col min="4" max="9" width="57.42578125" customWidth="1"/>
  </cols>
  <sheetData>
    <row r="1" spans="1:10" ht="30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10" ht="30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10" ht="30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10" ht="31.5" customHeight="1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10" ht="32.25" customHeight="1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10" ht="34.5" customHeight="1" thickBot="1" x14ac:dyDescent="0.3">
      <c r="A6" s="866" t="s">
        <v>54</v>
      </c>
      <c r="B6" s="866" t="s">
        <v>14</v>
      </c>
      <c r="C6" s="841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10" ht="165.75" customHeight="1" thickBot="1" x14ac:dyDescent="0.3">
      <c r="A7" s="867"/>
      <c r="B7" s="867"/>
      <c r="C7" s="842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10" ht="77.25" customHeight="1" x14ac:dyDescent="0.25">
      <c r="A8" s="857" t="s">
        <v>0</v>
      </c>
      <c r="B8" s="897">
        <v>46279</v>
      </c>
      <c r="C8" s="76" t="s">
        <v>10</v>
      </c>
      <c r="D8" s="298" t="s">
        <v>236</v>
      </c>
      <c r="E8" s="282"/>
      <c r="F8" s="282"/>
      <c r="G8" s="282"/>
      <c r="H8" s="343"/>
      <c r="I8" s="344"/>
    </row>
    <row r="9" spans="1:10" ht="111" x14ac:dyDescent="0.25">
      <c r="A9" s="858"/>
      <c r="B9" s="862"/>
      <c r="C9" s="77" t="s">
        <v>11</v>
      </c>
      <c r="D9" s="392" t="s">
        <v>264</v>
      </c>
      <c r="E9" s="361" t="s">
        <v>248</v>
      </c>
      <c r="F9" s="361"/>
      <c r="G9" s="361"/>
      <c r="H9" s="361" t="s">
        <v>246</v>
      </c>
      <c r="I9" s="491"/>
    </row>
    <row r="10" spans="1:10" ht="138.75" x14ac:dyDescent="0.25">
      <c r="A10" s="858"/>
      <c r="B10" s="862"/>
      <c r="C10" s="77" t="s">
        <v>12</v>
      </c>
      <c r="D10" s="392" t="s">
        <v>240</v>
      </c>
      <c r="E10" s="361" t="s">
        <v>236</v>
      </c>
      <c r="F10" s="361"/>
      <c r="G10" s="361" t="s">
        <v>251</v>
      </c>
      <c r="H10" s="432" t="s">
        <v>232</v>
      </c>
      <c r="I10" s="478" t="s">
        <v>243</v>
      </c>
      <c r="J10" s="3"/>
    </row>
    <row r="11" spans="1:10" ht="111" x14ac:dyDescent="0.25">
      <c r="A11" s="858"/>
      <c r="B11" s="862"/>
      <c r="C11" s="77" t="s">
        <v>13</v>
      </c>
      <c r="D11" s="392" t="s">
        <v>243</v>
      </c>
      <c r="E11" s="361" t="s">
        <v>264</v>
      </c>
      <c r="F11" s="361"/>
      <c r="G11" s="416" t="s">
        <v>294</v>
      </c>
      <c r="H11" s="432" t="s">
        <v>232</v>
      </c>
      <c r="I11" s="478" t="s">
        <v>236</v>
      </c>
    </row>
    <row r="12" spans="1:10" ht="52.5" customHeight="1" thickBot="1" x14ac:dyDescent="0.3">
      <c r="A12" s="858"/>
      <c r="B12" s="862"/>
      <c r="C12" s="78" t="s">
        <v>15</v>
      </c>
      <c r="D12" s="345"/>
      <c r="E12" s="312"/>
      <c r="F12" s="312"/>
      <c r="G12" s="312"/>
      <c r="H12" s="312"/>
      <c r="I12" s="335"/>
    </row>
    <row r="13" spans="1:10" ht="111" x14ac:dyDescent="0.25">
      <c r="A13" s="858" t="s">
        <v>1</v>
      </c>
      <c r="B13" s="864">
        <f>B8+1</f>
        <v>46280</v>
      </c>
      <c r="C13" s="76" t="s">
        <v>10</v>
      </c>
      <c r="D13" s="392" t="s">
        <v>261</v>
      </c>
      <c r="E13" s="360"/>
      <c r="F13" s="351" t="s">
        <v>258</v>
      </c>
      <c r="G13" s="360" t="s">
        <v>230</v>
      </c>
      <c r="H13" s="286"/>
      <c r="I13" s="303"/>
    </row>
    <row r="14" spans="1:10" ht="111" x14ac:dyDescent="0.25">
      <c r="A14" s="858"/>
      <c r="B14" s="858"/>
      <c r="C14" s="77" t="s">
        <v>11</v>
      </c>
      <c r="D14" s="392" t="s">
        <v>261</v>
      </c>
      <c r="E14" s="351" t="s">
        <v>260</v>
      </c>
      <c r="F14" s="487" t="s">
        <v>258</v>
      </c>
      <c r="G14" s="361" t="s">
        <v>230</v>
      </c>
      <c r="H14" s="265" t="s">
        <v>237</v>
      </c>
      <c r="I14" s="266" t="s">
        <v>266</v>
      </c>
    </row>
    <row r="15" spans="1:10" ht="83.25" x14ac:dyDescent="0.25">
      <c r="A15" s="858"/>
      <c r="B15" s="858"/>
      <c r="C15" s="77" t="s">
        <v>12</v>
      </c>
      <c r="D15" s="485"/>
      <c r="E15" s="265" t="s">
        <v>241</v>
      </c>
      <c r="F15" s="265" t="s">
        <v>236</v>
      </c>
      <c r="G15" s="265" t="s">
        <v>271</v>
      </c>
      <c r="H15" s="265" t="s">
        <v>249</v>
      </c>
      <c r="I15" s="478" t="s">
        <v>234</v>
      </c>
    </row>
    <row r="16" spans="1:10" ht="83.25" x14ac:dyDescent="0.25">
      <c r="A16" s="858"/>
      <c r="B16" s="858"/>
      <c r="C16" s="77" t="s">
        <v>13</v>
      </c>
      <c r="D16" s="485"/>
      <c r="E16" s="265"/>
      <c r="F16" s="265" t="s">
        <v>249</v>
      </c>
      <c r="G16" s="265"/>
      <c r="H16" s="265"/>
      <c r="I16" s="478" t="s">
        <v>234</v>
      </c>
    </row>
    <row r="17" spans="1:12" ht="77.25" customHeight="1" x14ac:dyDescent="0.25">
      <c r="A17" s="858"/>
      <c r="B17" s="858"/>
      <c r="C17" s="357" t="s">
        <v>15</v>
      </c>
      <c r="D17" s="492"/>
      <c r="E17" s="515"/>
      <c r="F17" s="515"/>
      <c r="G17" s="515"/>
      <c r="H17" s="515"/>
      <c r="I17" s="486"/>
    </row>
    <row r="18" spans="1:12" ht="28.5" thickBot="1" x14ac:dyDescent="0.3">
      <c r="A18" s="858"/>
      <c r="B18" s="858"/>
      <c r="C18" s="122" t="s">
        <v>64</v>
      </c>
      <c r="D18" s="306"/>
      <c r="E18" s="361"/>
      <c r="F18" s="393"/>
      <c r="G18" s="307"/>
      <c r="H18" s="307"/>
      <c r="I18" s="308"/>
      <c r="L18" s="3"/>
    </row>
    <row r="19" spans="1:12" ht="77.25" customHeight="1" x14ac:dyDescent="0.25">
      <c r="A19" s="858" t="s">
        <v>2</v>
      </c>
      <c r="B19" s="864">
        <f>B13+1</f>
        <v>46281</v>
      </c>
      <c r="C19" s="76" t="s">
        <v>10</v>
      </c>
      <c r="D19" s="285"/>
      <c r="E19" s="286"/>
      <c r="F19" s="286"/>
      <c r="G19" s="286"/>
      <c r="H19" s="286" t="s">
        <v>246</v>
      </c>
      <c r="I19" s="303"/>
    </row>
    <row r="20" spans="1:12" ht="94.5" customHeight="1" x14ac:dyDescent="0.25">
      <c r="A20" s="858"/>
      <c r="B20" s="858"/>
      <c r="C20" s="77" t="s">
        <v>11</v>
      </c>
      <c r="D20" s="264" t="s">
        <v>247</v>
      </c>
      <c r="E20" s="265"/>
      <c r="F20" s="265"/>
      <c r="G20" s="265"/>
      <c r="H20" s="265" t="s">
        <v>242</v>
      </c>
      <c r="I20" s="266" t="s">
        <v>243</v>
      </c>
    </row>
    <row r="21" spans="1:12" ht="63" customHeight="1" x14ac:dyDescent="0.25">
      <c r="A21" s="858"/>
      <c r="B21" s="858"/>
      <c r="C21" s="77" t="s">
        <v>12</v>
      </c>
      <c r="D21" s="392" t="s">
        <v>243</v>
      </c>
      <c r="E21" s="384" t="s">
        <v>241</v>
      </c>
      <c r="F21" s="384"/>
      <c r="G21" s="265"/>
      <c r="H21" s="265"/>
      <c r="I21" s="478" t="s">
        <v>234</v>
      </c>
      <c r="J21" s="3"/>
      <c r="L21" s="3"/>
    </row>
    <row r="22" spans="1:12" ht="77.25" customHeight="1" x14ac:dyDescent="0.25">
      <c r="A22" s="858"/>
      <c r="B22" s="858"/>
      <c r="C22" s="77" t="s">
        <v>13</v>
      </c>
      <c r="D22" s="392"/>
      <c r="E22" s="361" t="s">
        <v>244</v>
      </c>
      <c r="F22" s="361"/>
      <c r="G22" s="265"/>
      <c r="H22" s="265"/>
      <c r="I22" s="478" t="s">
        <v>234</v>
      </c>
    </row>
    <row r="23" spans="1:12" ht="77.25" customHeight="1" thickBot="1" x14ac:dyDescent="0.3">
      <c r="A23" s="858"/>
      <c r="B23" s="858"/>
      <c r="C23" s="78" t="s">
        <v>15</v>
      </c>
      <c r="D23" s="206"/>
      <c r="E23" s="429"/>
      <c r="F23" s="429"/>
      <c r="G23" s="207"/>
      <c r="H23" s="207"/>
      <c r="I23" s="208"/>
    </row>
    <row r="24" spans="1:12" ht="54.75" customHeight="1" x14ac:dyDescent="0.25">
      <c r="A24" s="858" t="s">
        <v>3</v>
      </c>
      <c r="B24" s="864">
        <f>B19+1</f>
        <v>46282</v>
      </c>
      <c r="C24" s="76" t="s">
        <v>10</v>
      </c>
      <c r="D24" s="285"/>
      <c r="E24" s="286"/>
      <c r="F24" s="286"/>
      <c r="G24" s="286"/>
      <c r="H24" s="286"/>
      <c r="I24" s="303"/>
    </row>
    <row r="25" spans="1:12" ht="111" customHeight="1" x14ac:dyDescent="0.25">
      <c r="A25" s="865"/>
      <c r="B25" s="858"/>
      <c r="C25" s="77" t="s">
        <v>11</v>
      </c>
      <c r="D25" s="267"/>
      <c r="E25" s="234"/>
      <c r="F25" s="234" t="s">
        <v>264</v>
      </c>
      <c r="G25" s="361" t="s">
        <v>248</v>
      </c>
      <c r="H25" s="234"/>
      <c r="I25" s="268" t="s">
        <v>266</v>
      </c>
    </row>
    <row r="26" spans="1:12" ht="124.5" customHeight="1" x14ac:dyDescent="0.25">
      <c r="A26" s="865"/>
      <c r="B26" s="858"/>
      <c r="C26" s="77" t="s">
        <v>12</v>
      </c>
      <c r="D26" s="392" t="s">
        <v>261</v>
      </c>
      <c r="E26" s="378" t="s">
        <v>260</v>
      </c>
      <c r="F26" s="416" t="s">
        <v>245</v>
      </c>
      <c r="G26" s="416" t="s">
        <v>265</v>
      </c>
      <c r="H26" s="265" t="s">
        <v>242</v>
      </c>
      <c r="I26" s="443" t="s">
        <v>264</v>
      </c>
    </row>
    <row r="27" spans="1:12" ht="141.75" customHeight="1" x14ac:dyDescent="0.25">
      <c r="A27" s="865"/>
      <c r="B27" s="858"/>
      <c r="C27" s="77" t="s">
        <v>13</v>
      </c>
      <c r="D27" s="392" t="s">
        <v>261</v>
      </c>
      <c r="E27" s="378" t="s">
        <v>260</v>
      </c>
      <c r="F27" s="487" t="s">
        <v>258</v>
      </c>
      <c r="G27" s="361" t="s">
        <v>230</v>
      </c>
      <c r="H27" s="384" t="s">
        <v>251</v>
      </c>
      <c r="I27" s="266"/>
    </row>
    <row r="28" spans="1:12" ht="77.25" customHeight="1" thickBot="1" x14ac:dyDescent="0.3">
      <c r="A28" s="865"/>
      <c r="B28" s="858"/>
      <c r="C28" s="78" t="s">
        <v>15</v>
      </c>
      <c r="D28" s="206"/>
      <c r="E28" s="438"/>
      <c r="F28" s="438"/>
      <c r="G28" s="429"/>
      <c r="H28" s="429"/>
      <c r="I28" s="431"/>
    </row>
    <row r="29" spans="1:12" ht="98.25" customHeight="1" x14ac:dyDescent="0.25">
      <c r="A29" s="858" t="s">
        <v>4</v>
      </c>
      <c r="B29" s="864">
        <f>B24+1</f>
        <v>46283</v>
      </c>
      <c r="C29" s="76" t="s">
        <v>10</v>
      </c>
      <c r="D29" s="276"/>
      <c r="E29" s="689" t="s">
        <v>244</v>
      </c>
      <c r="F29" s="277" t="s">
        <v>240</v>
      </c>
      <c r="G29" s="277"/>
      <c r="H29" s="501" t="s">
        <v>232</v>
      </c>
      <c r="I29" s="278" t="s">
        <v>249</v>
      </c>
    </row>
    <row r="30" spans="1:12" ht="111.75" customHeight="1" x14ac:dyDescent="0.25">
      <c r="A30" s="858"/>
      <c r="B30" s="858"/>
      <c r="C30" s="77" t="s">
        <v>11</v>
      </c>
      <c r="D30" s="269" t="s">
        <v>222</v>
      </c>
      <c r="E30" s="233" t="s">
        <v>222</v>
      </c>
      <c r="F30" s="233" t="s">
        <v>222</v>
      </c>
      <c r="G30" s="233" t="s">
        <v>222</v>
      </c>
      <c r="H30" s="444" t="s">
        <v>222</v>
      </c>
      <c r="I30" s="270" t="s">
        <v>222</v>
      </c>
    </row>
    <row r="31" spans="1:12" ht="94.5" customHeight="1" x14ac:dyDescent="0.25">
      <c r="A31" s="858"/>
      <c r="B31" s="858"/>
      <c r="C31" s="77" t="s">
        <v>12</v>
      </c>
      <c r="D31" s="267" t="s">
        <v>238</v>
      </c>
      <c r="E31" s="234" t="s">
        <v>238</v>
      </c>
      <c r="F31" s="234" t="s">
        <v>238</v>
      </c>
      <c r="G31" s="234" t="s">
        <v>238</v>
      </c>
      <c r="H31" s="234" t="s">
        <v>238</v>
      </c>
      <c r="I31" s="268" t="s">
        <v>238</v>
      </c>
    </row>
    <row r="32" spans="1:12" ht="83.25" customHeight="1" x14ac:dyDescent="0.25">
      <c r="A32" s="858"/>
      <c r="B32" s="858"/>
      <c r="C32" s="77" t="s">
        <v>13</v>
      </c>
      <c r="D32" s="267" t="s">
        <v>223</v>
      </c>
      <c r="E32" s="234" t="s">
        <v>223</v>
      </c>
      <c r="F32" s="234" t="s">
        <v>223</v>
      </c>
      <c r="G32" s="234" t="s">
        <v>223</v>
      </c>
      <c r="H32" s="301" t="s">
        <v>223</v>
      </c>
      <c r="I32" s="268" t="s">
        <v>223</v>
      </c>
    </row>
    <row r="33" spans="1:9" ht="77.25" customHeight="1" thickBot="1" x14ac:dyDescent="0.3">
      <c r="A33" s="858"/>
      <c r="B33" s="858"/>
      <c r="C33" s="73" t="s">
        <v>15</v>
      </c>
      <c r="D33" s="271"/>
      <c r="E33" s="272"/>
      <c r="F33" s="272"/>
      <c r="G33" s="272"/>
      <c r="H33" s="272"/>
      <c r="I33" s="273"/>
    </row>
    <row r="34" spans="1:9" ht="48.75" customHeight="1" x14ac:dyDescent="0.25">
      <c r="A34" s="858" t="s">
        <v>47</v>
      </c>
      <c r="B34" s="861">
        <f>B29+1</f>
        <v>46284</v>
      </c>
      <c r="C34" s="61" t="s">
        <v>10</v>
      </c>
      <c r="D34" s="189"/>
      <c r="E34" s="190"/>
      <c r="F34" s="190"/>
      <c r="G34" s="346"/>
      <c r="H34" s="346"/>
      <c r="I34" s="191"/>
    </row>
    <row r="35" spans="1:9" ht="48.75" customHeight="1" x14ac:dyDescent="0.25">
      <c r="A35" s="858"/>
      <c r="B35" s="862"/>
      <c r="C35" s="62" t="s">
        <v>11</v>
      </c>
      <c r="D35" s="192"/>
      <c r="E35" s="347"/>
      <c r="F35" s="347"/>
      <c r="G35" s="347"/>
      <c r="H35" s="347"/>
      <c r="I35" s="183"/>
    </row>
    <row r="36" spans="1:9" ht="48.75" customHeight="1" x14ac:dyDescent="0.25">
      <c r="A36" s="858"/>
      <c r="B36" s="862"/>
      <c r="C36" s="62" t="s">
        <v>12</v>
      </c>
      <c r="D36" s="182"/>
      <c r="E36" s="347"/>
      <c r="F36" s="347"/>
      <c r="G36" s="347"/>
      <c r="H36" s="347"/>
      <c r="I36" s="183"/>
    </row>
    <row r="37" spans="1:9" ht="48.75" customHeight="1" x14ac:dyDescent="0.25">
      <c r="A37" s="858"/>
      <c r="B37" s="862"/>
      <c r="C37" s="62" t="s">
        <v>13</v>
      </c>
      <c r="D37" s="57"/>
      <c r="E37" s="53"/>
      <c r="F37" s="53"/>
      <c r="G37" s="53"/>
      <c r="H37" s="53"/>
      <c r="I37" s="56"/>
    </row>
    <row r="38" spans="1:9" ht="48.75" customHeight="1" thickBot="1" x14ac:dyDescent="0.3">
      <c r="A38" s="860"/>
      <c r="B38" s="863"/>
      <c r="C38" s="63" t="s">
        <v>15</v>
      </c>
      <c r="D38" s="95"/>
      <c r="E38" s="96"/>
      <c r="F38" s="96"/>
      <c r="G38" s="96"/>
      <c r="H38" s="96"/>
      <c r="I38" s="97"/>
    </row>
    <row r="39" spans="1:9" ht="27.75" customHeight="1" x14ac:dyDescent="0.45">
      <c r="A39" s="2"/>
      <c r="B39" s="2"/>
      <c r="C39" s="37"/>
      <c r="D39" s="165" t="s">
        <v>86</v>
      </c>
    </row>
    <row r="40" spans="1:9" s="19" customFormat="1" ht="23.25" x14ac:dyDescent="0.35">
      <c r="A40" s="18"/>
      <c r="B40" s="18"/>
      <c r="C40" s="67" t="str">
        <f>'01.09'!C39</f>
        <v>*Л. Речевое общение в профессиональной деятельности*</v>
      </c>
      <c r="D40" s="68">
        <f>'07.09'!D40+COUNTIF(D$8:D$38,$C40)</f>
        <v>3</v>
      </c>
      <c r="E40" s="68">
        <f>'07.09'!E40+COUNTIF(E$8:E$38,$C40)</f>
        <v>3</v>
      </c>
      <c r="F40" s="68">
        <f>'07.09'!F40+COUNTIF(F$8:F$38,$C40)</f>
        <v>3</v>
      </c>
      <c r="G40" s="68">
        <f>'07.09'!G40+COUNTIF(G$8:G$38,$C40)</f>
        <v>3</v>
      </c>
      <c r="H40" s="68">
        <f>'07.09'!H40+COUNTIF(H$8:H$38,$C40)</f>
        <v>3</v>
      </c>
      <c r="I40" s="68">
        <f>'07.09'!I40+COUNTIF(I$8:I$38,$C40)</f>
        <v>3</v>
      </c>
    </row>
    <row r="41" spans="1:9" s="19" customFormat="1" ht="23.25" x14ac:dyDescent="0.35">
      <c r="A41" s="18"/>
      <c r="B41" s="18"/>
      <c r="C41" s="67" t="str">
        <f>'01.09'!C40</f>
        <v>*Пр. Речевое общение в профессиональной деятельности*</v>
      </c>
      <c r="D41" s="68">
        <f>'07.09'!D41+COUNTIF(D$8:D$38,$C41)</f>
        <v>0</v>
      </c>
      <c r="E41" s="68">
        <f>'07.09'!E41+COUNTIF(E$8:E$38,$C41)</f>
        <v>0</v>
      </c>
      <c r="F41" s="68">
        <f>'07.09'!F41+COUNTIF(F$8:F$38,$C41)</f>
        <v>0</v>
      </c>
      <c r="G41" s="68">
        <f>'07.09'!G41+COUNTIF(G$8:G$38,$C41)</f>
        <v>0</v>
      </c>
      <c r="H41" s="68">
        <f>'07.09'!H41+COUNTIF(H$8:H$38,$C41)</f>
        <v>0</v>
      </c>
      <c r="I41" s="68">
        <f>'07.09'!I41+COUNTIF(I$8:I$38,$C41)</f>
        <v>0</v>
      </c>
    </row>
    <row r="42" spans="1:9" s="19" customFormat="1" ht="23.25" x14ac:dyDescent="0.35">
      <c r="A42" s="18"/>
      <c r="B42" s="18"/>
      <c r="C42" s="67" t="str">
        <f>'01.09'!C41</f>
        <v>*Л. Элективные дисциплины по ФКиС: Силовая подготовка*</v>
      </c>
      <c r="D42" s="68">
        <f>'07.09'!D42+COUNTIF(D$8:D$38,$C42)</f>
        <v>1</v>
      </c>
      <c r="E42" s="68">
        <f>'07.09'!E42+COUNTIF(E$8:E$38,$C42)</f>
        <v>1</v>
      </c>
      <c r="F42" s="68">
        <f>'07.09'!F42+COUNTIF(F$8:F$38,$C42)</f>
        <v>1</v>
      </c>
      <c r="G42" s="68">
        <f>'07.09'!G42+COUNTIF(G$8:G$38,$C42)</f>
        <v>1</v>
      </c>
      <c r="H42" s="68">
        <f>'07.09'!H42+COUNTIF(H$8:H$38,$C42)</f>
        <v>1</v>
      </c>
      <c r="I42" s="68">
        <f>'07.09'!I42+COUNTIF(I$8:I$38,$C42)</f>
        <v>1</v>
      </c>
    </row>
    <row r="43" spans="1:9" s="19" customFormat="1" ht="23.25" x14ac:dyDescent="0.35">
      <c r="A43" s="18"/>
      <c r="B43" s="18"/>
      <c r="C43" s="67" t="str">
        <f>'01.09'!C42</f>
        <v>*Пр. Элективные дисциплины по ФКиС: Силовая подготовка*</v>
      </c>
      <c r="D43" s="68">
        <f>'07.09'!D43+COUNTIF(D$8:D$38,$C43)</f>
        <v>2</v>
      </c>
      <c r="E43" s="68">
        <f>'07.09'!E43+COUNTIF(E$8:E$38,$C43)</f>
        <v>2</v>
      </c>
      <c r="F43" s="68">
        <f>'07.09'!F43+COUNTIF(F$8:F$38,$C43)</f>
        <v>2</v>
      </c>
      <c r="G43" s="68">
        <f>'07.09'!G43+COUNTIF(G$8:G$38,$C43)</f>
        <v>2</v>
      </c>
      <c r="H43" s="68">
        <f>'07.09'!H43+COUNTIF(H$8:H$38,$C43)</f>
        <v>2</v>
      </c>
      <c r="I43" s="68">
        <f>'07.09'!I43+COUNTIF(I$8:I$38,$C43)</f>
        <v>2</v>
      </c>
    </row>
    <row r="44" spans="1:9" s="19" customFormat="1" ht="23.25" x14ac:dyDescent="0.35">
      <c r="A44" s="18"/>
      <c r="B44" s="18"/>
      <c r="C44" s="67" t="str">
        <f>'01.09'!C43</f>
        <v>*Л. Анатомия*</v>
      </c>
      <c r="D44" s="68">
        <f>'07.09'!D44+COUNTIF(D$8:D$38,$C44)</f>
        <v>2</v>
      </c>
      <c r="E44" s="68">
        <f>'07.09'!E44+COUNTIF(E$8:E$38,$C44)</f>
        <v>2</v>
      </c>
      <c r="F44" s="68">
        <f>'07.09'!F44+COUNTIF(F$8:F$38,$C44)</f>
        <v>2</v>
      </c>
      <c r="G44" s="68">
        <f>'07.09'!G44+COUNTIF(G$8:G$38,$C44)</f>
        <v>2</v>
      </c>
      <c r="H44" s="68">
        <f>'07.09'!H44+COUNTIF(H$8:H$38,$C44)</f>
        <v>2</v>
      </c>
      <c r="I44" s="68">
        <f>'07.09'!I44+COUNTIF(I$8:I$38,$C44)</f>
        <v>2</v>
      </c>
    </row>
    <row r="45" spans="1:9" s="19" customFormat="1" ht="23.25" x14ac:dyDescent="0.35">
      <c r="A45" s="18"/>
      <c r="B45" s="18"/>
      <c r="C45" s="67" t="str">
        <f>'01.09'!C44</f>
        <v>*Пр. Анатомия*</v>
      </c>
      <c r="D45" s="68">
        <f>'07.09'!D45+COUNTIF(D$8:D$38,$C45)</f>
        <v>0</v>
      </c>
      <c r="E45" s="68">
        <f>'07.09'!E45+COUNTIF(E$8:E$38,$C45)</f>
        <v>0</v>
      </c>
      <c r="F45" s="68">
        <f>'07.09'!F45+COUNTIF(F$8:F$38,$C45)</f>
        <v>0</v>
      </c>
      <c r="G45" s="68">
        <f>'07.09'!G45+COUNTIF(G$8:G$38,$C45)</f>
        <v>0</v>
      </c>
      <c r="H45" s="68">
        <f>'07.09'!H45+COUNTIF(H$8:H$38,$C45)</f>
        <v>0</v>
      </c>
      <c r="I45" s="68">
        <f>'07.09'!I45+COUNTIF(I$8:I$38,$C45)</f>
        <v>0</v>
      </c>
    </row>
    <row r="46" spans="1:9" s="19" customFormat="1" ht="23.25" x14ac:dyDescent="0.35">
      <c r="A46" s="18"/>
      <c r="B46" s="18"/>
      <c r="C46" s="67" t="str">
        <f>'01.09'!C45</f>
        <v>*Л. Теория и методика*</v>
      </c>
      <c r="D46" s="68">
        <f>'07.09'!D46+COUNTIF(D$8:D$38,$C46)</f>
        <v>1</v>
      </c>
      <c r="E46" s="68">
        <f>'07.09'!E46+COUNTIF(E$8:E$38,$C46)</f>
        <v>1</v>
      </c>
      <c r="F46" s="68">
        <f>'07.09'!F46+COUNTIF(F$8:F$38,$C46)</f>
        <v>1</v>
      </c>
      <c r="G46" s="68">
        <f>'07.09'!G46+COUNTIF(G$8:G$38,$C46)</f>
        <v>1</v>
      </c>
      <c r="H46" s="68">
        <f>'07.09'!H46+COUNTIF(H$8:H$38,$C46)</f>
        <v>1</v>
      </c>
      <c r="I46" s="68">
        <f>'07.09'!I46+COUNTIF(I$8:I$38,$C46)</f>
        <v>1</v>
      </c>
    </row>
    <row r="47" spans="1:9" s="19" customFormat="1" ht="23.25" x14ac:dyDescent="0.35">
      <c r="A47" s="18"/>
      <c r="B47" s="18"/>
      <c r="C47" s="67" t="str">
        <f>'01.09'!C46</f>
        <v>*Пр. Теория и методика*</v>
      </c>
      <c r="D47" s="68">
        <f>'07.09'!D47+COUNTIF(D$8:D$38,$C47)</f>
        <v>8</v>
      </c>
      <c r="E47" s="68">
        <f>'07.09'!E47+COUNTIF(E$8:E$38,$C47)</f>
        <v>8</v>
      </c>
      <c r="F47" s="68">
        <f>'07.09'!F47+COUNTIF(F$8:F$38,$C47)</f>
        <v>8</v>
      </c>
      <c r="G47" s="68">
        <f>'07.09'!G47+COUNTIF(G$8:G$38,$C47)</f>
        <v>8</v>
      </c>
      <c r="H47" s="68">
        <f>'07.09'!H47+COUNTIF(H$8:H$38,$C47)</f>
        <v>8</v>
      </c>
      <c r="I47" s="68">
        <f>'07.09'!I47+COUNTIF(I$8:I$38,$C47)</f>
        <v>8</v>
      </c>
    </row>
    <row r="48" spans="1:9" s="19" customFormat="1" ht="23.25" x14ac:dyDescent="0.35">
      <c r="A48" s="18"/>
      <c r="B48" s="18"/>
      <c r="C48" s="67" t="str">
        <f>'01.09'!C47</f>
        <v>*Л. Физическая культура и спорт*</v>
      </c>
      <c r="D48" s="68">
        <f>'07.09'!D48+COUNTIF(D$8:D$38,$C48)</f>
        <v>3</v>
      </c>
      <c r="E48" s="68">
        <f>'07.09'!E48+COUNTIF(E$8:E$38,$C48)</f>
        <v>3</v>
      </c>
      <c r="F48" s="68">
        <f>'07.09'!F48+COUNTIF(F$8:F$38,$C48)</f>
        <v>3</v>
      </c>
      <c r="G48" s="68">
        <f>'07.09'!G48+COUNTIF(G$8:G$38,$C48)</f>
        <v>3</v>
      </c>
      <c r="H48" s="68">
        <f>'07.09'!H48+COUNTIF(H$8:H$38,$C48)</f>
        <v>3</v>
      </c>
      <c r="I48" s="68">
        <f>'07.09'!I48+COUNTIF(I$8:I$38,$C48)</f>
        <v>3</v>
      </c>
    </row>
    <row r="49" spans="1:9" s="19" customFormat="1" ht="23.25" x14ac:dyDescent="0.35">
      <c r="A49" s="18"/>
      <c r="B49" s="18"/>
      <c r="C49" s="67" t="str">
        <f>'01.09'!C48</f>
        <v>*Пр. Физическая культура и спорт*</v>
      </c>
      <c r="D49" s="68">
        <f>'07.09'!D49+COUNTIF(D$8:D$38,$C49)</f>
        <v>0</v>
      </c>
      <c r="E49" s="68">
        <f>'07.09'!E49+COUNTIF(E$8:E$38,$C49)</f>
        <v>0</v>
      </c>
      <c r="F49" s="68">
        <f>'07.09'!F49+COUNTIF(F$8:F$38,$C49)</f>
        <v>0</v>
      </c>
      <c r="G49" s="68">
        <f>'07.09'!G49+COUNTIF(G$8:G$38,$C49)</f>
        <v>0</v>
      </c>
      <c r="H49" s="68">
        <f>'07.09'!H49+COUNTIF(H$8:H$38,$C49)</f>
        <v>0</v>
      </c>
      <c r="I49" s="68">
        <f>'07.09'!I49+COUNTIF(I$8:I$38,$C49)</f>
        <v>0</v>
      </c>
    </row>
    <row r="50" spans="1:9" s="19" customFormat="1" ht="23.25" x14ac:dyDescent="0.35">
      <c r="A50" s="18"/>
      <c r="B50" s="18"/>
      <c r="C50" s="67" t="str">
        <f>'01.09'!C49</f>
        <v>*Л. Информационные технологии*</v>
      </c>
      <c r="D50" s="68">
        <f>'07.09'!D50+COUNTIF(D$8:D$38,$C50)</f>
        <v>2</v>
      </c>
      <c r="E50" s="68">
        <f>'07.09'!E50+COUNTIF(E$8:E$38,$C50)</f>
        <v>2</v>
      </c>
      <c r="F50" s="68">
        <f>'07.09'!F50+COUNTIF(F$8:F$38,$C50)</f>
        <v>2</v>
      </c>
      <c r="G50" s="68">
        <f>'07.09'!G50+COUNTIF(G$8:G$38,$C50)</f>
        <v>2</v>
      </c>
      <c r="H50" s="68">
        <f>'07.09'!H50+COUNTIF(H$8:H$38,$C50)</f>
        <v>2</v>
      </c>
      <c r="I50" s="68">
        <f>'07.09'!I50+COUNTIF(I$8:I$38,$C50)</f>
        <v>2</v>
      </c>
    </row>
    <row r="51" spans="1:9" s="19" customFormat="1" ht="23.25" x14ac:dyDescent="0.35">
      <c r="A51" s="18"/>
      <c r="B51" s="18"/>
      <c r="C51" s="67" t="str">
        <f>'01.09'!C50</f>
        <v>*Пр. Информационные технологии*</v>
      </c>
      <c r="D51" s="68">
        <f>'07.09'!D51+COUNTIF(D$8:D$38,$C51)</f>
        <v>2</v>
      </c>
      <c r="E51" s="68">
        <f>'07.09'!E51+COUNTIF(E$8:E$38,$C51)</f>
        <v>2</v>
      </c>
      <c r="F51" s="68">
        <f>'07.09'!F51+COUNTIF(F$8:F$38,$C51)</f>
        <v>2</v>
      </c>
      <c r="G51" s="68">
        <f>'07.09'!G51+COUNTIF(G$8:G$38,$C51)</f>
        <v>2</v>
      </c>
      <c r="H51" s="68">
        <f>'07.09'!H51+COUNTIF(H$8:H$38,$C51)</f>
        <v>2</v>
      </c>
      <c r="I51" s="68">
        <f>'07.09'!I51+COUNTIF(I$8:I$38,$C51)</f>
        <v>2</v>
      </c>
    </row>
    <row r="52" spans="1:9" s="19" customFormat="1" ht="23.25" x14ac:dyDescent="0.35">
      <c r="A52" s="18"/>
      <c r="B52" s="18"/>
      <c r="C52" s="67" t="str">
        <f>'01.09'!C51</f>
        <v>*Л. Гимнастика*</v>
      </c>
      <c r="D52" s="68">
        <f>'07.09'!D52+COUNTIF(D$8:D$38,$C52)</f>
        <v>3</v>
      </c>
      <c r="E52" s="68">
        <f>'07.09'!E52+COUNTIF(E$8:E$38,$C52)</f>
        <v>3</v>
      </c>
      <c r="F52" s="68">
        <f>'07.09'!F52+COUNTIF(F$8:F$38,$C52)</f>
        <v>3</v>
      </c>
      <c r="G52" s="68">
        <f>'07.09'!G52+COUNTIF(G$8:G$38,$C52)</f>
        <v>3</v>
      </c>
      <c r="H52" s="68">
        <f>'07.09'!H52+COUNTIF(H$8:H$38,$C52)</f>
        <v>3</v>
      </c>
      <c r="I52" s="68">
        <f>'07.09'!I52+COUNTIF(I$8:I$38,$C52)</f>
        <v>3</v>
      </c>
    </row>
    <row r="53" spans="1:9" s="19" customFormat="1" ht="23.25" x14ac:dyDescent="0.35">
      <c r="A53" s="18"/>
      <c r="B53" s="18"/>
      <c r="C53" s="67" t="str">
        <f>'01.09'!C52</f>
        <v>*Пр. Гимнастика*</v>
      </c>
      <c r="D53" s="68">
        <f>'07.09'!D53+COUNTIF(D$8:D$38,$C53)</f>
        <v>2</v>
      </c>
      <c r="E53" s="68">
        <f>'07.09'!E53+COUNTIF(E$8:E$38,$C53)</f>
        <v>4</v>
      </c>
      <c r="F53" s="68">
        <f>'07.09'!F53+COUNTIF(F$8:F$38,$C53)</f>
        <v>2</v>
      </c>
      <c r="G53" s="68">
        <f>'07.09'!G53+COUNTIF(G$8:G$38,$C53)</f>
        <v>2</v>
      </c>
      <c r="H53" s="68">
        <f>'07.09'!H53+COUNTIF(H$8:H$38,$C53)</f>
        <v>4</v>
      </c>
      <c r="I53" s="68">
        <f>'07.09'!I53+COUNTIF(I$8:I$38,$C53)</f>
        <v>4</v>
      </c>
    </row>
    <row r="54" spans="1:9" s="19" customFormat="1" ht="23.25" x14ac:dyDescent="0.35">
      <c r="A54" s="18"/>
      <c r="B54" s="18"/>
      <c r="C54" s="67" t="str">
        <f>'01.09'!C53</f>
        <v>*Л. Волейбол*</v>
      </c>
      <c r="D54" s="68">
        <f>'07.09'!D54+COUNTIF(D$8:D$38,$C54)</f>
        <v>1</v>
      </c>
      <c r="E54" s="68">
        <f>'07.09'!E54+COUNTIF(E$8:E$38,$C54)</f>
        <v>1</v>
      </c>
      <c r="F54" s="68">
        <f>'07.09'!F54+COUNTIF(F$8:F$38,$C54)</f>
        <v>1</v>
      </c>
      <c r="G54" s="68">
        <f>'07.09'!G54+COUNTIF(G$8:G$38,$C54)</f>
        <v>1</v>
      </c>
      <c r="H54" s="68">
        <f>'07.09'!H54+COUNTIF(H$8:H$38,$C54)</f>
        <v>1</v>
      </c>
      <c r="I54" s="68">
        <f>'07.09'!I54+COUNTIF(I$8:I$38,$C54)</f>
        <v>1</v>
      </c>
    </row>
    <row r="55" spans="1:9" s="19" customFormat="1" ht="23.25" x14ac:dyDescent="0.35">
      <c r="A55" s="18"/>
      <c r="B55" s="18"/>
      <c r="C55" s="67" t="str">
        <f>'01.09'!C54</f>
        <v>*Пр. Волейбол*</v>
      </c>
      <c r="D55" s="68">
        <f>'07.09'!D55+COUNTIF(D$8:D$38,$C55)</f>
        <v>4</v>
      </c>
      <c r="E55" s="68">
        <f>'07.09'!E55+COUNTIF(E$8:E$38,$C55)</f>
        <v>4</v>
      </c>
      <c r="F55" s="68">
        <f>'07.09'!F55+COUNTIF(F$8:F$38,$C55)</f>
        <v>2</v>
      </c>
      <c r="G55" s="68">
        <f>'07.09'!G55+COUNTIF(G$8:G$38,$C55)</f>
        <v>2</v>
      </c>
      <c r="H55" s="68">
        <f>'07.09'!H55+COUNTIF(H$8:H$38,$C55)</f>
        <v>4</v>
      </c>
      <c r="I55" s="68">
        <f>'07.09'!I55+COUNTIF(I$8:I$38,$C55)</f>
        <v>4</v>
      </c>
    </row>
    <row r="56" spans="1:9" s="19" customFormat="1" ht="23.25" x14ac:dyDescent="0.35">
      <c r="A56" s="18"/>
      <c r="B56" s="18"/>
      <c r="C56" s="67" t="str">
        <f>'01.09'!C55</f>
        <v>*Л. Лыжные гонки*</v>
      </c>
      <c r="D56" s="68">
        <f>'07.09'!D56+COUNTIF(D$8:D$38,$C56)</f>
        <v>0</v>
      </c>
      <c r="E56" s="68">
        <f>'07.09'!E56+COUNTIF(E$8:E$38,$C56)</f>
        <v>0</v>
      </c>
      <c r="F56" s="68">
        <f>'07.09'!F56+COUNTIF(F$8:F$38,$C56)</f>
        <v>0</v>
      </c>
      <c r="G56" s="68">
        <f>'07.09'!G56+COUNTIF(G$8:G$38,$C56)</f>
        <v>0</v>
      </c>
      <c r="H56" s="68">
        <f>'07.09'!H56+COUNTIF(H$8:H$38,$C56)</f>
        <v>0</v>
      </c>
      <c r="I56" s="68">
        <f>'07.09'!I56+COUNTIF(I$8:I$38,$C56)</f>
        <v>0</v>
      </c>
    </row>
    <row r="57" spans="1:9" s="19" customFormat="1" ht="23.25" x14ac:dyDescent="0.35">
      <c r="A57" s="18"/>
      <c r="B57" s="18"/>
      <c r="C57" s="67" t="str">
        <f>'01.09'!C56</f>
        <v>*Пр. Лыжные гонки*</v>
      </c>
      <c r="D57" s="68">
        <f>'07.09'!D57+COUNTIF(D$8:D$38,$C57)</f>
        <v>0</v>
      </c>
      <c r="E57" s="68">
        <f>'07.09'!E57+COUNTIF(E$8:E$38,$C57)</f>
        <v>0</v>
      </c>
      <c r="F57" s="68">
        <f>'07.09'!F57+COUNTIF(F$8:F$38,$C57)</f>
        <v>0</v>
      </c>
      <c r="G57" s="68">
        <f>'07.09'!G57+COUNTIF(G$8:G$38,$C57)</f>
        <v>0</v>
      </c>
      <c r="H57" s="68">
        <f>'07.09'!H57+COUNTIF(H$8:H$38,$C57)</f>
        <v>0</v>
      </c>
      <c r="I57" s="68">
        <f>'07.09'!I57+COUNTIF(I$8:I$38,$C57)</f>
        <v>0</v>
      </c>
    </row>
    <row r="58" spans="1:9" s="19" customFormat="1" ht="23.25" x14ac:dyDescent="0.35">
      <c r="A58" s="18"/>
      <c r="B58" s="18"/>
      <c r="C58" s="67" t="str">
        <f>'01.09'!C57</f>
        <v>*Л. Использование электронной*</v>
      </c>
      <c r="D58" s="68">
        <f>'07.09'!D58+COUNTIF(D$8:D$38,$C58)</f>
        <v>1</v>
      </c>
      <c r="E58" s="68">
        <f>'07.09'!E58+COUNTIF(E$8:E$38,$C58)</f>
        <v>0</v>
      </c>
      <c r="F58" s="68">
        <f>'07.09'!F58+COUNTIF(F$8:F$38,$C58)</f>
        <v>0</v>
      </c>
      <c r="G58" s="68">
        <f>'07.09'!G58+COUNTIF(G$8:G$38,$C58)</f>
        <v>0</v>
      </c>
      <c r="H58" s="68">
        <f>'07.09'!H58+COUNTIF(H$8:H$38,$C58)</f>
        <v>0</v>
      </c>
      <c r="I58" s="68">
        <f>'07.09'!I58+COUNTIF(I$8:I$38,$C58)</f>
        <v>0</v>
      </c>
    </row>
    <row r="59" spans="1:9" s="19" customFormat="1" ht="23.25" x14ac:dyDescent="0.35">
      <c r="A59" s="18"/>
      <c r="B59" s="18"/>
      <c r="C59" s="67" t="str">
        <f>'01.09'!C58</f>
        <v>*Пр. Использование электронной*</v>
      </c>
      <c r="D59" s="68">
        <f>'07.09'!D59+COUNTIF(D$8:D$38,$C59)</f>
        <v>0</v>
      </c>
      <c r="E59" s="68">
        <f>'07.09'!E59+COUNTIF(E$8:E$38,$C59)</f>
        <v>0</v>
      </c>
      <c r="F59" s="68">
        <f>'07.09'!F59+COUNTIF(F$8:F$38,$C59)</f>
        <v>0</v>
      </c>
      <c r="G59" s="68">
        <f>'07.09'!G59+COUNTIF(G$8:G$38,$C59)</f>
        <v>0</v>
      </c>
      <c r="H59" s="68">
        <f>'07.09'!H59+COUNTIF(H$8:H$38,$C59)</f>
        <v>0</v>
      </c>
      <c r="I59" s="68">
        <f>'07.09'!I59+COUNTIF(I$8:I$38,$C59)</f>
        <v>0</v>
      </c>
    </row>
    <row r="60" spans="1:9" s="19" customFormat="1" ht="23.25" x14ac:dyDescent="0.35">
      <c r="A60" s="18"/>
      <c r="B60" s="18"/>
      <c r="C60" s="67" t="str">
        <f>'01.09'!C59</f>
        <v>*Пр. Иностранный язык*</v>
      </c>
      <c r="D60" s="68">
        <f>'07.09'!D60+COUNTIF(D$8:D$38,$C60)</f>
        <v>2</v>
      </c>
      <c r="E60" s="68">
        <f>'07.09'!E60+COUNTIF(E$8:E$38,$C60)</f>
        <v>2</v>
      </c>
      <c r="F60" s="68">
        <f>'07.09'!F60+COUNTIF(F$8:F$38,$C60)</f>
        <v>2</v>
      </c>
      <c r="G60" s="68">
        <f>'07.09'!G60+COUNTIF(G$8:G$38,$C60)</f>
        <v>2</v>
      </c>
      <c r="H60" s="68">
        <f>'07.09'!H60+COUNTIF(H$8:H$38,$C60)</f>
        <v>2</v>
      </c>
      <c r="I60" s="68">
        <f>'07.09'!I60+COUNTIF(I$8:I$38,$C60)</f>
        <v>2</v>
      </c>
    </row>
    <row r="61" spans="1:9" s="19" customFormat="1" ht="23.25" x14ac:dyDescent="0.35">
      <c r="A61" s="18"/>
      <c r="B61" s="18"/>
      <c r="C61" s="67" t="str">
        <f>'01.09'!C60</f>
        <v>*С1-04А-26*</v>
      </c>
      <c r="D61" s="68">
        <f>'07.09'!D61+COUNTIF(D$8:D$38,$C61)</f>
        <v>0</v>
      </c>
      <c r="E61" s="68">
        <f>'07.09'!E61+COUNTIF(E$8:E$38,$C61)</f>
        <v>0</v>
      </c>
      <c r="F61" s="68">
        <f>'07.09'!F61+COUNTIF(F$8:F$38,$C61)</f>
        <v>0</v>
      </c>
      <c r="G61" s="68">
        <f>'07.09'!G61+COUNTIF(G$8:G$38,$C61)</f>
        <v>2</v>
      </c>
      <c r="H61" s="68">
        <f>'07.09'!H61+COUNTIF(H$8:H$38,$C61)</f>
        <v>0</v>
      </c>
      <c r="I61" s="68">
        <f>'07.09'!I61+COUNTIF(I$8:I$38,$C61)</f>
        <v>0</v>
      </c>
    </row>
    <row r="62" spans="1:9" ht="23.25" x14ac:dyDescent="0.35">
      <c r="A62" s="2"/>
      <c r="B62" s="2"/>
      <c r="C62" s="67" t="str">
        <f>'01.09'!C61</f>
        <v>*С1-04Б-26*</v>
      </c>
      <c r="D62" s="68">
        <f>'07.09'!D62+COUNTIF(D$8:D$38,$C62)</f>
        <v>0</v>
      </c>
      <c r="E62" s="68">
        <f>'07.09'!E62+COUNTIF(E$8:E$38,$C62)</f>
        <v>0</v>
      </c>
      <c r="F62" s="68">
        <f>'07.09'!F62+COUNTIF(F$8:F$38,$C62)</f>
        <v>0</v>
      </c>
      <c r="G62" s="68">
        <f>'07.09'!G62+COUNTIF(G$8:G$38,$C62)</f>
        <v>2</v>
      </c>
      <c r="H62" s="68">
        <f>'07.09'!H62+COUNTIF(H$8:H$38,$C62)</f>
        <v>0</v>
      </c>
      <c r="I62" s="68">
        <f>'07.09'!I62+COUNTIF(I$8:I$38,$C62)</f>
        <v>0</v>
      </c>
    </row>
    <row r="63" spans="1:9" ht="23.25" x14ac:dyDescent="0.35">
      <c r="A63" s="2"/>
      <c r="B63" s="2"/>
      <c r="C63" s="67" t="str">
        <f>'01.09'!C62</f>
        <v>*С1-05А-26*</v>
      </c>
      <c r="D63" s="68">
        <f>'07.09'!D63+COUNTIF(D$8:D$38,$C63)</f>
        <v>0</v>
      </c>
      <c r="E63" s="68">
        <f>'07.09'!E63+COUNTIF(E$8:E$38,$C63)</f>
        <v>0</v>
      </c>
      <c r="F63" s="68">
        <f>'07.09'!F63+COUNTIF(F$8:F$38,$C63)</f>
        <v>0</v>
      </c>
      <c r="G63" s="68">
        <f>'07.09'!G63+COUNTIF(G$8:G$38,$C63)</f>
        <v>0</v>
      </c>
      <c r="H63" s="68">
        <f>'07.09'!H63+COUNTIF(H$8:H$38,$C63)</f>
        <v>0</v>
      </c>
      <c r="I63" s="68">
        <f>'07.09'!I63+COUNTIF(I$8:I$38,$C63)</f>
        <v>0</v>
      </c>
    </row>
    <row r="64" spans="1:9" ht="23.25" x14ac:dyDescent="0.35">
      <c r="A64" s="2"/>
      <c r="B64" s="2"/>
      <c r="C64" s="67" t="str">
        <f>'01.09'!C63</f>
        <v>*С1-05Б-26*</v>
      </c>
      <c r="D64" s="68">
        <f>'07.09'!D64+COUNTIF(D$8:D$38,$C64)</f>
        <v>0</v>
      </c>
      <c r="E64" s="68">
        <f>'07.09'!E64+COUNTIF(E$8:E$38,$C64)</f>
        <v>0</v>
      </c>
      <c r="F64" s="68">
        <f>'07.09'!F64+COUNTIF(F$8:F$38,$C64)</f>
        <v>0</v>
      </c>
      <c r="G64" s="68">
        <f>'07.09'!G64+COUNTIF(G$8:G$38,$C64)</f>
        <v>0</v>
      </c>
      <c r="H64" s="68">
        <f>'07.09'!H64+COUNTIF(H$8:H$38,$C64)</f>
        <v>0</v>
      </c>
      <c r="I64" s="68">
        <f>'07.09'!I64+COUNTIF(I$8:I$38,$C64)</f>
        <v>0</v>
      </c>
    </row>
    <row r="65" spans="1:11" ht="23.25" x14ac:dyDescent="0.35">
      <c r="A65" s="2"/>
      <c r="B65" s="2"/>
      <c r="C65" s="67">
        <f>'01.09'!C64</f>
        <v>0</v>
      </c>
      <c r="D65" s="68">
        <f>'07.09'!D65+COUNTIF(D$8:D$38,$C65)</f>
        <v>0</v>
      </c>
      <c r="E65" s="68">
        <f>'07.09'!E65+COUNTIF(E$8:E$38,$C65)</f>
        <v>0</v>
      </c>
      <c r="F65" s="68">
        <f>'07.09'!F65+COUNTIF(F$8:F$38,$C65)</f>
        <v>0</v>
      </c>
      <c r="G65" s="68">
        <f>'07.09'!G65+COUNTIF(G$8:G$38,$C65)</f>
        <v>0</v>
      </c>
      <c r="H65" s="68">
        <f>'07.09'!H65+COUNTIF(H$8:H$38,$C65)</f>
        <v>0</v>
      </c>
      <c r="I65" s="68">
        <f>'07.09'!I65+COUNTIF(I$8:I$38,$C65)</f>
        <v>0</v>
      </c>
      <c r="J65" s="401"/>
      <c r="K65" s="401"/>
    </row>
    <row r="66" spans="1:11" ht="23.25" x14ac:dyDescent="0.35">
      <c r="A66" s="2"/>
      <c r="B66" s="2"/>
      <c r="C66" s="67">
        <f>'01.09'!C65</f>
        <v>0</v>
      </c>
      <c r="D66" s="68">
        <f>'07.09'!D66+COUNTIF(D$8:D$38,$C66)</f>
        <v>0</v>
      </c>
      <c r="E66" s="68">
        <f>'07.09'!E66+COUNTIF(E$8:E$38,$C66)</f>
        <v>0</v>
      </c>
      <c r="F66" s="68">
        <f>'07.09'!F66+COUNTIF(F$8:F$38,$C66)</f>
        <v>0</v>
      </c>
      <c r="G66" s="68">
        <f>'07.09'!G66+COUNTIF(G$8:G$38,$C66)</f>
        <v>0</v>
      </c>
      <c r="H66" s="68">
        <f>'07.09'!H66+COUNTIF(H$8:H$38,$C66)</f>
        <v>0</v>
      </c>
      <c r="I66" s="68">
        <f>'07.09'!I66+COUNTIF(I$8:I$38,$C66)</f>
        <v>0</v>
      </c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</row>
  </sheetData>
  <mergeCells count="20">
    <mergeCell ref="B1:I1"/>
    <mergeCell ref="B2:I2"/>
    <mergeCell ref="B3:I3"/>
    <mergeCell ref="B4:I4"/>
    <mergeCell ref="A5:I5"/>
    <mergeCell ref="A34:A38"/>
    <mergeCell ref="A8:A12"/>
    <mergeCell ref="A13:A18"/>
    <mergeCell ref="A6:A7"/>
    <mergeCell ref="C6:C7"/>
    <mergeCell ref="A24:A28"/>
    <mergeCell ref="A29:A33"/>
    <mergeCell ref="B19:B23"/>
    <mergeCell ref="B24:B28"/>
    <mergeCell ref="A19:A23"/>
    <mergeCell ref="B29:B33"/>
    <mergeCell ref="B8:B12"/>
    <mergeCell ref="B13:B18"/>
    <mergeCell ref="B6:B7"/>
    <mergeCell ref="B34:B38"/>
  </mergeCells>
  <phoneticPr fontId="3" type="noConversion"/>
  <pageMargins left="0" right="0" top="0" bottom="0" header="0" footer="0"/>
  <pageSetup paperSize="9" scale="26" fitToWidth="0" fitToHeight="0" orientation="portrait" r:id="rId1"/>
  <headerFooter alignWithMargins="0"/>
  <rowBreaks count="1" manualBreakCount="1">
    <brk id="39" max="8" man="1"/>
  </rowBreaks>
  <colBreaks count="1" manualBreakCount="1">
    <brk id="9" max="6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I72"/>
  <sheetViews>
    <sheetView view="pageBreakPreview" topLeftCell="A16" zoomScale="40" zoomScaleNormal="40" zoomScaleSheetLayoutView="40" zoomScalePageLayoutView="40" workbookViewId="0">
      <selection activeCell="H22" sqref="H22"/>
    </sheetView>
  </sheetViews>
  <sheetFormatPr defaultRowHeight="15" x14ac:dyDescent="0.25"/>
  <cols>
    <col min="1" max="1" width="5.85546875" customWidth="1"/>
    <col min="2" max="2" width="5.5703125" customWidth="1"/>
    <col min="3" max="3" width="25.7109375" customWidth="1"/>
    <col min="4" max="9" width="56.85546875" customWidth="1"/>
  </cols>
  <sheetData>
    <row r="1" spans="1:9" ht="30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9" ht="32.25" customHeight="1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9" ht="36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9" ht="30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9" ht="30.75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9" ht="33.75" customHeight="1" thickBot="1" x14ac:dyDescent="0.3">
      <c r="A6" s="875" t="s">
        <v>54</v>
      </c>
      <c r="B6" s="875" t="s">
        <v>14</v>
      </c>
      <c r="C6" s="898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9" ht="93.75" thickBot="1" x14ac:dyDescent="0.3">
      <c r="A7" s="876"/>
      <c r="B7" s="876"/>
      <c r="C7" s="899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9" ht="65.25" customHeight="1" x14ac:dyDescent="0.25">
      <c r="A8" s="868" t="s">
        <v>0</v>
      </c>
      <c r="B8" s="861">
        <v>46286</v>
      </c>
      <c r="C8" s="71" t="s">
        <v>10</v>
      </c>
      <c r="D8" s="298" t="s">
        <v>236</v>
      </c>
      <c r="E8" s="282"/>
      <c r="F8" s="282"/>
      <c r="G8" s="282"/>
      <c r="H8" s="343"/>
      <c r="I8" s="344"/>
    </row>
    <row r="9" spans="1:9" ht="120.75" customHeight="1" x14ac:dyDescent="0.25">
      <c r="A9" s="862"/>
      <c r="B9" s="862"/>
      <c r="C9" s="72" t="s">
        <v>11</v>
      </c>
      <c r="D9" s="392" t="s">
        <v>264</v>
      </c>
      <c r="E9" s="361"/>
      <c r="F9" s="361"/>
      <c r="G9" s="361" t="s">
        <v>248</v>
      </c>
      <c r="H9" s="361" t="s">
        <v>246</v>
      </c>
      <c r="I9" s="491"/>
    </row>
    <row r="10" spans="1:9" ht="138.75" x14ac:dyDescent="0.25">
      <c r="A10" s="862"/>
      <c r="B10" s="862"/>
      <c r="C10" s="72" t="s">
        <v>12</v>
      </c>
      <c r="D10" s="392" t="s">
        <v>240</v>
      </c>
      <c r="E10" s="361" t="s">
        <v>236</v>
      </c>
      <c r="F10" s="361"/>
      <c r="G10" s="361" t="s">
        <v>251</v>
      </c>
      <c r="H10" s="432" t="s">
        <v>232</v>
      </c>
      <c r="I10" s="478" t="s">
        <v>243</v>
      </c>
    </row>
    <row r="11" spans="1:9" ht="111" x14ac:dyDescent="0.25">
      <c r="A11" s="862"/>
      <c r="B11" s="862"/>
      <c r="C11" s="72" t="s">
        <v>13</v>
      </c>
      <c r="D11" s="392" t="s">
        <v>243</v>
      </c>
      <c r="E11" s="361" t="s">
        <v>264</v>
      </c>
      <c r="F11" s="361"/>
      <c r="G11" s="361"/>
      <c r="H11" s="432" t="s">
        <v>232</v>
      </c>
      <c r="I11" s="478" t="s">
        <v>236</v>
      </c>
    </row>
    <row r="12" spans="1:9" ht="77.25" customHeight="1" thickBot="1" x14ac:dyDescent="0.3">
      <c r="A12" s="862"/>
      <c r="B12" s="862"/>
      <c r="C12" s="73" t="s">
        <v>15</v>
      </c>
      <c r="D12" s="345"/>
      <c r="E12" s="312"/>
      <c r="F12" s="312"/>
      <c r="G12" s="312"/>
      <c r="H12" s="312"/>
      <c r="I12" s="335"/>
    </row>
    <row r="13" spans="1:9" ht="111" x14ac:dyDescent="0.25">
      <c r="A13" s="862" t="s">
        <v>1</v>
      </c>
      <c r="B13" s="861">
        <f>B8+1</f>
        <v>46287</v>
      </c>
      <c r="C13" s="71" t="s">
        <v>10</v>
      </c>
      <c r="D13" s="392" t="s">
        <v>261</v>
      </c>
      <c r="E13" s="360"/>
      <c r="F13" s="351" t="s">
        <v>258</v>
      </c>
      <c r="G13" s="360" t="s">
        <v>230</v>
      </c>
      <c r="H13" s="286"/>
      <c r="I13" s="303"/>
    </row>
    <row r="14" spans="1:9" ht="111" x14ac:dyDescent="0.25">
      <c r="A14" s="862"/>
      <c r="B14" s="862"/>
      <c r="C14" s="72" t="s">
        <v>11</v>
      </c>
      <c r="D14" s="392" t="s">
        <v>261</v>
      </c>
      <c r="E14" s="351" t="s">
        <v>260</v>
      </c>
      <c r="F14" s="487" t="s">
        <v>258</v>
      </c>
      <c r="G14" s="361" t="s">
        <v>230</v>
      </c>
      <c r="H14" s="265" t="s">
        <v>237</v>
      </c>
      <c r="I14" s="266" t="s">
        <v>266</v>
      </c>
    </row>
    <row r="15" spans="1:9" ht="93" customHeight="1" x14ac:dyDescent="0.25">
      <c r="A15" s="862"/>
      <c r="B15" s="862"/>
      <c r="C15" s="72" t="s">
        <v>12</v>
      </c>
      <c r="D15" s="485"/>
      <c r="E15" s="265" t="s">
        <v>241</v>
      </c>
      <c r="F15" s="265" t="s">
        <v>236</v>
      </c>
      <c r="G15" s="265" t="s">
        <v>271</v>
      </c>
      <c r="H15" s="265" t="s">
        <v>249</v>
      </c>
      <c r="I15" s="478" t="s">
        <v>234</v>
      </c>
    </row>
    <row r="16" spans="1:9" ht="88.5" customHeight="1" x14ac:dyDescent="0.25">
      <c r="A16" s="862"/>
      <c r="B16" s="862"/>
      <c r="C16" s="72" t="s">
        <v>13</v>
      </c>
      <c r="D16" s="485"/>
      <c r="E16" s="265"/>
      <c r="F16" s="265" t="s">
        <v>249</v>
      </c>
      <c r="G16" s="265"/>
      <c r="H16" s="265"/>
      <c r="I16" s="478" t="s">
        <v>234</v>
      </c>
    </row>
    <row r="17" spans="1:9" ht="77.25" customHeight="1" x14ac:dyDescent="0.25">
      <c r="A17" s="862"/>
      <c r="B17" s="862"/>
      <c r="C17" s="517" t="s">
        <v>15</v>
      </c>
      <c r="D17" s="492"/>
      <c r="E17" s="515"/>
      <c r="F17" s="515"/>
      <c r="G17" s="515"/>
      <c r="H17" s="515"/>
      <c r="I17" s="486"/>
    </row>
    <row r="18" spans="1:9" ht="28.5" thickBot="1" x14ac:dyDescent="0.3">
      <c r="A18" s="862"/>
      <c r="B18" s="862"/>
      <c r="C18" s="516" t="s">
        <v>64</v>
      </c>
      <c r="D18" s="306"/>
      <c r="E18" s="361"/>
      <c r="F18" s="393"/>
      <c r="G18" s="307"/>
      <c r="H18" s="307"/>
      <c r="I18" s="308"/>
    </row>
    <row r="19" spans="1:9" ht="77.25" customHeight="1" x14ac:dyDescent="0.25">
      <c r="A19" s="869" t="s">
        <v>2</v>
      </c>
      <c r="B19" s="903">
        <f>B13+1</f>
        <v>46288</v>
      </c>
      <c r="C19" s="194" t="s">
        <v>10</v>
      </c>
      <c r="D19" s="285"/>
      <c r="E19" s="286"/>
      <c r="F19" s="286"/>
      <c r="G19" s="286"/>
      <c r="H19" s="286" t="s">
        <v>246</v>
      </c>
      <c r="I19" s="303"/>
    </row>
    <row r="20" spans="1:9" ht="111.75" customHeight="1" x14ac:dyDescent="0.25">
      <c r="A20" s="869"/>
      <c r="B20" s="869"/>
      <c r="C20" s="195" t="s">
        <v>11</v>
      </c>
      <c r="D20" s="264" t="s">
        <v>247</v>
      </c>
      <c r="E20" s="265"/>
      <c r="F20" s="265"/>
      <c r="G20" s="416" t="s">
        <v>294</v>
      </c>
      <c r="H20" s="265" t="s">
        <v>242</v>
      </c>
      <c r="I20" s="266" t="s">
        <v>243</v>
      </c>
    </row>
    <row r="21" spans="1:9" ht="129.75" customHeight="1" x14ac:dyDescent="0.25">
      <c r="A21" s="869"/>
      <c r="B21" s="869"/>
      <c r="C21" s="195" t="s">
        <v>12</v>
      </c>
      <c r="D21" s="392" t="s">
        <v>243</v>
      </c>
      <c r="E21" s="384" t="s">
        <v>241</v>
      </c>
      <c r="F21" s="384"/>
      <c r="G21" s="361" t="s">
        <v>288</v>
      </c>
      <c r="H21" s="265"/>
      <c r="I21" s="478" t="s">
        <v>234</v>
      </c>
    </row>
    <row r="22" spans="1:9" ht="77.25" customHeight="1" x14ac:dyDescent="0.25">
      <c r="A22" s="869"/>
      <c r="B22" s="869"/>
      <c r="C22" s="195" t="s">
        <v>13</v>
      </c>
      <c r="D22" s="392"/>
      <c r="E22" s="361" t="s">
        <v>244</v>
      </c>
      <c r="F22" s="361"/>
      <c r="G22" s="265"/>
      <c r="H22" s="265"/>
      <c r="I22" s="478" t="s">
        <v>234</v>
      </c>
    </row>
    <row r="23" spans="1:9" ht="60" customHeight="1" thickBot="1" x14ac:dyDescent="0.3">
      <c r="A23" s="869"/>
      <c r="B23" s="869"/>
      <c r="C23" s="198" t="s">
        <v>15</v>
      </c>
      <c r="D23" s="206"/>
      <c r="E23" s="429"/>
      <c r="F23" s="429"/>
      <c r="G23" s="207"/>
      <c r="H23" s="207"/>
      <c r="I23" s="208"/>
    </row>
    <row r="24" spans="1:9" ht="77.25" customHeight="1" x14ac:dyDescent="0.25">
      <c r="A24" s="869" t="s">
        <v>3</v>
      </c>
      <c r="B24" s="904">
        <f>B19+1</f>
        <v>46289</v>
      </c>
      <c r="C24" s="194" t="s">
        <v>10</v>
      </c>
      <c r="D24" s="690"/>
      <c r="E24" s="691"/>
      <c r="F24" s="691"/>
      <c r="G24" s="691"/>
      <c r="H24" s="691"/>
      <c r="I24" s="692"/>
    </row>
    <row r="25" spans="1:9" ht="118.5" customHeight="1" x14ac:dyDescent="0.25">
      <c r="A25" s="890"/>
      <c r="B25" s="905"/>
      <c r="C25" s="195" t="s">
        <v>11</v>
      </c>
      <c r="D25" s="693"/>
      <c r="E25" s="351" t="s">
        <v>248</v>
      </c>
      <c r="F25" s="694" t="s">
        <v>264</v>
      </c>
      <c r="G25" s="378" t="s">
        <v>276</v>
      </c>
      <c r="H25" s="694"/>
      <c r="I25" s="695" t="s">
        <v>266</v>
      </c>
    </row>
    <row r="26" spans="1:9" ht="111" x14ac:dyDescent="0.25">
      <c r="A26" s="890"/>
      <c r="B26" s="905"/>
      <c r="C26" s="195" t="s">
        <v>12</v>
      </c>
      <c r="D26" s="354" t="s">
        <v>261</v>
      </c>
      <c r="E26" s="378" t="s">
        <v>260</v>
      </c>
      <c r="F26" s="378" t="s">
        <v>245</v>
      </c>
      <c r="G26" s="378" t="s">
        <v>265</v>
      </c>
      <c r="H26" s="694" t="s">
        <v>242</v>
      </c>
      <c r="I26" s="696" t="s">
        <v>264</v>
      </c>
    </row>
    <row r="27" spans="1:9" ht="138.75" x14ac:dyDescent="0.25">
      <c r="A27" s="890"/>
      <c r="B27" s="905"/>
      <c r="C27" s="195" t="s">
        <v>13</v>
      </c>
      <c r="D27" s="354" t="s">
        <v>261</v>
      </c>
      <c r="E27" s="378" t="s">
        <v>260</v>
      </c>
      <c r="F27" s="378" t="s">
        <v>258</v>
      </c>
      <c r="G27" s="378" t="s">
        <v>275</v>
      </c>
      <c r="H27" s="378" t="s">
        <v>309</v>
      </c>
      <c r="I27" s="695"/>
    </row>
    <row r="28" spans="1:9" ht="77.25" customHeight="1" thickBot="1" x14ac:dyDescent="0.3">
      <c r="A28" s="890"/>
      <c r="B28" s="905"/>
      <c r="C28" s="196" t="s">
        <v>15</v>
      </c>
      <c r="D28" s="206"/>
      <c r="E28" s="438"/>
      <c r="F28" s="438"/>
      <c r="G28" s="429"/>
      <c r="H28" s="429"/>
      <c r="I28" s="431"/>
    </row>
    <row r="29" spans="1:9" ht="88.5" customHeight="1" x14ac:dyDescent="0.25">
      <c r="A29" s="869" t="s">
        <v>4</v>
      </c>
      <c r="B29" s="903">
        <f>B24+1</f>
        <v>46290</v>
      </c>
      <c r="C29" s="199" t="s">
        <v>10</v>
      </c>
      <c r="D29" s="276"/>
      <c r="E29" s="689" t="s">
        <v>244</v>
      </c>
      <c r="F29" s="277" t="s">
        <v>240</v>
      </c>
      <c r="G29" s="277"/>
      <c r="H29" s="501" t="s">
        <v>232</v>
      </c>
      <c r="I29" s="278" t="s">
        <v>249</v>
      </c>
    </row>
    <row r="30" spans="1:9" ht="111" x14ac:dyDescent="0.25">
      <c r="A30" s="869"/>
      <c r="B30" s="869"/>
      <c r="C30" s="195" t="s">
        <v>11</v>
      </c>
      <c r="D30" s="269" t="s">
        <v>304</v>
      </c>
      <c r="E30" s="233" t="s">
        <v>304</v>
      </c>
      <c r="F30" s="233" t="s">
        <v>304</v>
      </c>
      <c r="G30" s="233" t="s">
        <v>304</v>
      </c>
      <c r="H30" s="444" t="s">
        <v>304</v>
      </c>
      <c r="I30" s="270" t="s">
        <v>304</v>
      </c>
    </row>
    <row r="31" spans="1:9" ht="77.25" customHeight="1" x14ac:dyDescent="0.25">
      <c r="A31" s="869"/>
      <c r="B31" s="869"/>
      <c r="C31" s="195" t="s">
        <v>12</v>
      </c>
      <c r="D31" s="267" t="s">
        <v>306</v>
      </c>
      <c r="E31" s="234" t="s">
        <v>306</v>
      </c>
      <c r="F31" s="234" t="s">
        <v>306</v>
      </c>
      <c r="G31" s="234" t="s">
        <v>306</v>
      </c>
      <c r="H31" s="234" t="s">
        <v>306</v>
      </c>
      <c r="I31" s="268" t="s">
        <v>306</v>
      </c>
    </row>
    <row r="32" spans="1:9" ht="77.25" customHeight="1" x14ac:dyDescent="0.25">
      <c r="A32" s="869"/>
      <c r="B32" s="869"/>
      <c r="C32" s="195" t="s">
        <v>13</v>
      </c>
      <c r="D32" s="267" t="s">
        <v>305</v>
      </c>
      <c r="E32" s="234" t="s">
        <v>305</v>
      </c>
      <c r="F32" s="234" t="s">
        <v>305</v>
      </c>
      <c r="G32" s="234" t="s">
        <v>305</v>
      </c>
      <c r="H32" s="301" t="s">
        <v>305</v>
      </c>
      <c r="I32" s="268" t="s">
        <v>305</v>
      </c>
    </row>
    <row r="33" spans="1:9" ht="77.25" customHeight="1" thickBot="1" x14ac:dyDescent="0.3">
      <c r="A33" s="902"/>
      <c r="B33" s="902"/>
      <c r="C33" s="198" t="s">
        <v>15</v>
      </c>
      <c r="D33" s="271"/>
      <c r="E33" s="272"/>
      <c r="F33" s="272"/>
      <c r="G33" s="272"/>
      <c r="H33" s="272"/>
      <c r="I33" s="273"/>
    </row>
    <row r="34" spans="1:9" ht="63.75" customHeight="1" x14ac:dyDescent="0.25">
      <c r="A34" s="900" t="s">
        <v>47</v>
      </c>
      <c r="B34" s="901">
        <f>B29+1</f>
        <v>46291</v>
      </c>
      <c r="C34" s="61" t="s">
        <v>10</v>
      </c>
      <c r="D34" s="189"/>
      <c r="E34" s="190"/>
      <c r="F34" s="190"/>
      <c r="G34" s="346"/>
      <c r="H34" s="346"/>
      <c r="I34" s="191"/>
    </row>
    <row r="35" spans="1:9" ht="63.75" customHeight="1" x14ac:dyDescent="0.25">
      <c r="A35" s="862"/>
      <c r="B35" s="862"/>
      <c r="C35" s="62" t="s">
        <v>11</v>
      </c>
      <c r="D35" s="192"/>
      <c r="E35" s="347"/>
      <c r="F35" s="347"/>
      <c r="G35" s="347"/>
      <c r="H35" s="347"/>
      <c r="I35" s="183"/>
    </row>
    <row r="36" spans="1:9" ht="63.75" customHeight="1" x14ac:dyDescent="0.25">
      <c r="A36" s="862"/>
      <c r="B36" s="862"/>
      <c r="C36" s="62" t="s">
        <v>12</v>
      </c>
      <c r="D36" s="182"/>
      <c r="E36" s="347"/>
      <c r="F36" s="347"/>
      <c r="G36" s="347"/>
      <c r="H36" s="347"/>
      <c r="I36" s="183"/>
    </row>
    <row r="37" spans="1:9" ht="63.75" customHeight="1" x14ac:dyDescent="0.25">
      <c r="A37" s="862"/>
      <c r="B37" s="862"/>
      <c r="C37" s="62" t="s">
        <v>13</v>
      </c>
      <c r="D37" s="192"/>
      <c r="E37" s="309"/>
      <c r="F37" s="309"/>
      <c r="G37" s="309"/>
      <c r="H37" s="309"/>
      <c r="I37" s="310"/>
    </row>
    <row r="38" spans="1:9" ht="63.75" customHeight="1" thickBot="1" x14ac:dyDescent="0.3">
      <c r="A38" s="863"/>
      <c r="B38" s="863"/>
      <c r="C38" s="63" t="s">
        <v>15</v>
      </c>
      <c r="D38" s="95"/>
      <c r="E38" s="96"/>
      <c r="F38" s="96"/>
      <c r="G38" s="96"/>
      <c r="H38" s="96"/>
      <c r="I38" s="311"/>
    </row>
    <row r="39" spans="1:9" ht="37.5" customHeight="1" x14ac:dyDescent="0.45">
      <c r="A39" s="2"/>
      <c r="B39" s="2"/>
      <c r="C39" s="2"/>
      <c r="D39" s="166" t="s">
        <v>86</v>
      </c>
      <c r="E39" s="2"/>
      <c r="F39" s="2"/>
      <c r="G39" s="2"/>
      <c r="H39" s="2"/>
      <c r="I39" s="2"/>
    </row>
    <row r="40" spans="1:9" s="19" customFormat="1" ht="23.25" x14ac:dyDescent="0.35">
      <c r="A40" s="18"/>
      <c r="B40" s="18"/>
      <c r="C40" s="67" t="str">
        <f>'01.09'!C39</f>
        <v>*Л. Речевое общение в профессиональной деятельности*</v>
      </c>
      <c r="D40" s="68">
        <f>'14.09'!D40+COUNTIF(D$8:D$38,$C40)</f>
        <v>4</v>
      </c>
      <c r="E40" s="68">
        <f>'14.09'!E40+COUNTIF(E$8:E$38,$C40)</f>
        <v>4</v>
      </c>
      <c r="F40" s="68">
        <f>'14.09'!F40+COUNTIF(F$8:F$38,$C40)</f>
        <v>4</v>
      </c>
      <c r="G40" s="68">
        <f>'14.09'!G40+COUNTIF(G$8:G$38,$C40)</f>
        <v>4</v>
      </c>
      <c r="H40" s="68">
        <f>'14.09'!H40+COUNTIF(H$8:H$38,$C40)</f>
        <v>4</v>
      </c>
      <c r="I40" s="68">
        <f>'14.09'!I40+COUNTIF(I$8:I$38,$C40)</f>
        <v>4</v>
      </c>
    </row>
    <row r="41" spans="1:9" s="19" customFormat="1" ht="23.25" x14ac:dyDescent="0.35">
      <c r="A41" s="18"/>
      <c r="B41" s="18"/>
      <c r="C41" s="67" t="str">
        <f>'01.09'!C40</f>
        <v>*Пр. Речевое общение в профессиональной деятельности*</v>
      </c>
      <c r="D41" s="69">
        <f>'14.09'!D41+COUNTIF(D$8:D$38,$C41)</f>
        <v>0</v>
      </c>
      <c r="E41" s="69">
        <f>'14.09'!E41+COUNTIF(E$8:E$38,$C41)</f>
        <v>0</v>
      </c>
      <c r="F41" s="68">
        <f>'14.09'!F41+COUNTIF(F$8:F$38,$C41)</f>
        <v>0</v>
      </c>
      <c r="G41" s="69">
        <f>'14.09'!G41+COUNTIF(G$8:G$38,$C41)</f>
        <v>0</v>
      </c>
      <c r="H41" s="69">
        <f>'14.09'!H41+COUNTIF(H$8:H$38,$C41)</f>
        <v>0</v>
      </c>
      <c r="I41" s="69">
        <f>'14.09'!I41+COUNTIF(I$8:I$38,$C41)</f>
        <v>0</v>
      </c>
    </row>
    <row r="42" spans="1:9" s="19" customFormat="1" ht="23.25" x14ac:dyDescent="0.35">
      <c r="A42" s="18"/>
      <c r="B42" s="18"/>
      <c r="C42" s="67" t="str">
        <f>'01.09'!C41</f>
        <v>*Л. Элективные дисциплины по ФКиС: Силовая подготовка*</v>
      </c>
      <c r="D42" s="68">
        <f>'14.09'!D42+COUNTIF(D$8:D$38,$C42)</f>
        <v>1</v>
      </c>
      <c r="E42" s="68">
        <f>'14.09'!E42+COUNTIF(E$8:E$38,$C42)</f>
        <v>1</v>
      </c>
      <c r="F42" s="68">
        <f>'14.09'!F42+COUNTIF(F$8:F$38,$C42)</f>
        <v>1</v>
      </c>
      <c r="G42" s="68">
        <f>'14.09'!G42+COUNTIF(G$8:G$38,$C42)</f>
        <v>1</v>
      </c>
      <c r="H42" s="68">
        <f>'14.09'!H42+COUNTIF(H$8:H$38,$C42)</f>
        <v>1</v>
      </c>
      <c r="I42" s="68">
        <f>'14.09'!I42+COUNTIF(I$8:I$38,$C42)</f>
        <v>1</v>
      </c>
    </row>
    <row r="43" spans="1:9" s="19" customFormat="1" ht="23.25" x14ac:dyDescent="0.35">
      <c r="A43" s="18"/>
      <c r="B43" s="18"/>
      <c r="C43" s="67" t="str">
        <f>'01.09'!C42</f>
        <v>*Пр. Элективные дисциплины по ФКиС: Силовая подготовка*</v>
      </c>
      <c r="D43" s="69">
        <f>'14.09'!D43+COUNTIF(D$8:D$38,$C43)</f>
        <v>3</v>
      </c>
      <c r="E43" s="69">
        <f>'14.09'!E43+COUNTIF(E$8:E$38,$C43)</f>
        <v>3</v>
      </c>
      <c r="F43" s="68">
        <f>'14.09'!F43+COUNTIF(F$8:F$38,$C43)</f>
        <v>3</v>
      </c>
      <c r="G43" s="69">
        <f>'14.09'!G43+COUNTIF(G$8:G$38,$C43)</f>
        <v>4</v>
      </c>
      <c r="H43" s="69">
        <f>'14.09'!H43+COUNTIF(H$8:H$38,$C43)</f>
        <v>3</v>
      </c>
      <c r="I43" s="69">
        <f>'14.09'!I43+COUNTIF(I$8:I$38,$C43)</f>
        <v>3</v>
      </c>
    </row>
    <row r="44" spans="1:9" s="19" customFormat="1" ht="23.25" x14ac:dyDescent="0.35">
      <c r="A44" s="18"/>
      <c r="B44" s="18"/>
      <c r="C44" s="67" t="str">
        <f>'01.09'!C43</f>
        <v>*Л. Анатомия*</v>
      </c>
      <c r="D44" s="68">
        <f>'14.09'!D44+COUNTIF(D$8:D$38,$C44)</f>
        <v>3</v>
      </c>
      <c r="E44" s="68">
        <f>'14.09'!E44+COUNTIF(E$8:E$38,$C44)</f>
        <v>3</v>
      </c>
      <c r="F44" s="68">
        <f>'14.09'!F44+COUNTIF(F$8:F$38,$C44)</f>
        <v>3</v>
      </c>
      <c r="G44" s="68">
        <f>'14.09'!G44+COUNTIF(G$8:G$38,$C44)</f>
        <v>3</v>
      </c>
      <c r="H44" s="68">
        <f>'14.09'!H44+COUNTIF(H$8:H$38,$C44)</f>
        <v>3</v>
      </c>
      <c r="I44" s="68">
        <f>'14.09'!I44+COUNTIF(I$8:I$38,$C44)</f>
        <v>3</v>
      </c>
    </row>
    <row r="45" spans="1:9" s="19" customFormat="1" ht="23.25" x14ac:dyDescent="0.35">
      <c r="A45" s="18"/>
      <c r="B45" s="18"/>
      <c r="C45" s="67" t="str">
        <f>'01.09'!C44</f>
        <v>*Пр. Анатомия*</v>
      </c>
      <c r="D45" s="69">
        <f>'14.09'!D45+COUNTIF(D$8:D$38,$C45)</f>
        <v>0</v>
      </c>
      <c r="E45" s="69">
        <f>'14.09'!E45+COUNTIF(E$8:E$38,$C45)</f>
        <v>0</v>
      </c>
      <c r="F45" s="68">
        <f>'14.09'!F45+COUNTIF(F$8:F$38,$C45)</f>
        <v>0</v>
      </c>
      <c r="G45" s="69">
        <f>'14.09'!G45+COUNTIF(G$8:G$38,$C45)</f>
        <v>0</v>
      </c>
      <c r="H45" s="69">
        <f>'14.09'!H45+COUNTIF(H$8:H$38,$C45)</f>
        <v>0</v>
      </c>
      <c r="I45" s="69">
        <f>'14.09'!I45+COUNTIF(I$8:I$38,$C45)</f>
        <v>0</v>
      </c>
    </row>
    <row r="46" spans="1:9" s="19" customFormat="1" ht="23.25" x14ac:dyDescent="0.35">
      <c r="A46" s="18"/>
      <c r="B46" s="18"/>
      <c r="C46" s="67" t="str">
        <f>'01.09'!C45</f>
        <v>*Л. Теория и методика*</v>
      </c>
      <c r="D46" s="68">
        <f>'14.09'!D46+COUNTIF(D$8:D$38,$C46)</f>
        <v>1</v>
      </c>
      <c r="E46" s="68">
        <f>'14.09'!E46+COUNTIF(E$8:E$38,$C46)</f>
        <v>1</v>
      </c>
      <c r="F46" s="68">
        <f>'14.09'!F46+COUNTIF(F$8:F$38,$C46)</f>
        <v>1</v>
      </c>
      <c r="G46" s="68">
        <f>'14.09'!G46+COUNTIF(G$8:G$38,$C46)</f>
        <v>1</v>
      </c>
      <c r="H46" s="68">
        <f>'14.09'!H46+COUNTIF(H$8:H$38,$C46)</f>
        <v>1</v>
      </c>
      <c r="I46" s="68">
        <f>'14.09'!I46+COUNTIF(I$8:I$38,$C46)</f>
        <v>1</v>
      </c>
    </row>
    <row r="47" spans="1:9" s="19" customFormat="1" ht="23.25" x14ac:dyDescent="0.35">
      <c r="A47" s="18"/>
      <c r="B47" s="18"/>
      <c r="C47" s="67" t="str">
        <f>'01.09'!C46</f>
        <v>*Пр. Теория и методика*</v>
      </c>
      <c r="D47" s="69">
        <f>'14.09'!D47+COUNTIF(D$8:D$38,$C47)</f>
        <v>12</v>
      </c>
      <c r="E47" s="69">
        <f>'14.09'!E47+COUNTIF(E$8:E$38,$C47)</f>
        <v>11</v>
      </c>
      <c r="F47" s="68">
        <f>'14.09'!F47+COUNTIF(F$8:F$38,$C47)</f>
        <v>11</v>
      </c>
      <c r="G47" s="69">
        <f>'14.09'!G47+COUNTIF(G$8:G$38,$C47)</f>
        <v>11</v>
      </c>
      <c r="H47" s="69">
        <f>'14.09'!H47+COUNTIF(H$8:H$38,$C47)</f>
        <v>11</v>
      </c>
      <c r="I47" s="69">
        <f>'14.09'!I47+COUNTIF(I$8:I$38,$C47)</f>
        <v>12</v>
      </c>
    </row>
    <row r="48" spans="1:9" s="19" customFormat="1" ht="23.25" x14ac:dyDescent="0.35">
      <c r="A48" s="18"/>
      <c r="B48" s="18"/>
      <c r="C48" s="67" t="str">
        <f>'01.09'!C47</f>
        <v>*Л. Физическая культура и спорт*</v>
      </c>
      <c r="D48" s="68">
        <f>'14.09'!D48+COUNTIF(D$8:D$38,$C48)</f>
        <v>4</v>
      </c>
      <c r="E48" s="68">
        <f>'14.09'!E48+COUNTIF(E$8:E$38,$C48)</f>
        <v>4</v>
      </c>
      <c r="F48" s="68">
        <f>'14.09'!F48+COUNTIF(F$8:F$38,$C48)</f>
        <v>4</v>
      </c>
      <c r="G48" s="68">
        <f>'14.09'!G48+COUNTIF(G$8:G$38,$C48)</f>
        <v>4</v>
      </c>
      <c r="H48" s="68">
        <f>'14.09'!H48+COUNTIF(H$8:H$38,$C48)</f>
        <v>4</v>
      </c>
      <c r="I48" s="68">
        <f>'14.09'!I48+COUNTIF(I$8:I$38,$C48)</f>
        <v>4</v>
      </c>
    </row>
    <row r="49" spans="1:9" s="19" customFormat="1" ht="23.25" x14ac:dyDescent="0.35">
      <c r="A49" s="18"/>
      <c r="B49" s="18"/>
      <c r="C49" s="67" t="str">
        <f>'01.09'!C48</f>
        <v>*Пр. Физическая культура и спорт*</v>
      </c>
      <c r="D49" s="69">
        <f>'14.09'!D49+COUNTIF(D$8:D$38,$C49)</f>
        <v>0</v>
      </c>
      <c r="E49" s="69">
        <f>'14.09'!E49+COUNTIF(E$8:E$38,$C49)</f>
        <v>0</v>
      </c>
      <c r="F49" s="68">
        <f>'14.09'!F49+COUNTIF(F$8:F$38,$C49)</f>
        <v>0</v>
      </c>
      <c r="G49" s="69">
        <f>'14.09'!G49+COUNTIF(G$8:G$38,$C49)</f>
        <v>0</v>
      </c>
      <c r="H49" s="69">
        <f>'14.09'!H49+COUNTIF(H$8:H$38,$C49)</f>
        <v>0</v>
      </c>
      <c r="I49" s="69">
        <f>'14.09'!I49+COUNTIF(I$8:I$38,$C49)</f>
        <v>0</v>
      </c>
    </row>
    <row r="50" spans="1:9" s="19" customFormat="1" ht="23.25" x14ac:dyDescent="0.35">
      <c r="A50" s="18"/>
      <c r="B50" s="18"/>
      <c r="C50" s="67" t="str">
        <f>'01.09'!C49</f>
        <v>*Л. Информационные технологии*</v>
      </c>
      <c r="D50" s="68">
        <f>'14.09'!D50+COUNTIF(D$8:D$38,$C50)</f>
        <v>2</v>
      </c>
      <c r="E50" s="68">
        <f>'14.09'!E50+COUNTIF(E$8:E$38,$C50)</f>
        <v>2</v>
      </c>
      <c r="F50" s="68">
        <f>'14.09'!F50+COUNTIF(F$8:F$38,$C50)</f>
        <v>2</v>
      </c>
      <c r="G50" s="68">
        <f>'14.09'!G50+COUNTIF(G$8:G$38,$C50)</f>
        <v>2</v>
      </c>
      <c r="H50" s="68">
        <f>'14.09'!H50+COUNTIF(H$8:H$38,$C50)</f>
        <v>2</v>
      </c>
      <c r="I50" s="68">
        <f>'14.09'!I50+COUNTIF(I$8:I$38,$C50)</f>
        <v>2</v>
      </c>
    </row>
    <row r="51" spans="1:9" s="19" customFormat="1" ht="23.25" x14ac:dyDescent="0.35">
      <c r="A51" s="18"/>
      <c r="B51" s="18"/>
      <c r="C51" s="67" t="str">
        <f>'01.09'!C50</f>
        <v>*Пр. Информационные технологии*</v>
      </c>
      <c r="D51" s="69">
        <f>'14.09'!D51+COUNTIF(D$8:D$38,$C51)</f>
        <v>3</v>
      </c>
      <c r="E51" s="69">
        <f>'14.09'!E51+COUNTIF(E$8:E$38,$C51)</f>
        <v>3</v>
      </c>
      <c r="F51" s="68">
        <f>'14.09'!F51+COUNTIF(F$8:F$38,$C51)</f>
        <v>3</v>
      </c>
      <c r="G51" s="69">
        <f>'14.09'!G51+COUNTIF(G$8:G$38,$C51)</f>
        <v>3</v>
      </c>
      <c r="H51" s="69">
        <f>'14.09'!H51+COUNTIF(H$8:H$38,$C51)</f>
        <v>3</v>
      </c>
      <c r="I51" s="69">
        <f>'14.09'!I51+COUNTIF(I$8:I$38,$C51)</f>
        <v>3</v>
      </c>
    </row>
    <row r="52" spans="1:9" s="19" customFormat="1" ht="23.25" x14ac:dyDescent="0.35">
      <c r="A52" s="18"/>
      <c r="B52" s="18"/>
      <c r="C52" s="67" t="str">
        <f>'01.09'!C51</f>
        <v>*Л. Гимнастика*</v>
      </c>
      <c r="D52" s="68">
        <f>'14.09'!D52+COUNTIF(D$8:D$38,$C52)</f>
        <v>3</v>
      </c>
      <c r="E52" s="68">
        <f>'14.09'!E52+COUNTIF(E$8:E$38,$C52)</f>
        <v>3</v>
      </c>
      <c r="F52" s="68">
        <f>'14.09'!F52+COUNTIF(F$8:F$38,$C52)</f>
        <v>3</v>
      </c>
      <c r="G52" s="68">
        <f>'14.09'!G52+COUNTIF(G$8:G$38,$C52)</f>
        <v>3</v>
      </c>
      <c r="H52" s="68">
        <f>'14.09'!H52+COUNTIF(H$8:H$38,$C52)</f>
        <v>3</v>
      </c>
      <c r="I52" s="68">
        <f>'14.09'!I52+COUNTIF(I$8:I$38,$C52)</f>
        <v>3</v>
      </c>
    </row>
    <row r="53" spans="1:9" s="19" customFormat="1" ht="23.25" x14ac:dyDescent="0.35">
      <c r="A53" s="18"/>
      <c r="B53" s="18"/>
      <c r="C53" s="67" t="str">
        <f>'01.09'!C52</f>
        <v>*Пр. Гимнастика*</v>
      </c>
      <c r="D53" s="69">
        <f>'14.09'!D53+COUNTIF(D$8:D$38,$C53)</f>
        <v>3</v>
      </c>
      <c r="E53" s="69">
        <f>'14.09'!E53+COUNTIF(E$8:E$38,$C53)</f>
        <v>6</v>
      </c>
      <c r="F53" s="68">
        <f>'14.09'!F53+COUNTIF(F$8:F$38,$C53)</f>
        <v>3</v>
      </c>
      <c r="G53" s="69">
        <f>'14.09'!G53+COUNTIF(G$8:G$38,$C53)</f>
        <v>3</v>
      </c>
      <c r="H53" s="69">
        <f>'14.09'!H53+COUNTIF(H$8:H$38,$C53)</f>
        <v>6</v>
      </c>
      <c r="I53" s="69">
        <f>'14.09'!I53+COUNTIF(I$8:I$38,$C53)</f>
        <v>6</v>
      </c>
    </row>
    <row r="54" spans="1:9" s="19" customFormat="1" ht="23.25" x14ac:dyDescent="0.35">
      <c r="A54" s="18"/>
      <c r="B54" s="18"/>
      <c r="C54" s="67" t="str">
        <f>'01.09'!C53</f>
        <v>*Л. Волейбол*</v>
      </c>
      <c r="D54" s="68">
        <f>'14.09'!D54+COUNTIF(D$8:D$38,$C54)</f>
        <v>1</v>
      </c>
      <c r="E54" s="68">
        <f>'14.09'!E54+COUNTIF(E$8:E$38,$C54)</f>
        <v>1</v>
      </c>
      <c r="F54" s="68">
        <f>'14.09'!F54+COUNTIF(F$8:F$38,$C54)</f>
        <v>1</v>
      </c>
      <c r="G54" s="68">
        <f>'14.09'!G54+COUNTIF(G$8:G$38,$C54)</f>
        <v>1</v>
      </c>
      <c r="H54" s="68">
        <f>'14.09'!H54+COUNTIF(H$8:H$38,$C54)</f>
        <v>1</v>
      </c>
      <c r="I54" s="68">
        <f>'14.09'!I54+COUNTIF(I$8:I$38,$C54)</f>
        <v>1</v>
      </c>
    </row>
    <row r="55" spans="1:9" s="19" customFormat="1" ht="23.25" x14ac:dyDescent="0.35">
      <c r="A55" s="18"/>
      <c r="B55" s="18"/>
      <c r="C55" s="67" t="str">
        <f>'01.09'!C54</f>
        <v>*Пр. Волейбол*</v>
      </c>
      <c r="D55" s="69">
        <f>'14.09'!D55+COUNTIF(D$8:D$38,$C55)</f>
        <v>6</v>
      </c>
      <c r="E55" s="69">
        <f>'14.09'!E55+COUNTIF(E$8:E$38,$C55)</f>
        <v>6</v>
      </c>
      <c r="F55" s="68">
        <f>'14.09'!F55+COUNTIF(F$8:F$38,$C55)</f>
        <v>3</v>
      </c>
      <c r="G55" s="69">
        <f>'14.09'!G55+COUNTIF(G$8:G$38,$C55)</f>
        <v>3</v>
      </c>
      <c r="H55" s="69">
        <f>'14.09'!H55+COUNTIF(H$8:H$38,$C55)</f>
        <v>6</v>
      </c>
      <c r="I55" s="69">
        <f>'14.09'!I55+COUNTIF(I$8:I$38,$C55)</f>
        <v>6</v>
      </c>
    </row>
    <row r="56" spans="1:9" s="19" customFormat="1" ht="23.25" x14ac:dyDescent="0.35">
      <c r="A56" s="18"/>
      <c r="B56" s="18"/>
      <c r="C56" s="67" t="str">
        <f>'01.09'!C55</f>
        <v>*Л. Лыжные гонки*</v>
      </c>
      <c r="D56" s="68">
        <f>'14.09'!D56+COUNTIF(D$8:D$38,$C56)</f>
        <v>0</v>
      </c>
      <c r="E56" s="68">
        <f>'14.09'!E56+COUNTIF(E$8:E$38,$C56)</f>
        <v>0</v>
      </c>
      <c r="F56" s="68">
        <f>'14.09'!F56+COUNTIF(F$8:F$38,$C56)</f>
        <v>0</v>
      </c>
      <c r="G56" s="68">
        <f>'14.09'!G56+COUNTIF(G$8:G$38,$C56)</f>
        <v>0</v>
      </c>
      <c r="H56" s="68">
        <f>'14.09'!H56+COUNTIF(H$8:H$38,$C56)</f>
        <v>0</v>
      </c>
      <c r="I56" s="68">
        <f>'14.09'!I56+COUNTIF(I$8:I$38,$C56)</f>
        <v>0</v>
      </c>
    </row>
    <row r="57" spans="1:9" s="19" customFormat="1" ht="23.25" x14ac:dyDescent="0.35">
      <c r="A57" s="18"/>
      <c r="B57" s="18"/>
      <c r="C57" s="67" t="str">
        <f>'01.09'!C56</f>
        <v>*Пр. Лыжные гонки*</v>
      </c>
      <c r="D57" s="69">
        <f>'14.09'!D57+COUNTIF(D$8:D$38,$C57)</f>
        <v>0</v>
      </c>
      <c r="E57" s="69">
        <f>'14.09'!E57+COUNTIF(E$8:E$38,$C57)</f>
        <v>0</v>
      </c>
      <c r="F57" s="68">
        <f>'14.09'!F57+COUNTIF(F$8:F$38,$C57)</f>
        <v>0</v>
      </c>
      <c r="G57" s="69">
        <f>'14.09'!G57+COUNTIF(G$8:G$38,$C57)</f>
        <v>0</v>
      </c>
      <c r="H57" s="69">
        <f>'14.09'!H57+COUNTIF(H$8:H$38,$C57)</f>
        <v>0</v>
      </c>
      <c r="I57" s="69">
        <f>'14.09'!I57+COUNTIF(I$8:I$38,$C57)</f>
        <v>0</v>
      </c>
    </row>
    <row r="58" spans="1:9" s="19" customFormat="1" ht="23.25" x14ac:dyDescent="0.35">
      <c r="A58" s="18"/>
      <c r="B58" s="18"/>
      <c r="C58" s="67" t="str">
        <f>'01.09'!C57</f>
        <v>*Л. Использование электронной*</v>
      </c>
      <c r="D58" s="68">
        <f>'14.09'!D58+COUNTIF(D$8:D$38,$C58)</f>
        <v>1</v>
      </c>
      <c r="E58" s="68">
        <f>'14.09'!E58+COUNTIF(E$8:E$38,$C58)</f>
        <v>0</v>
      </c>
      <c r="F58" s="68">
        <f>'14.09'!F58+COUNTIF(F$8:F$38,$C58)</f>
        <v>0</v>
      </c>
      <c r="G58" s="68">
        <f>'14.09'!G58+COUNTIF(G$8:G$38,$C58)</f>
        <v>0</v>
      </c>
      <c r="H58" s="68">
        <f>'14.09'!H58+COUNTIF(H$8:H$38,$C58)</f>
        <v>0</v>
      </c>
      <c r="I58" s="68">
        <f>'14.09'!I58+COUNTIF(I$8:I$38,$C58)</f>
        <v>0</v>
      </c>
    </row>
    <row r="59" spans="1:9" s="19" customFormat="1" ht="23.25" x14ac:dyDescent="0.35">
      <c r="A59" s="18"/>
      <c r="B59" s="18"/>
      <c r="C59" s="67" t="str">
        <f>'01.09'!C58</f>
        <v>*Пр. Использование электронной*</v>
      </c>
      <c r="D59" s="69">
        <f>'14.09'!D59+COUNTIF(D$8:D$38,$C59)</f>
        <v>0</v>
      </c>
      <c r="E59" s="69">
        <f>'14.09'!E59+COUNTIF(E$8:E$38,$C59)</f>
        <v>0</v>
      </c>
      <c r="F59" s="68">
        <f>'14.09'!F59+COUNTIF(F$8:F$38,$C59)</f>
        <v>0</v>
      </c>
      <c r="G59" s="69">
        <f>'14.09'!G59+COUNTIF(G$8:G$38,$C59)</f>
        <v>0</v>
      </c>
      <c r="H59" s="69">
        <f>'14.09'!H59+COUNTIF(H$8:H$38,$C59)</f>
        <v>0</v>
      </c>
      <c r="I59" s="69">
        <f>'14.09'!I59+COUNTIF(I$8:I$38,$C59)</f>
        <v>0</v>
      </c>
    </row>
    <row r="60" spans="1:9" s="19" customFormat="1" ht="23.25" x14ac:dyDescent="0.35">
      <c r="A60" s="18"/>
      <c r="B60" s="18"/>
      <c r="C60" s="67" t="str">
        <f>'01.09'!C59</f>
        <v>*Пр. Иностранный язык*</v>
      </c>
      <c r="D60" s="68">
        <f>'14.09'!D60+COUNTIF(D$8:D$38,$C60)</f>
        <v>3</v>
      </c>
      <c r="E60" s="68">
        <f>'14.09'!E60+COUNTIF(E$8:E$38,$C60)</f>
        <v>3</v>
      </c>
      <c r="F60" s="68">
        <f>'14.09'!F60+COUNTIF(F$8:F$38,$C60)</f>
        <v>3</v>
      </c>
      <c r="G60" s="68">
        <f>'14.09'!G60+COUNTIF(G$8:G$38,$C60)</f>
        <v>3</v>
      </c>
      <c r="H60" s="68">
        <f>'14.09'!H60+COUNTIF(H$8:H$38,$C60)</f>
        <v>3</v>
      </c>
      <c r="I60" s="68">
        <f>'14.09'!I60+COUNTIF(I$8:I$38,$C60)</f>
        <v>3</v>
      </c>
    </row>
    <row r="61" spans="1:9" s="19" customFormat="1" ht="23.25" x14ac:dyDescent="0.35">
      <c r="A61" s="18"/>
      <c r="B61" s="18"/>
      <c r="C61" s="67" t="str">
        <f>'01.09'!C60</f>
        <v>*С1-04А-26*</v>
      </c>
      <c r="D61" s="68">
        <f>'14.09'!D61+COUNTIF(D$8:D$38,$C61)</f>
        <v>0</v>
      </c>
      <c r="E61" s="68">
        <f>'14.09'!E61+COUNTIF(E$8:E$38,$C61)</f>
        <v>0</v>
      </c>
      <c r="F61" s="68">
        <f>'14.09'!F61+COUNTIF(F$8:F$38,$C61)</f>
        <v>0</v>
      </c>
      <c r="G61" s="68">
        <f>'14.09'!G61+COUNTIF(G$8:G$38,$C61)</f>
        <v>3</v>
      </c>
      <c r="H61" s="68">
        <f>'14.09'!H61+COUNTIF(H$8:H$38,$C61)</f>
        <v>0</v>
      </c>
      <c r="I61" s="68">
        <f>'14.09'!I61+COUNTIF(I$8:I$38,$C61)</f>
        <v>0</v>
      </c>
    </row>
    <row r="62" spans="1:9" ht="23.25" x14ac:dyDescent="0.35">
      <c r="A62" s="2"/>
      <c r="B62" s="2"/>
      <c r="C62" s="67" t="str">
        <f>'01.09'!C61</f>
        <v>*С1-04Б-26*</v>
      </c>
      <c r="D62" s="68">
        <f>'14.09'!D62+COUNTIF(D$8:D$38,$C62)</f>
        <v>0</v>
      </c>
      <c r="E62" s="68">
        <f>'14.09'!E62+COUNTIF(E$8:E$38,$C62)</f>
        <v>0</v>
      </c>
      <c r="F62" s="68">
        <f>'14.09'!F62+COUNTIF(F$8:F$38,$C62)</f>
        <v>0</v>
      </c>
      <c r="G62" s="68">
        <f>'14.09'!G62+COUNTIF(G$8:G$38,$C62)</f>
        <v>3</v>
      </c>
      <c r="H62" s="68">
        <f>'14.09'!H62+COUNTIF(H$8:H$38,$C62)</f>
        <v>0</v>
      </c>
      <c r="I62" s="68">
        <f>'14.09'!I62+COUNTIF(I$8:I$38,$C62)</f>
        <v>0</v>
      </c>
    </row>
    <row r="63" spans="1:9" ht="23.25" x14ac:dyDescent="0.35">
      <c r="A63" s="2"/>
      <c r="B63" s="2"/>
      <c r="C63" s="67" t="str">
        <f>'01.09'!C62</f>
        <v>*С1-05А-26*</v>
      </c>
      <c r="D63" s="68">
        <f>'14.09'!D63+COUNTIF(D$8:D$38,$C63)</f>
        <v>0</v>
      </c>
      <c r="E63" s="68">
        <f>'14.09'!E63+COUNTIF(E$8:E$38,$C63)</f>
        <v>0</v>
      </c>
      <c r="F63" s="68">
        <f>'14.09'!F63+COUNTIF(F$8:F$38,$C63)</f>
        <v>0</v>
      </c>
      <c r="G63" s="68">
        <f>'14.09'!G63+COUNTIF(G$8:G$38,$C63)</f>
        <v>0</v>
      </c>
      <c r="H63" s="68">
        <f>'14.09'!H63+COUNTIF(H$8:H$38,$C63)</f>
        <v>0</v>
      </c>
      <c r="I63" s="68">
        <f>'14.09'!I63+COUNTIF(I$8:I$38,$C63)</f>
        <v>0</v>
      </c>
    </row>
    <row r="64" spans="1:9" ht="23.25" x14ac:dyDescent="0.35">
      <c r="A64" s="2"/>
      <c r="B64" s="2"/>
      <c r="C64" s="67" t="str">
        <f>'01.09'!C63</f>
        <v>*С1-05Б-26*</v>
      </c>
      <c r="D64" s="68">
        <f>'14.09'!D64+COUNTIF(D$8:D$38,$C64)</f>
        <v>0</v>
      </c>
      <c r="E64" s="68">
        <f>'14.09'!E64+COUNTIF(E$8:E$38,$C64)</f>
        <v>0</v>
      </c>
      <c r="F64" s="68">
        <f>'14.09'!F64+COUNTIF(F$8:F$38,$C64)</f>
        <v>0</v>
      </c>
      <c r="G64" s="68">
        <f>'14.09'!G64+COUNTIF(G$8:G$38,$C64)</f>
        <v>0</v>
      </c>
      <c r="H64" s="68">
        <f>'14.09'!H64+COUNTIF(H$8:H$38,$C64)</f>
        <v>0</v>
      </c>
      <c r="I64" s="68">
        <f>'14.09'!I64+COUNTIF(I$8:I$38,$C64)</f>
        <v>0</v>
      </c>
    </row>
    <row r="65" spans="1:9" ht="23.25" x14ac:dyDescent="0.35">
      <c r="A65" s="2"/>
      <c r="B65" s="2"/>
      <c r="C65" s="67">
        <f>'01.09'!C64</f>
        <v>0</v>
      </c>
      <c r="D65" s="68">
        <f>'14.09'!D65+COUNTIF(D$8:D$38,$C65)</f>
        <v>0</v>
      </c>
      <c r="E65" s="68">
        <f>'14.09'!E65+COUNTIF(E$8:E$38,$C65)</f>
        <v>0</v>
      </c>
      <c r="F65" s="68">
        <f>'14.09'!F65+COUNTIF(F$8:F$38,$C65)</f>
        <v>0</v>
      </c>
      <c r="G65" s="68">
        <f>'14.09'!G65+COUNTIF(G$8:G$38,$C65)</f>
        <v>0</v>
      </c>
      <c r="H65" s="68">
        <f>'14.09'!H65+COUNTIF(H$8:H$38,$C65)</f>
        <v>0</v>
      </c>
      <c r="I65" s="68">
        <f>'14.09'!I65+COUNTIF(I$8:I$38,$C65)</f>
        <v>0</v>
      </c>
    </row>
    <row r="66" spans="1:9" ht="23.25" x14ac:dyDescent="0.35">
      <c r="A66" s="2"/>
      <c r="B66" s="2"/>
      <c r="C66" s="67">
        <f>'01.09'!C65</f>
        <v>0</v>
      </c>
      <c r="D66" s="68">
        <f>'14.09'!D66+COUNTIF(D$8:D$38,$C66)</f>
        <v>0</v>
      </c>
      <c r="E66" s="68">
        <f>'14.09'!E66+COUNTIF(E$8:E$38,$C66)</f>
        <v>0</v>
      </c>
      <c r="F66" s="68">
        <f>'14.09'!F66+COUNTIF(F$8:F$38,$C66)</f>
        <v>0</v>
      </c>
      <c r="G66" s="68">
        <f>'14.09'!G66+COUNTIF(G$8:G$38,$C66)</f>
        <v>0</v>
      </c>
      <c r="H66" s="68">
        <f>'14.09'!H66+COUNTIF(H$8:H$38,$C66)</f>
        <v>0</v>
      </c>
      <c r="I66" s="68">
        <f>'14.09'!I66+COUNTIF(I$8:I$38,$C66)</f>
        <v>0</v>
      </c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</sheetData>
  <mergeCells count="20">
    <mergeCell ref="A34:A38"/>
    <mergeCell ref="B34:B38"/>
    <mergeCell ref="A8:A12"/>
    <mergeCell ref="A13:A18"/>
    <mergeCell ref="B8:B12"/>
    <mergeCell ref="B13:B18"/>
    <mergeCell ref="A24:A28"/>
    <mergeCell ref="A29:A33"/>
    <mergeCell ref="B19:B23"/>
    <mergeCell ref="B24:B28"/>
    <mergeCell ref="B29:B33"/>
    <mergeCell ref="A19:A23"/>
    <mergeCell ref="A6:A7"/>
    <mergeCell ref="C6:C7"/>
    <mergeCell ref="B6:B7"/>
    <mergeCell ref="B1:I1"/>
    <mergeCell ref="B2:I2"/>
    <mergeCell ref="B3:I3"/>
    <mergeCell ref="B4:I4"/>
    <mergeCell ref="A5:I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6" fitToWidth="0" fitToHeight="0" orientation="portrait" r:id="rId1"/>
  <headerFooter alignWithMargins="0"/>
  <rowBreaks count="1" manualBreakCount="1">
    <brk id="39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I72"/>
  <sheetViews>
    <sheetView view="pageBreakPreview" topLeftCell="A25" zoomScale="40" zoomScaleNormal="40" zoomScaleSheetLayoutView="40" zoomScalePageLayoutView="40" workbookViewId="0">
      <selection activeCell="G35" sqref="G35"/>
    </sheetView>
  </sheetViews>
  <sheetFormatPr defaultRowHeight="15" x14ac:dyDescent="0.25"/>
  <cols>
    <col min="1" max="2" width="4.42578125" customWidth="1"/>
    <col min="3" max="3" width="21" customWidth="1"/>
    <col min="4" max="9" width="58.140625" customWidth="1"/>
  </cols>
  <sheetData>
    <row r="1" spans="1:9" ht="30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9" ht="30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9" ht="33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9" ht="30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9" ht="30.75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9" ht="29.25" customHeight="1" thickBot="1" x14ac:dyDescent="0.3">
      <c r="A6" s="875" t="s">
        <v>54</v>
      </c>
      <c r="B6" s="875" t="s">
        <v>14</v>
      </c>
      <c r="C6" s="898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9" ht="112.5" customHeight="1" thickBot="1" x14ac:dyDescent="0.3">
      <c r="A7" s="876"/>
      <c r="B7" s="876"/>
      <c r="C7" s="899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9" ht="86.25" customHeight="1" x14ac:dyDescent="0.25">
      <c r="A8" s="868" t="s">
        <v>0</v>
      </c>
      <c r="B8" s="897">
        <v>46293</v>
      </c>
      <c r="C8" s="451" t="s">
        <v>10</v>
      </c>
      <c r="D8" s="298" t="s">
        <v>236</v>
      </c>
      <c r="E8" s="282"/>
      <c r="F8" s="282"/>
      <c r="G8" s="282"/>
      <c r="H8" s="343"/>
      <c r="I8" s="344"/>
    </row>
    <row r="9" spans="1:9" ht="124.5" customHeight="1" x14ac:dyDescent="0.25">
      <c r="A9" s="862"/>
      <c r="B9" s="862"/>
      <c r="C9" s="452" t="s">
        <v>11</v>
      </c>
      <c r="D9" s="392" t="s">
        <v>264</v>
      </c>
      <c r="E9" s="361"/>
      <c r="F9" s="361"/>
      <c r="G9" s="361" t="s">
        <v>248</v>
      </c>
      <c r="H9" s="361" t="s">
        <v>246</v>
      </c>
      <c r="I9" s="491"/>
    </row>
    <row r="10" spans="1:9" ht="108.75" customHeight="1" x14ac:dyDescent="0.25">
      <c r="A10" s="862"/>
      <c r="B10" s="862"/>
      <c r="C10" s="452" t="s">
        <v>12</v>
      </c>
      <c r="D10" s="392" t="s">
        <v>240</v>
      </c>
      <c r="E10" s="361" t="s">
        <v>236</v>
      </c>
      <c r="F10" s="361"/>
      <c r="G10" s="361" t="s">
        <v>251</v>
      </c>
      <c r="H10" s="432" t="s">
        <v>232</v>
      </c>
      <c r="I10" s="478" t="s">
        <v>243</v>
      </c>
    </row>
    <row r="11" spans="1:9" ht="156" customHeight="1" x14ac:dyDescent="0.25">
      <c r="A11" s="862"/>
      <c r="B11" s="862"/>
      <c r="C11" s="452" t="s">
        <v>13</v>
      </c>
      <c r="D11" s="392" t="s">
        <v>243</v>
      </c>
      <c r="E11" s="361" t="s">
        <v>264</v>
      </c>
      <c r="F11" s="361"/>
      <c r="G11" s="361" t="s">
        <v>312</v>
      </c>
      <c r="H11" s="432" t="s">
        <v>232</v>
      </c>
      <c r="I11" s="478" t="s">
        <v>236</v>
      </c>
    </row>
    <row r="12" spans="1:9" ht="41.25" customHeight="1" thickBot="1" x14ac:dyDescent="0.3">
      <c r="A12" s="862"/>
      <c r="B12" s="862"/>
      <c r="C12" s="453" t="s">
        <v>15</v>
      </c>
      <c r="D12" s="345"/>
      <c r="E12" s="312"/>
      <c r="F12" s="312"/>
      <c r="G12" s="312"/>
      <c r="H12" s="312"/>
      <c r="I12" s="335"/>
    </row>
    <row r="13" spans="1:9" ht="138.75" x14ac:dyDescent="0.25">
      <c r="A13" s="862" t="s">
        <v>1</v>
      </c>
      <c r="B13" s="861">
        <f>B8+1</f>
        <v>46294</v>
      </c>
      <c r="C13" s="454" t="s">
        <v>10</v>
      </c>
      <c r="D13" s="392" t="s">
        <v>261</v>
      </c>
      <c r="E13" s="360"/>
      <c r="F13" s="351" t="s">
        <v>258</v>
      </c>
      <c r="G13" s="360" t="s">
        <v>230</v>
      </c>
      <c r="H13" s="286" t="s">
        <v>311</v>
      </c>
      <c r="I13" s="303"/>
    </row>
    <row r="14" spans="1:9" ht="111" x14ac:dyDescent="0.25">
      <c r="A14" s="862"/>
      <c r="B14" s="862"/>
      <c r="C14" s="455" t="s">
        <v>11</v>
      </c>
      <c r="D14" s="392" t="s">
        <v>261</v>
      </c>
      <c r="E14" s="351" t="s">
        <v>260</v>
      </c>
      <c r="F14" s="487" t="s">
        <v>258</v>
      </c>
      <c r="G14" s="361" t="s">
        <v>230</v>
      </c>
      <c r="H14" s="265" t="s">
        <v>237</v>
      </c>
      <c r="I14" s="266" t="s">
        <v>266</v>
      </c>
    </row>
    <row r="15" spans="1:9" ht="83.25" x14ac:dyDescent="0.25">
      <c r="A15" s="862"/>
      <c r="B15" s="862"/>
      <c r="C15" s="455" t="s">
        <v>12</v>
      </c>
      <c r="D15" s="485"/>
      <c r="E15" s="265" t="s">
        <v>241</v>
      </c>
      <c r="F15" s="265" t="s">
        <v>236</v>
      </c>
      <c r="G15" s="265" t="s">
        <v>271</v>
      </c>
      <c r="H15" s="265" t="s">
        <v>249</v>
      </c>
      <c r="I15" s="478" t="s">
        <v>317</v>
      </c>
    </row>
    <row r="16" spans="1:9" ht="83.25" x14ac:dyDescent="0.25">
      <c r="A16" s="862"/>
      <c r="B16" s="862"/>
      <c r="C16" s="455" t="s">
        <v>13</v>
      </c>
      <c r="D16" s="485"/>
      <c r="E16" s="265"/>
      <c r="F16" s="265" t="s">
        <v>249</v>
      </c>
      <c r="G16" s="265"/>
      <c r="H16" s="265" t="s">
        <v>313</v>
      </c>
      <c r="I16" s="478"/>
    </row>
    <row r="17" spans="1:9" ht="50.25" customHeight="1" x14ac:dyDescent="0.25">
      <c r="A17" s="862"/>
      <c r="B17" s="862"/>
      <c r="C17" s="459" t="s">
        <v>15</v>
      </c>
      <c r="D17" s="492"/>
      <c r="E17" s="515"/>
      <c r="F17" s="515"/>
      <c r="G17" s="515"/>
      <c r="H17" s="515"/>
      <c r="I17" s="486"/>
    </row>
    <row r="18" spans="1:9" ht="28.5" thickBot="1" x14ac:dyDescent="0.3">
      <c r="A18" s="862"/>
      <c r="B18" s="862"/>
      <c r="C18" s="457" t="s">
        <v>64</v>
      </c>
      <c r="D18" s="306"/>
      <c r="E18" s="361"/>
      <c r="F18" s="393"/>
      <c r="G18" s="307"/>
      <c r="H18" s="307"/>
      <c r="I18" s="308"/>
    </row>
    <row r="19" spans="1:9" ht="86.25" customHeight="1" x14ac:dyDescent="0.25">
      <c r="A19" s="862" t="s">
        <v>2</v>
      </c>
      <c r="B19" s="861">
        <f>B13+1</f>
        <v>46295</v>
      </c>
      <c r="C19" s="451" t="s">
        <v>10</v>
      </c>
      <c r="D19" s="285"/>
      <c r="E19" s="286"/>
      <c r="F19" s="286"/>
      <c r="G19" s="286" t="s">
        <v>316</v>
      </c>
      <c r="H19" s="286" t="s">
        <v>246</v>
      </c>
      <c r="I19" s="303"/>
    </row>
    <row r="20" spans="1:9" ht="111" x14ac:dyDescent="0.25">
      <c r="A20" s="862"/>
      <c r="B20" s="862"/>
      <c r="C20" s="452" t="s">
        <v>11</v>
      </c>
      <c r="D20" s="264" t="s">
        <v>247</v>
      </c>
      <c r="E20" s="265" t="s">
        <v>316</v>
      </c>
      <c r="F20" s="265"/>
      <c r="G20" s="416" t="s">
        <v>294</v>
      </c>
      <c r="H20" s="265" t="s">
        <v>242</v>
      </c>
      <c r="I20" s="266" t="s">
        <v>243</v>
      </c>
    </row>
    <row r="21" spans="1:9" ht="153.75" customHeight="1" x14ac:dyDescent="0.25">
      <c r="A21" s="862"/>
      <c r="B21" s="862"/>
      <c r="C21" s="452" t="s">
        <v>12</v>
      </c>
      <c r="D21" s="392" t="s">
        <v>243</v>
      </c>
      <c r="E21" s="384" t="s">
        <v>241</v>
      </c>
      <c r="F21" s="384" t="s">
        <v>313</v>
      </c>
      <c r="G21" s="361" t="s">
        <v>307</v>
      </c>
      <c r="H21" s="265" t="s">
        <v>315</v>
      </c>
      <c r="I21" s="478" t="s">
        <v>234</v>
      </c>
    </row>
    <row r="22" spans="1:9" ht="148.5" customHeight="1" x14ac:dyDescent="0.25">
      <c r="A22" s="862"/>
      <c r="B22" s="862"/>
      <c r="C22" s="452" t="s">
        <v>13</v>
      </c>
      <c r="D22" s="392" t="s">
        <v>313</v>
      </c>
      <c r="E22" s="361" t="s">
        <v>244</v>
      </c>
      <c r="F22" s="361" t="s">
        <v>240</v>
      </c>
      <c r="G22" s="265" t="s">
        <v>315</v>
      </c>
      <c r="H22" s="265"/>
      <c r="I22" s="478" t="s">
        <v>234</v>
      </c>
    </row>
    <row r="23" spans="1:9" ht="37.5" customHeight="1" thickBot="1" x14ac:dyDescent="0.3">
      <c r="A23" s="862"/>
      <c r="B23" s="862"/>
      <c r="C23" s="453" t="s">
        <v>15</v>
      </c>
      <c r="D23" s="206"/>
      <c r="E23" s="429"/>
      <c r="F23" s="429"/>
      <c r="G23" s="207"/>
      <c r="H23" s="207"/>
      <c r="I23" s="208"/>
    </row>
    <row r="24" spans="1:9" ht="86.25" customHeight="1" x14ac:dyDescent="0.25">
      <c r="A24" s="862" t="s">
        <v>3</v>
      </c>
      <c r="B24" s="861">
        <f>B19+1</f>
        <v>46296</v>
      </c>
      <c r="C24" s="454" t="s">
        <v>10</v>
      </c>
      <c r="D24" s="690"/>
      <c r="E24" s="691"/>
      <c r="F24" s="691"/>
      <c r="G24" s="691"/>
      <c r="H24" s="691"/>
      <c r="I24" s="692"/>
    </row>
    <row r="25" spans="1:9" ht="111" x14ac:dyDescent="0.25">
      <c r="A25" s="891"/>
      <c r="B25" s="862"/>
      <c r="C25" s="455" t="s">
        <v>11</v>
      </c>
      <c r="D25" s="693"/>
      <c r="E25" s="351" t="s">
        <v>248</v>
      </c>
      <c r="F25" s="694" t="s">
        <v>264</v>
      </c>
      <c r="G25" s="378" t="s">
        <v>276</v>
      </c>
      <c r="H25" s="694"/>
      <c r="I25" s="695" t="s">
        <v>266</v>
      </c>
    </row>
    <row r="26" spans="1:9" ht="111" x14ac:dyDescent="0.25">
      <c r="A26" s="891"/>
      <c r="B26" s="862"/>
      <c r="C26" s="455" t="s">
        <v>12</v>
      </c>
      <c r="D26" s="354" t="s">
        <v>256</v>
      </c>
      <c r="E26" s="378" t="s">
        <v>260</v>
      </c>
      <c r="F26" s="378" t="s">
        <v>245</v>
      </c>
      <c r="G26" s="378" t="s">
        <v>265</v>
      </c>
      <c r="H26" s="694" t="s">
        <v>242</v>
      </c>
      <c r="I26" s="696" t="s">
        <v>264</v>
      </c>
    </row>
    <row r="27" spans="1:9" ht="138.75" x14ac:dyDescent="0.25">
      <c r="A27" s="891"/>
      <c r="B27" s="862"/>
      <c r="C27" s="455" t="s">
        <v>13</v>
      </c>
      <c r="D27" s="354" t="s">
        <v>261</v>
      </c>
      <c r="E27" s="378" t="s">
        <v>260</v>
      </c>
      <c r="F27" s="378" t="s">
        <v>258</v>
      </c>
      <c r="G27" s="378" t="s">
        <v>275</v>
      </c>
      <c r="H27" s="378" t="s">
        <v>251</v>
      </c>
      <c r="I27" s="695"/>
    </row>
    <row r="28" spans="1:9" ht="48.75" customHeight="1" thickBot="1" x14ac:dyDescent="0.3">
      <c r="A28" s="891"/>
      <c r="B28" s="862"/>
      <c r="C28" s="457" t="s">
        <v>15</v>
      </c>
      <c r="D28" s="206"/>
      <c r="E28" s="438"/>
      <c r="F28" s="438"/>
      <c r="G28" s="429"/>
      <c r="H28" s="429"/>
      <c r="I28" s="431"/>
    </row>
    <row r="29" spans="1:9" ht="108.75" customHeight="1" x14ac:dyDescent="0.25">
      <c r="A29" s="862" t="s">
        <v>4</v>
      </c>
      <c r="B29" s="861">
        <f>B24+1</f>
        <v>46297</v>
      </c>
      <c r="C29" s="451" t="s">
        <v>10</v>
      </c>
      <c r="D29" s="276"/>
      <c r="E29" s="689" t="s">
        <v>244</v>
      </c>
      <c r="F29" s="277" t="s">
        <v>240</v>
      </c>
      <c r="G29" s="277"/>
      <c r="H29" s="501" t="s">
        <v>232</v>
      </c>
      <c r="I29" s="278" t="s">
        <v>249</v>
      </c>
    </row>
    <row r="30" spans="1:9" ht="120.75" customHeight="1" x14ac:dyDescent="0.25">
      <c r="A30" s="862"/>
      <c r="B30" s="862"/>
      <c r="C30" s="452" t="s">
        <v>11</v>
      </c>
      <c r="D30" s="546" t="s">
        <v>304</v>
      </c>
      <c r="E30" s="743" t="s">
        <v>304</v>
      </c>
      <c r="F30" s="743" t="s">
        <v>304</v>
      </c>
      <c r="G30" s="743" t="s">
        <v>304</v>
      </c>
      <c r="H30" s="743" t="s">
        <v>304</v>
      </c>
      <c r="I30" s="744" t="s">
        <v>304</v>
      </c>
    </row>
    <row r="31" spans="1:9" ht="86.25" customHeight="1" x14ac:dyDescent="0.25">
      <c r="A31" s="862"/>
      <c r="B31" s="862"/>
      <c r="C31" s="452" t="s">
        <v>12</v>
      </c>
      <c r="D31" s="693" t="s">
        <v>306</v>
      </c>
      <c r="E31" s="694" t="s">
        <v>306</v>
      </c>
      <c r="F31" s="694" t="s">
        <v>306</v>
      </c>
      <c r="G31" s="694" t="s">
        <v>306</v>
      </c>
      <c r="H31" s="694" t="s">
        <v>306</v>
      </c>
      <c r="I31" s="695" t="s">
        <v>306</v>
      </c>
    </row>
    <row r="32" spans="1:9" ht="86.25" customHeight="1" x14ac:dyDescent="0.25">
      <c r="A32" s="862"/>
      <c r="B32" s="862"/>
      <c r="C32" s="452" t="s">
        <v>13</v>
      </c>
      <c r="D32" s="693" t="s">
        <v>305</v>
      </c>
      <c r="E32" s="694" t="s">
        <v>305</v>
      </c>
      <c r="F32" s="694" t="s">
        <v>305</v>
      </c>
      <c r="G32" s="694" t="s">
        <v>305</v>
      </c>
      <c r="H32" s="378" t="s">
        <v>305</v>
      </c>
      <c r="I32" s="695" t="s">
        <v>305</v>
      </c>
    </row>
    <row r="33" spans="1:9" ht="86.25" customHeight="1" thickBot="1" x14ac:dyDescent="0.3">
      <c r="A33" s="862"/>
      <c r="B33" s="862"/>
      <c r="C33" s="453" t="s">
        <v>15</v>
      </c>
      <c r="D33" s="271"/>
      <c r="E33" s="272"/>
      <c r="F33" s="272"/>
      <c r="G33" s="272"/>
      <c r="H33" s="272"/>
      <c r="I33" s="273"/>
    </row>
    <row r="34" spans="1:9" ht="58.5" customHeight="1" x14ac:dyDescent="0.25">
      <c r="A34" s="862" t="s">
        <v>47</v>
      </c>
      <c r="B34" s="861">
        <f>B29+1</f>
        <v>46298</v>
      </c>
      <c r="C34" s="448" t="s">
        <v>10</v>
      </c>
      <c r="D34" s="189"/>
      <c r="E34" s="190"/>
      <c r="F34" s="190"/>
      <c r="G34" s="346"/>
      <c r="H34" s="346"/>
      <c r="I34" s="191"/>
    </row>
    <row r="35" spans="1:9" ht="58.5" customHeight="1" x14ac:dyDescent="0.25">
      <c r="A35" s="862"/>
      <c r="B35" s="862"/>
      <c r="C35" s="458" t="s">
        <v>11</v>
      </c>
      <c r="D35" s="192"/>
      <c r="E35" s="347"/>
      <c r="F35" s="347"/>
      <c r="G35" s="347"/>
      <c r="H35" s="347"/>
      <c r="I35" s="183"/>
    </row>
    <row r="36" spans="1:9" ht="58.5" customHeight="1" x14ac:dyDescent="0.25">
      <c r="A36" s="862"/>
      <c r="B36" s="862"/>
      <c r="C36" s="458" t="s">
        <v>12</v>
      </c>
      <c r="D36" s="182"/>
      <c r="E36" s="347"/>
      <c r="F36" s="347"/>
      <c r="G36" s="347"/>
      <c r="H36" s="347"/>
      <c r="I36" s="183"/>
    </row>
    <row r="37" spans="1:9" ht="58.5" customHeight="1" x14ac:dyDescent="0.25">
      <c r="A37" s="862"/>
      <c r="B37" s="862"/>
      <c r="C37" s="458" t="s">
        <v>13</v>
      </c>
      <c r="D37" s="192"/>
      <c r="E37" s="309"/>
      <c r="F37" s="309"/>
      <c r="G37" s="309"/>
      <c r="H37" s="309"/>
      <c r="I37" s="310"/>
    </row>
    <row r="38" spans="1:9" ht="58.5" customHeight="1" thickBot="1" x14ac:dyDescent="0.3">
      <c r="A38" s="863"/>
      <c r="B38" s="863"/>
      <c r="C38" s="449" t="s">
        <v>15</v>
      </c>
      <c r="D38" s="95"/>
      <c r="E38" s="96"/>
      <c r="F38" s="96"/>
      <c r="G38" s="96"/>
      <c r="H38" s="96"/>
      <c r="I38" s="311"/>
    </row>
    <row r="39" spans="1:9" ht="33.75" customHeight="1" x14ac:dyDescent="0.45">
      <c r="A39" s="2"/>
      <c r="B39" s="2"/>
      <c r="C39" s="44"/>
      <c r="D39" s="166" t="s">
        <v>86</v>
      </c>
      <c r="E39" s="2"/>
      <c r="F39" s="2"/>
      <c r="G39" s="2"/>
      <c r="H39" s="2"/>
      <c r="I39" s="2"/>
    </row>
    <row r="40" spans="1:9" s="19" customFormat="1" ht="20.25" x14ac:dyDescent="0.3">
      <c r="A40" s="18"/>
      <c r="B40" s="18"/>
      <c r="C40" s="58" t="str">
        <f>'01.09'!C39</f>
        <v>*Л. Речевое общение в профессиональной деятельности*</v>
      </c>
      <c r="D40" s="59">
        <f>'21.09'!D40+COUNTIF(D$8:D$38,$C40)</f>
        <v>5</v>
      </c>
      <c r="E40" s="59">
        <f>'21.09'!E40+COUNTIF(E$8:E$38,$C40)</f>
        <v>5</v>
      </c>
      <c r="F40" s="59">
        <f>'21.09'!F40+COUNTIF(F$8:F$38,$C40)</f>
        <v>5</v>
      </c>
      <c r="G40" s="59">
        <f>'21.09'!G40+COUNTIF(G$8:G$38,$C40)</f>
        <v>5</v>
      </c>
      <c r="H40" s="59">
        <f>'21.09'!H40+COUNTIF(H$8:H$38,$C40)</f>
        <v>5</v>
      </c>
      <c r="I40" s="59">
        <f>'21.09'!I40+COUNTIF(I$8:I$38,$C40)</f>
        <v>5</v>
      </c>
    </row>
    <row r="41" spans="1:9" s="19" customFormat="1" ht="20.25" x14ac:dyDescent="0.3">
      <c r="A41" s="18"/>
      <c r="B41" s="18"/>
      <c r="C41" s="58" t="str">
        <f>'01.09'!C40</f>
        <v>*Пр. Речевое общение в профессиональной деятельности*</v>
      </c>
      <c r="D41" s="60">
        <f>'21.09'!D41+COUNTIF(D$8:D$38,$C41)</f>
        <v>0</v>
      </c>
      <c r="E41" s="60">
        <f>'21.09'!E41+COUNTIF(E$8:E$38,$C41)</f>
        <v>0</v>
      </c>
      <c r="F41" s="59">
        <f>'21.09'!F41+COUNTIF(F$8:F$38,$C41)</f>
        <v>0</v>
      </c>
      <c r="G41" s="60">
        <f>'21.09'!G41+COUNTIF(G$8:G$38,$C41)</f>
        <v>0</v>
      </c>
      <c r="H41" s="60">
        <f>'21.09'!H41+COUNTIF(H$8:H$38,$C41)</f>
        <v>0</v>
      </c>
      <c r="I41" s="60">
        <f>'21.09'!I41+COUNTIF(I$8:I$38,$C41)</f>
        <v>0</v>
      </c>
    </row>
    <row r="42" spans="1:9" s="19" customFormat="1" ht="20.25" x14ac:dyDescent="0.3">
      <c r="A42" s="18"/>
      <c r="B42" s="18"/>
      <c r="C42" s="58" t="str">
        <f>'01.09'!C41</f>
        <v>*Л. Элективные дисциплины по ФКиС: Силовая подготовка*</v>
      </c>
      <c r="D42" s="59">
        <f>'21.09'!D42+COUNTIF(D$8:D$38,$C42)</f>
        <v>1</v>
      </c>
      <c r="E42" s="59">
        <f>'21.09'!E42+COUNTIF(E$8:E$38,$C42)</f>
        <v>1</v>
      </c>
      <c r="F42" s="59">
        <f>'21.09'!F42+COUNTIF(F$8:F$38,$C42)</f>
        <v>1</v>
      </c>
      <c r="G42" s="59">
        <f>'21.09'!G42+COUNTIF(G$8:G$38,$C42)</f>
        <v>1</v>
      </c>
      <c r="H42" s="59">
        <f>'21.09'!H42+COUNTIF(H$8:H$38,$C42)</f>
        <v>1</v>
      </c>
      <c r="I42" s="59">
        <f>'21.09'!I42+COUNTIF(I$8:I$38,$C42)</f>
        <v>1</v>
      </c>
    </row>
    <row r="43" spans="1:9" s="19" customFormat="1" ht="20.25" x14ac:dyDescent="0.3">
      <c r="A43" s="18"/>
      <c r="B43" s="18"/>
      <c r="C43" s="58" t="str">
        <f>'01.09'!C42</f>
        <v>*Пр. Элективные дисциплины по ФКиС: Силовая подготовка*</v>
      </c>
      <c r="D43" s="60">
        <f>'21.09'!D43+COUNTIF(D$8:D$38,$C43)</f>
        <v>4</v>
      </c>
      <c r="E43" s="60">
        <f>'21.09'!E43+COUNTIF(E$8:E$38,$C43)</f>
        <v>4</v>
      </c>
      <c r="F43" s="59">
        <f>'21.09'!F43+COUNTIF(F$8:F$38,$C43)</f>
        <v>4</v>
      </c>
      <c r="G43" s="60">
        <f>'21.09'!G43+COUNTIF(G$8:G$38,$C43)</f>
        <v>6</v>
      </c>
      <c r="H43" s="60">
        <f>'21.09'!H43+COUNTIF(H$8:H$38,$C43)</f>
        <v>4</v>
      </c>
      <c r="I43" s="60">
        <f>'21.09'!I43+COUNTIF(I$8:I$38,$C43)</f>
        <v>4</v>
      </c>
    </row>
    <row r="44" spans="1:9" s="19" customFormat="1" ht="20.25" x14ac:dyDescent="0.3">
      <c r="A44" s="18"/>
      <c r="B44" s="18"/>
      <c r="C44" s="58" t="str">
        <f>'01.09'!C43</f>
        <v>*Л. Анатомия*</v>
      </c>
      <c r="D44" s="59">
        <f>'21.09'!D44+COUNTIF(D$8:D$38,$C44)</f>
        <v>4</v>
      </c>
      <c r="E44" s="59">
        <f>'21.09'!E44+COUNTIF(E$8:E$38,$C44)</f>
        <v>4</v>
      </c>
      <c r="F44" s="59">
        <f>'21.09'!F44+COUNTIF(F$8:F$38,$C44)</f>
        <v>4</v>
      </c>
      <c r="G44" s="59">
        <f>'21.09'!G44+COUNTIF(G$8:G$38,$C44)</f>
        <v>4</v>
      </c>
      <c r="H44" s="59">
        <f>'21.09'!H44+COUNTIF(H$8:H$38,$C44)</f>
        <v>4</v>
      </c>
      <c r="I44" s="59">
        <f>'21.09'!I44+COUNTIF(I$8:I$38,$C44)</f>
        <v>4</v>
      </c>
    </row>
    <row r="45" spans="1:9" s="19" customFormat="1" ht="20.25" x14ac:dyDescent="0.3">
      <c r="A45" s="18"/>
      <c r="B45" s="18"/>
      <c r="C45" s="58" t="str">
        <f>'01.09'!C44</f>
        <v>*Пр. Анатомия*</v>
      </c>
      <c r="D45" s="60">
        <f>'21.09'!D45+COUNTIF(D$8:D$38,$C45)</f>
        <v>0</v>
      </c>
      <c r="E45" s="60">
        <f>'21.09'!E45+COUNTIF(E$8:E$38,$C45)</f>
        <v>0</v>
      </c>
      <c r="F45" s="59">
        <f>'21.09'!F45+COUNTIF(F$8:F$38,$C45)</f>
        <v>0</v>
      </c>
      <c r="G45" s="60">
        <f>'21.09'!G45+COUNTIF(G$8:G$38,$C45)</f>
        <v>0</v>
      </c>
      <c r="H45" s="60">
        <f>'21.09'!H45+COUNTIF(H$8:H$38,$C45)</f>
        <v>0</v>
      </c>
      <c r="I45" s="60">
        <f>'21.09'!I45+COUNTIF(I$8:I$38,$C45)</f>
        <v>0</v>
      </c>
    </row>
    <row r="46" spans="1:9" s="19" customFormat="1" ht="20.25" x14ac:dyDescent="0.3">
      <c r="A46" s="18"/>
      <c r="B46" s="18"/>
      <c r="C46" s="58" t="str">
        <f>'01.09'!C45</f>
        <v>*Л. Теория и методика*</v>
      </c>
      <c r="D46" s="59">
        <f>'21.09'!D46+COUNTIF(D$8:D$38,$C46)</f>
        <v>2</v>
      </c>
      <c r="E46" s="59">
        <f>'21.09'!E46+COUNTIF(E$8:E$38,$C46)</f>
        <v>1</v>
      </c>
      <c r="F46" s="59">
        <f>'21.09'!F46+COUNTIF(F$8:F$38,$C46)</f>
        <v>1</v>
      </c>
      <c r="G46" s="59">
        <f>'21.09'!G46+COUNTIF(G$8:G$38,$C46)</f>
        <v>1</v>
      </c>
      <c r="H46" s="59">
        <f>'21.09'!H46+COUNTIF(H$8:H$38,$C46)</f>
        <v>1</v>
      </c>
      <c r="I46" s="59">
        <f>'21.09'!I46+COUNTIF(I$8:I$38,$C46)</f>
        <v>1</v>
      </c>
    </row>
    <row r="47" spans="1:9" s="19" customFormat="1" ht="20.25" x14ac:dyDescent="0.3">
      <c r="A47" s="18"/>
      <c r="B47" s="18"/>
      <c r="C47" s="58" t="str">
        <f>'01.09'!C46</f>
        <v>*Пр. Теория и методика*</v>
      </c>
      <c r="D47" s="60">
        <f>'21.09'!D47+COUNTIF(D$8:D$38,$C47)</f>
        <v>15</v>
      </c>
      <c r="E47" s="60">
        <f>'21.09'!E47+COUNTIF(E$8:E$38,$C47)</f>
        <v>14</v>
      </c>
      <c r="F47" s="59">
        <f>'21.09'!F47+COUNTIF(F$8:F$38,$C47)</f>
        <v>14</v>
      </c>
      <c r="G47" s="60">
        <f>'21.09'!G47+COUNTIF(G$8:G$38,$C47)</f>
        <v>14</v>
      </c>
      <c r="H47" s="60">
        <f>'21.09'!H47+COUNTIF(H$8:H$38,$C47)</f>
        <v>14</v>
      </c>
      <c r="I47" s="60">
        <f>'21.09'!I47+COUNTIF(I$8:I$38,$C47)</f>
        <v>14</v>
      </c>
    </row>
    <row r="48" spans="1:9" s="19" customFormat="1" ht="20.25" x14ac:dyDescent="0.3">
      <c r="A48" s="18"/>
      <c r="B48" s="18"/>
      <c r="C48" s="58" t="str">
        <f>'01.09'!C47</f>
        <v>*Л. Физическая культура и спорт*</v>
      </c>
      <c r="D48" s="59">
        <f>'21.09'!D48+COUNTIF(D$8:D$38,$C48)</f>
        <v>5</v>
      </c>
      <c r="E48" s="59">
        <f>'21.09'!E48+COUNTIF(E$8:E$38,$C48)</f>
        <v>5</v>
      </c>
      <c r="F48" s="59">
        <f>'21.09'!F48+COUNTIF(F$8:F$38,$C48)</f>
        <v>5</v>
      </c>
      <c r="G48" s="59">
        <f>'21.09'!G48+COUNTIF(G$8:G$38,$C48)</f>
        <v>5</v>
      </c>
      <c r="H48" s="59">
        <f>'21.09'!H48+COUNTIF(H$8:H$38,$C48)</f>
        <v>5</v>
      </c>
      <c r="I48" s="59">
        <f>'21.09'!I48+COUNTIF(I$8:I$38,$C48)</f>
        <v>5</v>
      </c>
    </row>
    <row r="49" spans="1:9" s="19" customFormat="1" ht="20.25" x14ac:dyDescent="0.3">
      <c r="A49" s="18"/>
      <c r="B49" s="18"/>
      <c r="C49" s="58" t="str">
        <f>'01.09'!C48</f>
        <v>*Пр. Физическая культура и спорт*</v>
      </c>
      <c r="D49" s="60">
        <f>'21.09'!D49+COUNTIF(D$8:D$38,$C49)</f>
        <v>1</v>
      </c>
      <c r="E49" s="60">
        <f>'21.09'!E49+COUNTIF(E$8:E$38,$C49)</f>
        <v>1</v>
      </c>
      <c r="F49" s="59">
        <f>'21.09'!F49+COUNTIF(F$8:F$38,$C49)</f>
        <v>1</v>
      </c>
      <c r="G49" s="60">
        <f>'21.09'!G49+COUNTIF(G$8:G$38,$C49)</f>
        <v>1</v>
      </c>
      <c r="H49" s="60">
        <f>'21.09'!H49+COUNTIF(H$8:H$38,$C49)</f>
        <v>1</v>
      </c>
      <c r="I49" s="60">
        <f>'21.09'!I49+COUNTIF(I$8:I$38,$C49)</f>
        <v>1</v>
      </c>
    </row>
    <row r="50" spans="1:9" s="19" customFormat="1" ht="20.25" x14ac:dyDescent="0.3">
      <c r="A50" s="18"/>
      <c r="B50" s="18"/>
      <c r="C50" s="58" t="str">
        <f>'01.09'!C49</f>
        <v>*Л. Информационные технологии*</v>
      </c>
      <c r="D50" s="59">
        <f>'21.09'!D50+COUNTIF(D$8:D$38,$C50)</f>
        <v>2</v>
      </c>
      <c r="E50" s="59">
        <f>'21.09'!E50+COUNTIF(E$8:E$38,$C50)</f>
        <v>2</v>
      </c>
      <c r="F50" s="59">
        <f>'21.09'!F50+COUNTIF(F$8:F$38,$C50)</f>
        <v>2</v>
      </c>
      <c r="G50" s="59">
        <f>'21.09'!G50+COUNTIF(G$8:G$38,$C50)</f>
        <v>2</v>
      </c>
      <c r="H50" s="59">
        <f>'21.09'!H50+COUNTIF(H$8:H$38,$C50)</f>
        <v>2</v>
      </c>
      <c r="I50" s="59">
        <f>'21.09'!I50+COUNTIF(I$8:I$38,$C50)</f>
        <v>2</v>
      </c>
    </row>
    <row r="51" spans="1:9" s="19" customFormat="1" ht="20.25" x14ac:dyDescent="0.3">
      <c r="A51" s="18"/>
      <c r="B51" s="18"/>
      <c r="C51" s="58" t="str">
        <f>'01.09'!C50</f>
        <v>*Пр. Информационные технологии*</v>
      </c>
      <c r="D51" s="60">
        <f>'21.09'!D51+COUNTIF(D$8:D$38,$C51)</f>
        <v>4</v>
      </c>
      <c r="E51" s="60">
        <f>'21.09'!E51+COUNTIF(E$8:E$38,$C51)</f>
        <v>4</v>
      </c>
      <c r="F51" s="59">
        <f>'21.09'!F51+COUNTIF(F$8:F$38,$C51)</f>
        <v>4</v>
      </c>
      <c r="G51" s="60">
        <f>'21.09'!G51+COUNTIF(G$8:G$38,$C51)</f>
        <v>4</v>
      </c>
      <c r="H51" s="60">
        <f>'21.09'!H51+COUNTIF(H$8:H$38,$C51)</f>
        <v>4</v>
      </c>
      <c r="I51" s="60">
        <f>'21.09'!I51+COUNTIF(I$8:I$38,$C51)</f>
        <v>4</v>
      </c>
    </row>
    <row r="52" spans="1:9" s="19" customFormat="1" ht="20.25" x14ac:dyDescent="0.3">
      <c r="A52" s="18"/>
      <c r="B52" s="18"/>
      <c r="C52" s="58" t="str">
        <f>'01.09'!C51</f>
        <v>*Л. Гимнастика*</v>
      </c>
      <c r="D52" s="59">
        <f>'21.09'!D52+COUNTIF(D$8:D$38,$C52)</f>
        <v>3</v>
      </c>
      <c r="E52" s="59">
        <f>'21.09'!E52+COUNTIF(E$8:E$38,$C52)</f>
        <v>3</v>
      </c>
      <c r="F52" s="59">
        <f>'21.09'!F52+COUNTIF(F$8:F$38,$C52)</f>
        <v>3</v>
      </c>
      <c r="G52" s="59">
        <f>'21.09'!G52+COUNTIF(G$8:G$38,$C52)</f>
        <v>3</v>
      </c>
      <c r="H52" s="59">
        <f>'21.09'!H52+COUNTIF(H$8:H$38,$C52)</f>
        <v>3</v>
      </c>
      <c r="I52" s="59">
        <f>'21.09'!I52+COUNTIF(I$8:I$38,$C52)</f>
        <v>3</v>
      </c>
    </row>
    <row r="53" spans="1:9" s="19" customFormat="1" ht="20.25" x14ac:dyDescent="0.3">
      <c r="A53" s="18"/>
      <c r="B53" s="18"/>
      <c r="C53" s="58" t="str">
        <f>'01.09'!C52</f>
        <v>*Пр. Гимнастика*</v>
      </c>
      <c r="D53" s="60">
        <f>'21.09'!D53+COUNTIF(D$8:D$38,$C53)</f>
        <v>4</v>
      </c>
      <c r="E53" s="60">
        <f>'21.09'!E53+COUNTIF(E$8:E$38,$C53)</f>
        <v>8</v>
      </c>
      <c r="F53" s="59">
        <f>'21.09'!F53+COUNTIF(F$8:F$38,$C53)</f>
        <v>5</v>
      </c>
      <c r="G53" s="60">
        <f>'21.09'!G53+COUNTIF(G$8:G$38,$C53)</f>
        <v>4</v>
      </c>
      <c r="H53" s="60">
        <f>'21.09'!H53+COUNTIF(H$8:H$38,$C53)</f>
        <v>8</v>
      </c>
      <c r="I53" s="60">
        <f>'21.09'!I53+COUNTIF(I$8:I$38,$C53)</f>
        <v>8</v>
      </c>
    </row>
    <row r="54" spans="1:9" s="19" customFormat="1" ht="20.25" x14ac:dyDescent="0.3">
      <c r="A54" s="18"/>
      <c r="B54" s="18"/>
      <c r="C54" s="58" t="str">
        <f>'01.09'!C53</f>
        <v>*Л. Волейбол*</v>
      </c>
      <c r="D54" s="59">
        <f>'21.09'!D54+COUNTIF(D$8:D$38,$C54)</f>
        <v>1</v>
      </c>
      <c r="E54" s="59">
        <f>'21.09'!E54+COUNTIF(E$8:E$38,$C54)</f>
        <v>1</v>
      </c>
      <c r="F54" s="59">
        <f>'21.09'!F54+COUNTIF(F$8:F$38,$C54)</f>
        <v>1</v>
      </c>
      <c r="G54" s="59">
        <f>'21.09'!G54+COUNTIF(G$8:G$38,$C54)</f>
        <v>1</v>
      </c>
      <c r="H54" s="59">
        <f>'21.09'!H54+COUNTIF(H$8:H$38,$C54)</f>
        <v>1</v>
      </c>
      <c r="I54" s="59">
        <f>'21.09'!I54+COUNTIF(I$8:I$38,$C54)</f>
        <v>1</v>
      </c>
    </row>
    <row r="55" spans="1:9" s="19" customFormat="1" ht="20.25" x14ac:dyDescent="0.3">
      <c r="A55" s="18"/>
      <c r="B55" s="18"/>
      <c r="C55" s="58" t="str">
        <f>'01.09'!C54</f>
        <v>*Пр. Волейбол*</v>
      </c>
      <c r="D55" s="60">
        <f>'21.09'!D55+COUNTIF(D$8:D$38,$C55)</f>
        <v>8</v>
      </c>
      <c r="E55" s="60">
        <f>'21.09'!E55+COUNTIF(E$8:E$38,$C55)</f>
        <v>8</v>
      </c>
      <c r="F55" s="59">
        <f>'21.09'!F55+COUNTIF(F$8:F$38,$C55)</f>
        <v>4</v>
      </c>
      <c r="G55" s="60">
        <f>'21.09'!G55+COUNTIF(G$8:G$38,$C55)</f>
        <v>4</v>
      </c>
      <c r="H55" s="60">
        <f>'21.09'!H55+COUNTIF(H$8:H$38,$C55)</f>
        <v>8</v>
      </c>
      <c r="I55" s="60">
        <f>'21.09'!I55+COUNTIF(I$8:I$38,$C55)</f>
        <v>8</v>
      </c>
    </row>
    <row r="56" spans="1:9" s="19" customFormat="1" ht="20.25" x14ac:dyDescent="0.3">
      <c r="A56" s="18"/>
      <c r="B56" s="18"/>
      <c r="C56" s="58" t="str">
        <f>'01.09'!C55</f>
        <v>*Л. Лыжные гонки*</v>
      </c>
      <c r="D56" s="59">
        <f>'21.09'!D56+COUNTIF(D$8:D$38,$C56)</f>
        <v>0</v>
      </c>
      <c r="E56" s="59">
        <f>'21.09'!E56+COUNTIF(E$8:E$38,$C56)</f>
        <v>0</v>
      </c>
      <c r="F56" s="59">
        <f>'21.09'!F56+COUNTIF(F$8:F$38,$C56)</f>
        <v>0</v>
      </c>
      <c r="G56" s="59">
        <f>'21.09'!G56+COUNTIF(G$8:G$38,$C56)</f>
        <v>0</v>
      </c>
      <c r="H56" s="59">
        <f>'21.09'!H56+COUNTIF(H$8:H$38,$C56)</f>
        <v>0</v>
      </c>
      <c r="I56" s="59">
        <f>'21.09'!I56+COUNTIF(I$8:I$38,$C56)</f>
        <v>0</v>
      </c>
    </row>
    <row r="57" spans="1:9" s="19" customFormat="1" ht="20.25" x14ac:dyDescent="0.3">
      <c r="A57" s="18"/>
      <c r="B57" s="18"/>
      <c r="C57" s="58" t="str">
        <f>'01.09'!C56</f>
        <v>*Пр. Лыжные гонки*</v>
      </c>
      <c r="D57" s="60">
        <f>'21.09'!D57+COUNTIF(D$8:D$38,$C57)</f>
        <v>0</v>
      </c>
      <c r="E57" s="60">
        <f>'21.09'!E57+COUNTIF(E$8:E$38,$C57)</f>
        <v>0</v>
      </c>
      <c r="F57" s="59">
        <f>'21.09'!F57+COUNTIF(F$8:F$38,$C57)</f>
        <v>0</v>
      </c>
      <c r="G57" s="60">
        <f>'21.09'!G57+COUNTIF(G$8:G$38,$C57)</f>
        <v>0</v>
      </c>
      <c r="H57" s="60">
        <f>'21.09'!H57+COUNTIF(H$8:H$38,$C57)</f>
        <v>0</v>
      </c>
      <c r="I57" s="60">
        <f>'21.09'!I57+COUNTIF(I$8:I$38,$C57)</f>
        <v>0</v>
      </c>
    </row>
    <row r="58" spans="1:9" s="19" customFormat="1" ht="20.25" x14ac:dyDescent="0.3">
      <c r="A58" s="18"/>
      <c r="B58" s="18"/>
      <c r="C58" s="58" t="str">
        <f>'01.09'!C57</f>
        <v>*Л. Использование электронной*</v>
      </c>
      <c r="D58" s="59">
        <f>'21.09'!D58+COUNTIF(D$8:D$38,$C58)</f>
        <v>1</v>
      </c>
      <c r="E58" s="59">
        <f>'21.09'!E58+COUNTIF(E$8:E$38,$C58)</f>
        <v>0</v>
      </c>
      <c r="F58" s="59">
        <f>'21.09'!F58+COUNTIF(F$8:F$38,$C58)</f>
        <v>0</v>
      </c>
      <c r="G58" s="59">
        <f>'21.09'!G58+COUNTIF(G$8:G$38,$C58)</f>
        <v>0</v>
      </c>
      <c r="H58" s="59">
        <f>'21.09'!H58+COUNTIF(H$8:H$38,$C58)</f>
        <v>0</v>
      </c>
      <c r="I58" s="59">
        <f>'21.09'!I58+COUNTIF(I$8:I$38,$C58)</f>
        <v>0</v>
      </c>
    </row>
    <row r="59" spans="1:9" s="19" customFormat="1" ht="20.25" x14ac:dyDescent="0.3">
      <c r="A59" s="18"/>
      <c r="B59" s="18"/>
      <c r="C59" s="58" t="str">
        <f>'01.09'!C58</f>
        <v>*Пр. Использование электронной*</v>
      </c>
      <c r="D59" s="60">
        <f>'21.09'!D59+COUNTIF(D$8:D$38,$C59)</f>
        <v>0</v>
      </c>
      <c r="E59" s="60">
        <f>'21.09'!E59+COUNTIF(E$8:E$38,$C59)</f>
        <v>0</v>
      </c>
      <c r="F59" s="59">
        <f>'21.09'!F59+COUNTIF(F$8:F$38,$C59)</f>
        <v>0</v>
      </c>
      <c r="G59" s="60">
        <f>'21.09'!G59+COUNTIF(G$8:G$38,$C59)</f>
        <v>2</v>
      </c>
      <c r="H59" s="60">
        <f>'21.09'!H59+COUNTIF(H$8:H$38,$C59)</f>
        <v>2</v>
      </c>
      <c r="I59" s="60">
        <f>'21.09'!I59+COUNTIF(I$8:I$38,$C59)</f>
        <v>0</v>
      </c>
    </row>
    <row r="60" spans="1:9" s="19" customFormat="1" ht="20.25" x14ac:dyDescent="0.3">
      <c r="A60" s="18"/>
      <c r="B60" s="18"/>
      <c r="C60" s="58" t="str">
        <f>'01.09'!C59</f>
        <v>*Пр. Иностранный язык*</v>
      </c>
      <c r="D60" s="59">
        <f>'21.09'!D60+COUNTIF(D$8:D$38,$C60)</f>
        <v>4</v>
      </c>
      <c r="E60" s="59">
        <f>'21.09'!E60+COUNTIF(E$8:E$38,$C60)</f>
        <v>4</v>
      </c>
      <c r="F60" s="59">
        <f>'21.09'!F60+COUNTIF(F$8:F$38,$C60)</f>
        <v>4</v>
      </c>
      <c r="G60" s="59">
        <f>'21.09'!G60+COUNTIF(G$8:G$38,$C60)</f>
        <v>4</v>
      </c>
      <c r="H60" s="59">
        <f>'21.09'!H60+COUNTIF(H$8:H$38,$C60)</f>
        <v>4</v>
      </c>
      <c r="I60" s="59">
        <f>'21.09'!I60+COUNTIF(I$8:I$38,$C60)</f>
        <v>4</v>
      </c>
    </row>
    <row r="61" spans="1:9" s="19" customFormat="1" ht="20.25" x14ac:dyDescent="0.3">
      <c r="A61" s="18"/>
      <c r="B61" s="18"/>
      <c r="C61" s="58" t="str">
        <f>'01.09'!C60</f>
        <v>*С1-04А-26*</v>
      </c>
      <c r="D61" s="59">
        <f>'21.09'!D61+COUNTIF(D$8:D$38,$C61)</f>
        <v>0</v>
      </c>
      <c r="E61" s="59">
        <f>'21.09'!E61+COUNTIF(E$8:E$38,$C61)</f>
        <v>0</v>
      </c>
      <c r="F61" s="59">
        <f>'21.09'!F61+COUNTIF(F$8:F$38,$C61)</f>
        <v>0</v>
      </c>
      <c r="G61" s="59">
        <f>'21.09'!G61+COUNTIF(G$8:G$38,$C61)</f>
        <v>4</v>
      </c>
      <c r="H61" s="59">
        <f>'21.09'!H61+COUNTIF(H$8:H$38,$C61)</f>
        <v>0</v>
      </c>
      <c r="I61" s="59">
        <f>'21.09'!I61+COUNTIF(I$8:I$38,$C61)</f>
        <v>0</v>
      </c>
    </row>
    <row r="62" spans="1:9" ht="20.25" x14ac:dyDescent="0.3">
      <c r="A62" s="2"/>
      <c r="B62" s="2"/>
      <c r="C62" s="58" t="str">
        <f>'01.09'!C61</f>
        <v>*С1-04Б-26*</v>
      </c>
      <c r="D62" s="59">
        <f>'21.09'!D62+COUNTIF(D$8:D$38,$C62)</f>
        <v>0</v>
      </c>
      <c r="E62" s="59">
        <f>'21.09'!E62+COUNTIF(E$8:E$38,$C62)</f>
        <v>0</v>
      </c>
      <c r="F62" s="59">
        <f>'21.09'!F62+COUNTIF(F$8:F$38,$C62)</f>
        <v>0</v>
      </c>
      <c r="G62" s="59">
        <f>'21.09'!G62+COUNTIF(G$8:G$38,$C62)</f>
        <v>4</v>
      </c>
      <c r="H62" s="59">
        <f>'21.09'!H62+COUNTIF(H$8:H$38,$C62)</f>
        <v>0</v>
      </c>
      <c r="I62" s="59">
        <f>'21.09'!I62+COUNTIF(I$8:I$38,$C62)</f>
        <v>0</v>
      </c>
    </row>
    <row r="63" spans="1:9" ht="20.25" x14ac:dyDescent="0.3">
      <c r="A63" s="2"/>
      <c r="B63" s="2"/>
      <c r="C63" s="58" t="str">
        <f>'01.09'!C62</f>
        <v>*С1-05А-26*</v>
      </c>
      <c r="D63" s="59">
        <f>'21.09'!D63+COUNTIF(D$8:D$38,$C63)</f>
        <v>0</v>
      </c>
      <c r="E63" s="59">
        <f>'21.09'!E63+COUNTIF(E$8:E$38,$C63)</f>
        <v>0</v>
      </c>
      <c r="F63" s="59">
        <f>'21.09'!F63+COUNTIF(F$8:F$38,$C63)</f>
        <v>0</v>
      </c>
      <c r="G63" s="59">
        <f>'21.09'!G63+COUNTIF(G$8:G$38,$C63)</f>
        <v>0</v>
      </c>
      <c r="H63" s="59">
        <f>'21.09'!H63+COUNTIF(H$8:H$38,$C63)</f>
        <v>0</v>
      </c>
      <c r="I63" s="59">
        <f>'21.09'!I63+COUNTIF(I$8:I$38,$C63)</f>
        <v>0</v>
      </c>
    </row>
    <row r="64" spans="1:9" ht="20.25" x14ac:dyDescent="0.3">
      <c r="A64" s="2"/>
      <c r="B64" s="2"/>
      <c r="C64" s="58" t="str">
        <f>'01.09'!C63</f>
        <v>*С1-05Б-26*</v>
      </c>
      <c r="D64" s="59">
        <f>'21.09'!D64+COUNTIF(D$8:D$38,$C64)</f>
        <v>0</v>
      </c>
      <c r="E64" s="59">
        <f>'21.09'!E64+COUNTIF(E$8:E$38,$C64)</f>
        <v>0</v>
      </c>
      <c r="F64" s="59">
        <f>'21.09'!F64+COUNTIF(F$8:F$38,$C64)</f>
        <v>0</v>
      </c>
      <c r="G64" s="59">
        <f>'21.09'!G64+COUNTIF(G$8:G$38,$C64)</f>
        <v>0</v>
      </c>
      <c r="H64" s="59">
        <f>'21.09'!H64+COUNTIF(H$8:H$38,$C64)</f>
        <v>0</v>
      </c>
      <c r="I64" s="59">
        <f>'21.09'!I64+COUNTIF(I$8:I$38,$C64)</f>
        <v>0</v>
      </c>
    </row>
    <row r="65" spans="1:9" ht="20.25" x14ac:dyDescent="0.3">
      <c r="A65" s="2"/>
      <c r="B65" s="2"/>
      <c r="C65" s="58">
        <f>'01.09'!C64</f>
        <v>0</v>
      </c>
      <c r="D65" s="59">
        <f>'21.09'!D65+COUNTIF(D$8:D$38,$C65)</f>
        <v>0</v>
      </c>
      <c r="E65" s="59">
        <f>'21.09'!E65+COUNTIF(E$8:E$38,$C65)</f>
        <v>0</v>
      </c>
      <c r="F65" s="59">
        <f>'21.09'!F65+COUNTIF(F$8:F$38,$C65)</f>
        <v>0</v>
      </c>
      <c r="G65" s="59">
        <f>'21.09'!G65+COUNTIF(G$8:G$38,$C65)</f>
        <v>0</v>
      </c>
      <c r="H65" s="59">
        <f>'21.09'!H65+COUNTIF(H$8:H$38,$C65)</f>
        <v>0</v>
      </c>
      <c r="I65" s="59">
        <f>'21.09'!I65+COUNTIF(I$8:I$38,$C65)</f>
        <v>0</v>
      </c>
    </row>
    <row r="66" spans="1:9" ht="20.25" x14ac:dyDescent="0.3">
      <c r="A66" s="2"/>
      <c r="B66" s="2"/>
      <c r="C66" s="58">
        <f>'01.09'!C65</f>
        <v>0</v>
      </c>
      <c r="D66" s="59">
        <f>'21.09'!D66+COUNTIF(D$8:D$38,$C66)</f>
        <v>0</v>
      </c>
      <c r="E66" s="59">
        <f>'21.09'!E66+COUNTIF(E$8:E$38,$C66)</f>
        <v>0</v>
      </c>
      <c r="F66" s="59">
        <f>'21.09'!F66+COUNTIF(F$8:F$38,$C66)</f>
        <v>0</v>
      </c>
      <c r="G66" s="59">
        <f>'21.09'!G66+COUNTIF(G$8:G$38,$C66)</f>
        <v>0</v>
      </c>
      <c r="H66" s="59">
        <f>'21.09'!H66+COUNTIF(H$8:H$38,$C66)</f>
        <v>0</v>
      </c>
      <c r="I66" s="59">
        <f>'21.09'!I66+COUNTIF(I$8:I$38,$C66)</f>
        <v>0</v>
      </c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</sheetData>
  <mergeCells count="20">
    <mergeCell ref="A34:A38"/>
    <mergeCell ref="B34:B38"/>
    <mergeCell ref="B13:B18"/>
    <mergeCell ref="A8:A12"/>
    <mergeCell ref="A13:A18"/>
    <mergeCell ref="A19:A23"/>
    <mergeCell ref="B8:B12"/>
    <mergeCell ref="A24:A28"/>
    <mergeCell ref="A29:A33"/>
    <mergeCell ref="B19:B23"/>
    <mergeCell ref="B24:B28"/>
    <mergeCell ref="B29:B33"/>
    <mergeCell ref="A6:A7"/>
    <mergeCell ref="C6:C7"/>
    <mergeCell ref="B6:B7"/>
    <mergeCell ref="B1:I1"/>
    <mergeCell ref="B2:I2"/>
    <mergeCell ref="B3:I3"/>
    <mergeCell ref="B4:I4"/>
    <mergeCell ref="A5:I5"/>
  </mergeCells>
  <phoneticPr fontId="3" type="noConversion"/>
  <pageMargins left="0" right="0" top="0" bottom="0" header="0" footer="0"/>
  <pageSetup paperSize="9" scale="26" fitToWidth="0" fitToHeight="0" orientation="portrait" r:id="rId1"/>
  <headerFooter alignWithMargins="0"/>
  <rowBreaks count="1" manualBreakCount="1">
    <brk id="39" max="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I72"/>
  <sheetViews>
    <sheetView tabSelected="1" view="pageBreakPreview" topLeftCell="A25" zoomScale="40" zoomScaleNormal="40" zoomScaleSheetLayoutView="40" zoomScalePageLayoutView="40" workbookViewId="0">
      <selection activeCell="E31" sqref="E31"/>
    </sheetView>
  </sheetViews>
  <sheetFormatPr defaultRowHeight="15" x14ac:dyDescent="0.25"/>
  <cols>
    <col min="1" max="2" width="4.42578125" customWidth="1"/>
    <col min="3" max="3" width="23.7109375" customWidth="1"/>
    <col min="4" max="9" width="58.140625" customWidth="1"/>
  </cols>
  <sheetData>
    <row r="1" spans="1:9" ht="28.5" customHeight="1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9" ht="28.5" customHeight="1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9" ht="36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9" ht="28.5" customHeight="1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9" ht="28.5" customHeight="1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9" ht="27.75" customHeight="1" thickBot="1" x14ac:dyDescent="0.3">
      <c r="A6" s="875" t="s">
        <v>54</v>
      </c>
      <c r="B6" s="875" t="s">
        <v>14</v>
      </c>
      <c r="C6" s="898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9" ht="93.75" thickBot="1" x14ac:dyDescent="0.3">
      <c r="A7" s="876"/>
      <c r="B7" s="876"/>
      <c r="C7" s="899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9" ht="98.25" customHeight="1" x14ac:dyDescent="0.25">
      <c r="A8" s="906" t="s">
        <v>0</v>
      </c>
      <c r="B8" s="908">
        <v>46300</v>
      </c>
      <c r="C8" s="462" t="s">
        <v>10</v>
      </c>
      <c r="D8" s="714" t="s">
        <v>236</v>
      </c>
      <c r="E8" s="715"/>
      <c r="F8" s="715"/>
      <c r="G8" s="715"/>
      <c r="H8" s="715"/>
      <c r="I8" s="716"/>
    </row>
    <row r="9" spans="1:9" ht="124.5" customHeight="1" x14ac:dyDescent="0.25">
      <c r="A9" s="907"/>
      <c r="B9" s="869"/>
      <c r="C9" s="463" t="s">
        <v>11</v>
      </c>
      <c r="D9" s="485" t="s">
        <v>264</v>
      </c>
      <c r="E9" s="416"/>
      <c r="F9" s="416"/>
      <c r="G9" s="416" t="s">
        <v>248</v>
      </c>
      <c r="H9" s="416" t="s">
        <v>246</v>
      </c>
      <c r="I9" s="717"/>
    </row>
    <row r="10" spans="1:9" ht="138.75" x14ac:dyDescent="0.25">
      <c r="A10" s="907"/>
      <c r="B10" s="869"/>
      <c r="C10" s="463" t="s">
        <v>12</v>
      </c>
      <c r="D10" s="485" t="s">
        <v>240</v>
      </c>
      <c r="E10" s="416" t="s">
        <v>236</v>
      </c>
      <c r="F10" s="416"/>
      <c r="G10" s="416" t="s">
        <v>251</v>
      </c>
      <c r="H10" s="718" t="s">
        <v>109</v>
      </c>
      <c r="I10" s="719" t="s">
        <v>243</v>
      </c>
    </row>
    <row r="11" spans="1:9" ht="123" customHeight="1" x14ac:dyDescent="0.25">
      <c r="A11" s="907"/>
      <c r="B11" s="869"/>
      <c r="C11" s="463" t="s">
        <v>13</v>
      </c>
      <c r="D11" s="485" t="s">
        <v>243</v>
      </c>
      <c r="E11" s="416" t="s">
        <v>264</v>
      </c>
      <c r="F11" s="416"/>
      <c r="G11" s="416" t="s">
        <v>295</v>
      </c>
      <c r="H11" s="718" t="s">
        <v>232</v>
      </c>
      <c r="I11" s="719" t="s">
        <v>236</v>
      </c>
    </row>
    <row r="12" spans="1:9" ht="27" thickBot="1" x14ac:dyDescent="0.3">
      <c r="A12" s="907"/>
      <c r="B12" s="869"/>
      <c r="C12" s="464" t="s">
        <v>15</v>
      </c>
      <c r="D12" s="720"/>
      <c r="E12" s="721"/>
      <c r="F12" s="721"/>
      <c r="G12" s="721"/>
      <c r="H12" s="721"/>
      <c r="I12" s="722"/>
    </row>
    <row r="13" spans="1:9" ht="138.75" x14ac:dyDescent="0.25">
      <c r="A13" s="906" t="s">
        <v>1</v>
      </c>
      <c r="B13" s="904">
        <f>B8+1</f>
        <v>46301</v>
      </c>
      <c r="C13" s="454" t="s">
        <v>10</v>
      </c>
      <c r="D13" s="392"/>
      <c r="E13" s="416"/>
      <c r="F13" s="384" t="s">
        <v>257</v>
      </c>
      <c r="G13" s="416" t="s">
        <v>230</v>
      </c>
      <c r="H13" s="718"/>
      <c r="I13" s="719" t="s">
        <v>311</v>
      </c>
    </row>
    <row r="14" spans="1:9" ht="111" x14ac:dyDescent="0.25">
      <c r="A14" s="907"/>
      <c r="B14" s="905"/>
      <c r="C14" s="459" t="s">
        <v>11</v>
      </c>
      <c r="D14" s="485" t="s">
        <v>261</v>
      </c>
      <c r="E14" s="416" t="s">
        <v>289</v>
      </c>
      <c r="F14" s="416" t="s">
        <v>258</v>
      </c>
      <c r="G14" s="416" t="s">
        <v>230</v>
      </c>
      <c r="H14" s="718" t="s">
        <v>342</v>
      </c>
      <c r="I14" s="719" t="s">
        <v>266</v>
      </c>
    </row>
    <row r="15" spans="1:9" ht="99" customHeight="1" x14ac:dyDescent="0.25">
      <c r="A15" s="907"/>
      <c r="B15" s="905"/>
      <c r="C15" s="459" t="s">
        <v>12</v>
      </c>
      <c r="D15" s="485" t="s">
        <v>318</v>
      </c>
      <c r="E15" s="718" t="s">
        <v>284</v>
      </c>
      <c r="F15" s="718" t="s">
        <v>236</v>
      </c>
      <c r="G15" s="718" t="s">
        <v>271</v>
      </c>
      <c r="H15" s="718" t="s">
        <v>249</v>
      </c>
      <c r="I15" s="460" t="s">
        <v>317</v>
      </c>
    </row>
    <row r="16" spans="1:9" ht="121.5" customHeight="1" x14ac:dyDescent="0.25">
      <c r="A16" s="907"/>
      <c r="B16" s="905"/>
      <c r="C16" s="459" t="s">
        <v>13</v>
      </c>
      <c r="D16" s="485" t="s">
        <v>319</v>
      </c>
      <c r="E16" s="718"/>
      <c r="F16" s="718" t="s">
        <v>249</v>
      </c>
      <c r="G16" s="718"/>
      <c r="H16" s="718" t="s">
        <v>313</v>
      </c>
      <c r="I16" s="719"/>
    </row>
    <row r="17" spans="1:9" ht="27.75" x14ac:dyDescent="0.25">
      <c r="A17" s="907"/>
      <c r="B17" s="905"/>
      <c r="C17" s="459" t="s">
        <v>15</v>
      </c>
      <c r="D17" s="492"/>
      <c r="E17" s="723"/>
      <c r="F17" s="723"/>
      <c r="G17" s="723"/>
      <c r="H17" s="723"/>
      <c r="I17" s="724"/>
    </row>
    <row r="18" spans="1:9" ht="28.5" thickBot="1" x14ac:dyDescent="0.3">
      <c r="A18" s="907"/>
      <c r="B18" s="905"/>
      <c r="C18" s="461" t="s">
        <v>64</v>
      </c>
      <c r="D18" s="725"/>
      <c r="E18" s="384"/>
      <c r="F18" s="726"/>
      <c r="G18" s="727"/>
      <c r="H18" s="727"/>
      <c r="I18" s="728"/>
    </row>
    <row r="19" spans="1:9" ht="120.75" customHeight="1" x14ac:dyDescent="0.25">
      <c r="A19" s="906" t="s">
        <v>2</v>
      </c>
      <c r="B19" s="903">
        <f>B13+1</f>
        <v>46302</v>
      </c>
      <c r="C19" s="465" t="s">
        <v>10</v>
      </c>
      <c r="D19" s="714"/>
      <c r="E19" s="715" t="s">
        <v>320</v>
      </c>
      <c r="F19" s="715"/>
      <c r="G19" s="715" t="s">
        <v>316</v>
      </c>
      <c r="H19" s="715" t="s">
        <v>246</v>
      </c>
      <c r="I19" s="716"/>
    </row>
    <row r="20" spans="1:9" ht="122.25" customHeight="1" x14ac:dyDescent="0.25">
      <c r="A20" s="907"/>
      <c r="B20" s="869"/>
      <c r="C20" s="466" t="s">
        <v>11</v>
      </c>
      <c r="D20" s="729" t="s">
        <v>247</v>
      </c>
      <c r="E20" s="718" t="s">
        <v>316</v>
      </c>
      <c r="F20" s="718" t="s">
        <v>321</v>
      </c>
      <c r="G20" s="416" t="s">
        <v>294</v>
      </c>
      <c r="H20" s="718" t="s">
        <v>242</v>
      </c>
      <c r="I20" s="719" t="s">
        <v>243</v>
      </c>
    </row>
    <row r="21" spans="1:9" ht="80.25" customHeight="1" x14ac:dyDescent="0.25">
      <c r="A21" s="907"/>
      <c r="B21" s="869"/>
      <c r="C21" s="466" t="s">
        <v>12</v>
      </c>
      <c r="D21" s="485" t="s">
        <v>243</v>
      </c>
      <c r="E21" s="416" t="s">
        <v>241</v>
      </c>
      <c r="F21" s="416" t="s">
        <v>334</v>
      </c>
      <c r="G21" s="718"/>
      <c r="H21" s="718"/>
      <c r="I21" s="719" t="s">
        <v>110</v>
      </c>
    </row>
    <row r="22" spans="1:9" ht="80.25" customHeight="1" x14ac:dyDescent="0.25">
      <c r="A22" s="907"/>
      <c r="B22" s="869"/>
      <c r="C22" s="466" t="s">
        <v>13</v>
      </c>
      <c r="D22" s="485" t="s">
        <v>334</v>
      </c>
      <c r="E22" s="416" t="s">
        <v>244</v>
      </c>
      <c r="F22" s="416" t="s">
        <v>240</v>
      </c>
      <c r="G22" s="718"/>
      <c r="H22" s="718"/>
      <c r="I22" s="719" t="s">
        <v>234</v>
      </c>
    </row>
    <row r="23" spans="1:9" ht="42.75" customHeight="1" thickBot="1" x14ac:dyDescent="0.3">
      <c r="A23" s="912"/>
      <c r="B23" s="869"/>
      <c r="C23" s="467" t="s">
        <v>15</v>
      </c>
      <c r="D23" s="730"/>
      <c r="E23" s="731"/>
      <c r="F23" s="731"/>
      <c r="G23" s="731"/>
      <c r="H23" s="731"/>
      <c r="I23" s="732"/>
    </row>
    <row r="24" spans="1:9" ht="27.75" x14ac:dyDescent="0.25">
      <c r="A24" s="909" t="s">
        <v>3</v>
      </c>
      <c r="B24" s="861">
        <f>B19+1</f>
        <v>46303</v>
      </c>
      <c r="C24" s="454" t="s">
        <v>10</v>
      </c>
      <c r="D24" s="714"/>
      <c r="E24" s="715"/>
      <c r="F24" s="715"/>
      <c r="G24" s="715"/>
      <c r="H24" s="715"/>
      <c r="I24" s="716"/>
    </row>
    <row r="25" spans="1:9" ht="120.75" customHeight="1" x14ac:dyDescent="0.25">
      <c r="A25" s="910"/>
      <c r="B25" s="862"/>
      <c r="C25" s="455" t="s">
        <v>11</v>
      </c>
      <c r="D25" s="729"/>
      <c r="E25" s="416" t="s">
        <v>248</v>
      </c>
      <c r="F25" s="718" t="s">
        <v>264</v>
      </c>
      <c r="G25" s="416" t="s">
        <v>276</v>
      </c>
      <c r="H25" s="718"/>
      <c r="I25" s="719" t="s">
        <v>319</v>
      </c>
    </row>
    <row r="26" spans="1:9" ht="124.5" customHeight="1" x14ac:dyDescent="0.25">
      <c r="A26" s="910"/>
      <c r="B26" s="862"/>
      <c r="C26" s="455" t="s">
        <v>12</v>
      </c>
      <c r="D26" s="485" t="s">
        <v>261</v>
      </c>
      <c r="E26" s="416" t="s">
        <v>260</v>
      </c>
      <c r="F26" s="416" t="s">
        <v>245</v>
      </c>
      <c r="G26" s="416" t="s">
        <v>265</v>
      </c>
      <c r="H26" s="718" t="s">
        <v>285</v>
      </c>
      <c r="I26" s="733" t="s">
        <v>264</v>
      </c>
    </row>
    <row r="27" spans="1:9" ht="138.75" x14ac:dyDescent="0.25">
      <c r="A27" s="910"/>
      <c r="B27" s="862"/>
      <c r="C27" s="455" t="s">
        <v>13</v>
      </c>
      <c r="D27" s="485" t="s">
        <v>261</v>
      </c>
      <c r="E27" s="416" t="s">
        <v>260</v>
      </c>
      <c r="F27" s="416" t="s">
        <v>258</v>
      </c>
      <c r="G27" s="416" t="s">
        <v>275</v>
      </c>
      <c r="H27" s="416" t="s">
        <v>251</v>
      </c>
      <c r="I27" s="719"/>
    </row>
    <row r="28" spans="1:9" ht="139.5" thickBot="1" x14ac:dyDescent="0.3">
      <c r="A28" s="911"/>
      <c r="B28" s="862"/>
      <c r="C28" s="457" t="s">
        <v>15</v>
      </c>
      <c r="D28" s="730"/>
      <c r="E28" s="731"/>
      <c r="F28" s="731"/>
      <c r="G28" s="731"/>
      <c r="H28" s="731" t="s">
        <v>322</v>
      </c>
      <c r="I28" s="732"/>
    </row>
    <row r="29" spans="1:9" ht="101.25" customHeight="1" x14ac:dyDescent="0.25">
      <c r="A29" s="906" t="s">
        <v>4</v>
      </c>
      <c r="B29" s="903">
        <f>B24+1</f>
        <v>46304</v>
      </c>
      <c r="C29" s="462" t="s">
        <v>10</v>
      </c>
      <c r="D29" s="714"/>
      <c r="E29" s="737" t="s">
        <v>335</v>
      </c>
      <c r="F29" s="343" t="s">
        <v>240</v>
      </c>
      <c r="G29" s="715"/>
      <c r="H29" s="715" t="s">
        <v>232</v>
      </c>
      <c r="I29" s="716" t="s">
        <v>249</v>
      </c>
    </row>
    <row r="30" spans="1:9" ht="112.5" customHeight="1" x14ac:dyDescent="0.25">
      <c r="A30" s="907"/>
      <c r="B30" s="869"/>
      <c r="C30" s="463" t="s">
        <v>11</v>
      </c>
      <c r="D30" s="729"/>
      <c r="E30" s="718" t="s">
        <v>244</v>
      </c>
      <c r="F30" s="718" t="s">
        <v>319</v>
      </c>
      <c r="G30" s="718"/>
      <c r="H30" s="718" t="s">
        <v>232</v>
      </c>
      <c r="I30" s="719" t="s">
        <v>323</v>
      </c>
    </row>
    <row r="31" spans="1:9" ht="176.25" customHeight="1" x14ac:dyDescent="0.25">
      <c r="A31" s="907"/>
      <c r="B31" s="869"/>
      <c r="C31" s="463" t="s">
        <v>12</v>
      </c>
      <c r="D31" s="729"/>
      <c r="E31" s="718"/>
      <c r="F31" s="718" t="s">
        <v>312</v>
      </c>
      <c r="G31" s="718" t="s">
        <v>325</v>
      </c>
      <c r="H31" s="718" t="s">
        <v>328</v>
      </c>
      <c r="I31" s="719" t="s">
        <v>324</v>
      </c>
    </row>
    <row r="32" spans="1:9" ht="111" x14ac:dyDescent="0.25">
      <c r="A32" s="907"/>
      <c r="B32" s="869"/>
      <c r="C32" s="463" t="s">
        <v>13</v>
      </c>
      <c r="D32" s="729"/>
      <c r="E32" s="718"/>
      <c r="F32" s="718"/>
      <c r="G32" s="718" t="s">
        <v>329</v>
      </c>
      <c r="H32" s="718" t="s">
        <v>330</v>
      </c>
      <c r="I32" s="719"/>
    </row>
    <row r="33" spans="1:9" ht="122.25" customHeight="1" thickBot="1" x14ac:dyDescent="0.3">
      <c r="A33" s="912"/>
      <c r="B33" s="869"/>
      <c r="C33" s="468" t="s">
        <v>15</v>
      </c>
      <c r="D33" s="734"/>
      <c r="E33" s="735"/>
      <c r="F33" s="735"/>
      <c r="G33" s="731" t="s">
        <v>331</v>
      </c>
      <c r="H33" s="712"/>
      <c r="I33" s="736"/>
    </row>
    <row r="34" spans="1:9" ht="31.5" customHeight="1" x14ac:dyDescent="0.25">
      <c r="A34" s="869" t="s">
        <v>47</v>
      </c>
      <c r="B34" s="903">
        <f>B29+1</f>
        <v>46305</v>
      </c>
      <c r="C34" s="469" t="s">
        <v>10</v>
      </c>
      <c r="D34" s="579"/>
      <c r="E34" s="580"/>
      <c r="F34" s="580"/>
      <c r="G34" s="580"/>
      <c r="H34" s="580"/>
      <c r="I34" s="581"/>
    </row>
    <row r="35" spans="1:9" ht="31.5" customHeight="1" x14ac:dyDescent="0.25">
      <c r="A35" s="869"/>
      <c r="B35" s="869"/>
      <c r="C35" s="466" t="s">
        <v>11</v>
      </c>
      <c r="D35" s="579"/>
      <c r="E35" s="580"/>
      <c r="F35" s="580"/>
      <c r="G35" s="580"/>
      <c r="H35" s="580"/>
      <c r="I35" s="581"/>
    </row>
    <row r="36" spans="1:9" ht="31.5" customHeight="1" x14ac:dyDescent="0.25">
      <c r="A36" s="869"/>
      <c r="B36" s="869"/>
      <c r="C36" s="466" t="s">
        <v>12</v>
      </c>
      <c r="D36" s="579"/>
      <c r="E36" s="580"/>
      <c r="F36" s="580"/>
      <c r="G36" s="580"/>
      <c r="H36" s="580"/>
      <c r="I36" s="581"/>
    </row>
    <row r="37" spans="1:9" ht="31.5" customHeight="1" x14ac:dyDescent="0.25">
      <c r="A37" s="869"/>
      <c r="B37" s="869"/>
      <c r="C37" s="466" t="s">
        <v>13</v>
      </c>
      <c r="D37" s="579"/>
      <c r="E37" s="580"/>
      <c r="F37" s="580"/>
      <c r="G37" s="580"/>
      <c r="H37" s="580"/>
      <c r="I37" s="581"/>
    </row>
    <row r="38" spans="1:9" ht="31.5" customHeight="1" thickBot="1" x14ac:dyDescent="0.3">
      <c r="A38" s="870"/>
      <c r="B38" s="870"/>
      <c r="C38" s="467" t="s">
        <v>15</v>
      </c>
      <c r="D38" s="582"/>
      <c r="E38" s="583"/>
      <c r="F38" s="583"/>
      <c r="G38" s="583"/>
      <c r="H38" s="583"/>
      <c r="I38" s="584"/>
    </row>
    <row r="39" spans="1:9" ht="30" customHeight="1" x14ac:dyDescent="0.45">
      <c r="A39" s="2"/>
      <c r="B39" s="2"/>
      <c r="C39" s="44"/>
      <c r="D39" s="166" t="s">
        <v>86</v>
      </c>
      <c r="E39" s="2"/>
      <c r="F39" s="2"/>
      <c r="G39" s="2"/>
      <c r="H39" s="2"/>
      <c r="I39" s="2"/>
    </row>
    <row r="40" spans="1:9" s="19" customFormat="1" ht="23.25" x14ac:dyDescent="0.35">
      <c r="A40" s="18"/>
      <c r="B40" s="18"/>
      <c r="C40" s="67" t="str">
        <f>'01.09'!C39</f>
        <v>*Л. Речевое общение в профессиональной деятельности*</v>
      </c>
      <c r="D40" s="68">
        <f>'28.09'!D40+COUNTIF(D$8:D$38,$C40)</f>
        <v>5</v>
      </c>
      <c r="E40" s="68">
        <f>'28.09'!E40+COUNTIF(E$8:E$38,$C40)</f>
        <v>5</v>
      </c>
      <c r="F40" s="68">
        <f>'28.09'!F40+COUNTIF(F$8:F$38,$C40)</f>
        <v>5</v>
      </c>
      <c r="G40" s="68">
        <f>'28.09'!G40+COUNTIF(G$8:G$38,$C40)</f>
        <v>5</v>
      </c>
      <c r="H40" s="68">
        <f>'28.09'!H40+COUNTIF(H$8:H$38,$C40)</f>
        <v>5</v>
      </c>
      <c r="I40" s="68">
        <f>'28.09'!I40+COUNTIF(I$8:I$38,$C40)</f>
        <v>5</v>
      </c>
    </row>
    <row r="41" spans="1:9" s="19" customFormat="1" ht="23.25" x14ac:dyDescent="0.35">
      <c r="A41" s="18"/>
      <c r="B41" s="18"/>
      <c r="C41" s="67" t="str">
        <f>'01.09'!C40</f>
        <v>*Пр. Речевое общение в профессиональной деятельности*</v>
      </c>
      <c r="D41" s="69">
        <f>'28.09'!D41+COUNTIF(D$8:D$38,$C41)</f>
        <v>1</v>
      </c>
      <c r="E41" s="69">
        <f>'28.09'!E41+COUNTIF(E$8:E$38,$C41)</f>
        <v>1</v>
      </c>
      <c r="F41" s="68">
        <f>'28.09'!F41+COUNTIF(F$8:F$38,$C41)</f>
        <v>1</v>
      </c>
      <c r="G41" s="69">
        <f>'28.09'!G41+COUNTIF(G$8:G$38,$C41)</f>
        <v>1</v>
      </c>
      <c r="H41" s="69">
        <f>'28.09'!H41+COUNTIF(H$8:H$38,$C41)</f>
        <v>1</v>
      </c>
      <c r="I41" s="69">
        <f>'28.09'!I41+COUNTIF(I$8:I$38,$C41)</f>
        <v>1</v>
      </c>
    </row>
    <row r="42" spans="1:9" s="19" customFormat="1" ht="23.25" x14ac:dyDescent="0.35">
      <c r="A42" s="18"/>
      <c r="B42" s="18"/>
      <c r="C42" s="67" t="str">
        <f>'01.09'!C41</f>
        <v>*Л. Элективные дисциплины по ФКиС: Силовая подготовка*</v>
      </c>
      <c r="D42" s="68">
        <f>'28.09'!D42+COUNTIF(D$8:D$38,$C42)</f>
        <v>1</v>
      </c>
      <c r="E42" s="68">
        <f>'28.09'!E42+COUNTIF(E$8:E$38,$C42)</f>
        <v>1</v>
      </c>
      <c r="F42" s="68">
        <f>'28.09'!F42+COUNTIF(F$8:F$38,$C42)</f>
        <v>1</v>
      </c>
      <c r="G42" s="68">
        <f>'28.09'!G42+COUNTIF(G$8:G$38,$C42)</f>
        <v>1</v>
      </c>
      <c r="H42" s="68">
        <f>'28.09'!H42+COUNTIF(H$8:H$38,$C42)</f>
        <v>1</v>
      </c>
      <c r="I42" s="68">
        <f>'28.09'!I42+COUNTIF(I$8:I$38,$C42)</f>
        <v>1</v>
      </c>
    </row>
    <row r="43" spans="1:9" s="19" customFormat="1" ht="23.25" x14ac:dyDescent="0.35">
      <c r="A43" s="18"/>
      <c r="B43" s="18"/>
      <c r="C43" s="67" t="str">
        <f>'01.09'!C42</f>
        <v>*Пр. Элективные дисциплины по ФКиС: Силовая подготовка*</v>
      </c>
      <c r="D43" s="69">
        <f>'28.09'!D43+COUNTIF(D$8:D$38,$C43)</f>
        <v>5</v>
      </c>
      <c r="E43" s="69">
        <f>'28.09'!E43+COUNTIF(E$8:E$38,$C43)</f>
        <v>5</v>
      </c>
      <c r="F43" s="68">
        <f>'28.09'!F43+COUNTIF(F$8:F$38,$C43)</f>
        <v>5</v>
      </c>
      <c r="G43" s="69">
        <f>'28.09'!G43+COUNTIF(G$8:G$38,$C43)</f>
        <v>7</v>
      </c>
      <c r="H43" s="69">
        <f>'28.09'!H43+COUNTIF(H$8:H$38,$C43)</f>
        <v>5</v>
      </c>
      <c r="I43" s="69">
        <f>'28.09'!I43+COUNTIF(I$8:I$38,$C43)</f>
        <v>5</v>
      </c>
    </row>
    <row r="44" spans="1:9" s="19" customFormat="1" ht="23.25" x14ac:dyDescent="0.35">
      <c r="A44" s="18"/>
      <c r="B44" s="18"/>
      <c r="C44" s="67" t="str">
        <f>'01.09'!C43</f>
        <v>*Л. Анатомия*</v>
      </c>
      <c r="D44" s="68">
        <f>'28.09'!D44+COUNTIF(D$8:D$38,$C44)</f>
        <v>4</v>
      </c>
      <c r="E44" s="68">
        <f>'28.09'!E44+COUNTIF(E$8:E$38,$C44)</f>
        <v>4</v>
      </c>
      <c r="F44" s="68">
        <f>'28.09'!F44+COUNTIF(F$8:F$38,$C44)</f>
        <v>4</v>
      </c>
      <c r="G44" s="68">
        <f>'28.09'!G44+COUNTIF(G$8:G$38,$C44)</f>
        <v>4</v>
      </c>
      <c r="H44" s="68">
        <f>'28.09'!H44+COUNTIF(H$8:H$38,$C44)</f>
        <v>4</v>
      </c>
      <c r="I44" s="68">
        <f>'28.09'!I44+COUNTIF(I$8:I$38,$C44)</f>
        <v>4</v>
      </c>
    </row>
    <row r="45" spans="1:9" s="19" customFormat="1" ht="23.25" x14ac:dyDescent="0.35">
      <c r="A45" s="18"/>
      <c r="B45" s="18"/>
      <c r="C45" s="67" t="str">
        <f>'01.09'!C44</f>
        <v>*Пр. Анатомия*</v>
      </c>
      <c r="D45" s="69">
        <f>'28.09'!D45+COUNTIF(D$8:D$38,$C45)</f>
        <v>1</v>
      </c>
      <c r="E45" s="69">
        <f>'28.09'!E45+COUNTIF(E$8:E$38,$C45)</f>
        <v>1</v>
      </c>
      <c r="F45" s="68">
        <f>'28.09'!F45+COUNTIF(F$8:F$38,$C45)</f>
        <v>1</v>
      </c>
      <c r="G45" s="69">
        <f>'28.09'!G45+COUNTIF(G$8:G$38,$C45)</f>
        <v>1</v>
      </c>
      <c r="H45" s="69">
        <f>'28.09'!H45+COUNTIF(H$8:H$38,$C45)</f>
        <v>1</v>
      </c>
      <c r="I45" s="69">
        <f>'28.09'!I45+COUNTIF(I$8:I$38,$C45)</f>
        <v>1</v>
      </c>
    </row>
    <row r="46" spans="1:9" s="19" customFormat="1" ht="23.25" x14ac:dyDescent="0.35">
      <c r="A46" s="18"/>
      <c r="B46" s="18"/>
      <c r="C46" s="67" t="str">
        <f>'01.09'!C45</f>
        <v>*Л. Теория и методика*</v>
      </c>
      <c r="D46" s="68">
        <f>'28.09'!D46+COUNTIF(D$8:D$38,$C46)</f>
        <v>2</v>
      </c>
      <c r="E46" s="68">
        <f>'28.09'!E46+COUNTIF(E$8:E$38,$C46)</f>
        <v>2</v>
      </c>
      <c r="F46" s="68">
        <f>'28.09'!F46+COUNTIF(F$8:F$38,$C46)</f>
        <v>2</v>
      </c>
      <c r="G46" s="68">
        <f>'28.09'!G46+COUNTIF(G$8:G$38,$C46)</f>
        <v>1</v>
      </c>
      <c r="H46" s="68">
        <f>'28.09'!H46+COUNTIF(H$8:H$38,$C46)</f>
        <v>2</v>
      </c>
      <c r="I46" s="68">
        <f>'28.09'!I46+COUNTIF(I$8:I$38,$C46)</f>
        <v>2</v>
      </c>
    </row>
    <row r="47" spans="1:9" s="19" customFormat="1" ht="23.25" x14ac:dyDescent="0.35">
      <c r="A47" s="18"/>
      <c r="B47" s="18"/>
      <c r="C47" s="67" t="str">
        <f>'01.09'!C46</f>
        <v>*Пр. Теория и методика*</v>
      </c>
      <c r="D47" s="69">
        <f>'28.09'!D47+COUNTIF(D$8:D$38,$C47)</f>
        <v>18</v>
      </c>
      <c r="E47" s="69">
        <f>'28.09'!E47+COUNTIF(E$8:E$38,$C47)</f>
        <v>16</v>
      </c>
      <c r="F47" s="68">
        <f>'28.09'!F47+COUNTIF(F$8:F$38,$C47)</f>
        <v>16</v>
      </c>
      <c r="G47" s="69">
        <f>'28.09'!G47+COUNTIF(G$8:G$38,$C47)</f>
        <v>17</v>
      </c>
      <c r="H47" s="69">
        <f>'28.09'!H47+COUNTIF(H$8:H$38,$C47)</f>
        <v>17</v>
      </c>
      <c r="I47" s="69">
        <f>'28.09'!I47+COUNTIF(I$8:I$38,$C47)</f>
        <v>15</v>
      </c>
    </row>
    <row r="48" spans="1:9" s="19" customFormat="1" ht="23.25" x14ac:dyDescent="0.35">
      <c r="A48" s="18"/>
      <c r="B48" s="18"/>
      <c r="C48" s="67" t="str">
        <f>'01.09'!C47</f>
        <v>*Л. Физическая культура и спорт*</v>
      </c>
      <c r="D48" s="68">
        <f>'28.09'!D48+COUNTIF(D$8:D$38,$C48)</f>
        <v>5</v>
      </c>
      <c r="E48" s="68">
        <f>'28.09'!E48+COUNTIF(E$8:E$38,$C48)</f>
        <v>5</v>
      </c>
      <c r="F48" s="68">
        <f>'28.09'!F48+COUNTIF(F$8:F$38,$C48)</f>
        <v>5</v>
      </c>
      <c r="G48" s="68">
        <f>'28.09'!G48+COUNTIF(G$8:G$38,$C48)</f>
        <v>5</v>
      </c>
      <c r="H48" s="68">
        <f>'28.09'!H48+COUNTIF(H$8:H$38,$C48)</f>
        <v>5</v>
      </c>
      <c r="I48" s="68">
        <f>'28.09'!I48+COUNTIF(I$8:I$38,$C48)</f>
        <v>5</v>
      </c>
    </row>
    <row r="49" spans="1:9" s="19" customFormat="1" ht="23.25" x14ac:dyDescent="0.35">
      <c r="A49" s="18"/>
      <c r="B49" s="18"/>
      <c r="C49" s="67" t="str">
        <f>'01.09'!C48</f>
        <v>*Пр. Физическая культура и спорт*</v>
      </c>
      <c r="D49" s="69">
        <f>'28.09'!D49+COUNTIF(D$8:D$38,$C49)</f>
        <v>2</v>
      </c>
      <c r="E49" s="69">
        <f>'28.09'!E49+COUNTIF(E$8:E$38,$C49)</f>
        <v>2</v>
      </c>
      <c r="F49" s="68">
        <f>'28.09'!F49+COUNTIF(F$8:F$38,$C49)</f>
        <v>2</v>
      </c>
      <c r="G49" s="69">
        <f>'28.09'!G49+COUNTIF(G$8:G$38,$C49)</f>
        <v>2</v>
      </c>
      <c r="H49" s="69">
        <f>'28.09'!H49+COUNTIF(H$8:H$38,$C49)</f>
        <v>2</v>
      </c>
      <c r="I49" s="69">
        <f>'28.09'!I49+COUNTIF(I$8:I$38,$C49)</f>
        <v>2</v>
      </c>
    </row>
    <row r="50" spans="1:9" s="19" customFormat="1" ht="23.25" x14ac:dyDescent="0.35">
      <c r="A50" s="18"/>
      <c r="B50" s="18"/>
      <c r="C50" s="67" t="str">
        <f>'01.09'!C49</f>
        <v>*Л. Информационные технологии*</v>
      </c>
      <c r="D50" s="68">
        <f>'28.09'!D50+COUNTIF(D$8:D$38,$C50)</f>
        <v>2</v>
      </c>
      <c r="E50" s="68">
        <f>'28.09'!E50+COUNTIF(E$8:E$38,$C50)</f>
        <v>2</v>
      </c>
      <c r="F50" s="68">
        <f>'28.09'!F50+COUNTIF(F$8:F$38,$C50)</f>
        <v>2</v>
      </c>
      <c r="G50" s="68">
        <f>'28.09'!G50+COUNTIF(G$8:G$38,$C50)</f>
        <v>2</v>
      </c>
      <c r="H50" s="68">
        <f>'28.09'!H50+COUNTIF(H$8:H$38,$C50)</f>
        <v>2</v>
      </c>
      <c r="I50" s="68">
        <f>'28.09'!I50+COUNTIF(I$8:I$38,$C50)</f>
        <v>2</v>
      </c>
    </row>
    <row r="51" spans="1:9" s="19" customFormat="1" ht="23.25" x14ac:dyDescent="0.35">
      <c r="A51" s="18"/>
      <c r="B51" s="18"/>
      <c r="C51" s="67" t="str">
        <f>'01.09'!C50</f>
        <v>*Пр. Информационные технологии*</v>
      </c>
      <c r="D51" s="69">
        <f>'28.09'!D51+COUNTIF(D$8:D$38,$C51)</f>
        <v>5</v>
      </c>
      <c r="E51" s="69">
        <f>'28.09'!E51+COUNTIF(E$8:E$38,$C51)</f>
        <v>5</v>
      </c>
      <c r="F51" s="68">
        <f>'28.09'!F51+COUNTIF(F$8:F$38,$C51)</f>
        <v>5</v>
      </c>
      <c r="G51" s="69">
        <f>'28.09'!G51+COUNTIF(G$8:G$38,$C51)</f>
        <v>5</v>
      </c>
      <c r="H51" s="69">
        <f>'28.09'!H51+COUNTIF(H$8:H$38,$C51)</f>
        <v>5</v>
      </c>
      <c r="I51" s="69">
        <f>'28.09'!I51+COUNTIF(I$8:I$38,$C51)</f>
        <v>5</v>
      </c>
    </row>
    <row r="52" spans="1:9" s="19" customFormat="1" ht="23.25" x14ac:dyDescent="0.35">
      <c r="A52" s="18"/>
      <c r="B52" s="18"/>
      <c r="C52" s="67" t="str">
        <f>'01.09'!C51</f>
        <v>*Л. Гимнастика*</v>
      </c>
      <c r="D52" s="68">
        <f>'28.09'!D52+COUNTIF(D$8:D$38,$C52)</f>
        <v>3</v>
      </c>
      <c r="E52" s="68">
        <f>'28.09'!E52+COUNTIF(E$8:E$38,$C52)</f>
        <v>3</v>
      </c>
      <c r="F52" s="68">
        <f>'28.09'!F52+COUNTIF(F$8:F$38,$C52)</f>
        <v>3</v>
      </c>
      <c r="G52" s="68">
        <f>'28.09'!G52+COUNTIF(G$8:G$38,$C52)</f>
        <v>3</v>
      </c>
      <c r="H52" s="68">
        <f>'28.09'!H52+COUNTIF(H$8:H$38,$C52)</f>
        <v>3</v>
      </c>
      <c r="I52" s="68">
        <f>'28.09'!I52+COUNTIF(I$8:I$38,$C52)</f>
        <v>3</v>
      </c>
    </row>
    <row r="53" spans="1:9" s="19" customFormat="1" ht="23.25" x14ac:dyDescent="0.35">
      <c r="A53" s="18"/>
      <c r="B53" s="18"/>
      <c r="C53" s="67" t="str">
        <f>'01.09'!C52</f>
        <v>*Пр. Гимнастика*</v>
      </c>
      <c r="D53" s="69">
        <f>'28.09'!D53+COUNTIF(D$8:D$38,$C53)</f>
        <v>5</v>
      </c>
      <c r="E53" s="69">
        <f>'28.09'!E53+COUNTIF(E$8:E$38,$C53)</f>
        <v>10</v>
      </c>
      <c r="F53" s="68">
        <f>'28.09'!F53+COUNTIF(F$8:F$38,$C53)</f>
        <v>7</v>
      </c>
      <c r="G53" s="69">
        <f>'28.09'!G53+COUNTIF(G$8:G$38,$C53)</f>
        <v>6</v>
      </c>
      <c r="H53" s="69">
        <f>'28.09'!H53+COUNTIF(H$8:H$38,$C53)</f>
        <v>10</v>
      </c>
      <c r="I53" s="69">
        <f>'28.09'!I53+COUNTIF(I$8:I$38,$C53)</f>
        <v>9</v>
      </c>
    </row>
    <row r="54" spans="1:9" s="19" customFormat="1" ht="23.25" x14ac:dyDescent="0.35">
      <c r="A54" s="18"/>
      <c r="B54" s="18"/>
      <c r="C54" s="67" t="str">
        <f>'01.09'!C53</f>
        <v>*Л. Волейбол*</v>
      </c>
      <c r="D54" s="68">
        <f>'28.09'!D54+COUNTIF(D$8:D$38,$C54)</f>
        <v>1</v>
      </c>
      <c r="E54" s="68">
        <f>'28.09'!E54+COUNTIF(E$8:E$38,$C54)</f>
        <v>1</v>
      </c>
      <c r="F54" s="68">
        <f>'28.09'!F54+COUNTIF(F$8:F$38,$C54)</f>
        <v>1</v>
      </c>
      <c r="G54" s="68">
        <f>'28.09'!G54+COUNTIF(G$8:G$38,$C54)</f>
        <v>1</v>
      </c>
      <c r="H54" s="68">
        <f>'28.09'!H54+COUNTIF(H$8:H$38,$C54)</f>
        <v>1</v>
      </c>
      <c r="I54" s="68">
        <f>'28.09'!I54+COUNTIF(I$8:I$38,$C54)</f>
        <v>1</v>
      </c>
    </row>
    <row r="55" spans="1:9" s="19" customFormat="1" ht="23.25" x14ac:dyDescent="0.35">
      <c r="A55" s="18"/>
      <c r="B55" s="18"/>
      <c r="C55" s="67" t="str">
        <f>'01.09'!C54</f>
        <v>*Пр. Волейбол*</v>
      </c>
      <c r="D55" s="69">
        <f>'28.09'!D55+COUNTIF(D$8:D$38,$C55)</f>
        <v>10</v>
      </c>
      <c r="E55" s="69">
        <f>'28.09'!E55+COUNTIF(E$8:E$38,$C55)</f>
        <v>10</v>
      </c>
      <c r="F55" s="68">
        <f>'28.09'!F55+COUNTIF(F$8:F$38,$C55)</f>
        <v>5</v>
      </c>
      <c r="G55" s="69">
        <f>'28.09'!G55+COUNTIF(G$8:G$38,$C55)</f>
        <v>5</v>
      </c>
      <c r="H55" s="69">
        <f>'28.09'!H55+COUNTIF(H$8:H$38,$C55)</f>
        <v>10</v>
      </c>
      <c r="I55" s="69">
        <f>'28.09'!I55+COUNTIF(I$8:I$38,$C55)</f>
        <v>10</v>
      </c>
    </row>
    <row r="56" spans="1:9" s="19" customFormat="1" ht="23.25" x14ac:dyDescent="0.35">
      <c r="A56" s="18"/>
      <c r="B56" s="18"/>
      <c r="C56" s="67" t="str">
        <f>'01.09'!C55</f>
        <v>*Л. Лыжные гонки*</v>
      </c>
      <c r="D56" s="68">
        <f>'28.09'!D56+COUNTIF(D$8:D$38,$C56)</f>
        <v>0</v>
      </c>
      <c r="E56" s="68">
        <f>'28.09'!E56+COUNTIF(E$8:E$38,$C56)</f>
        <v>0</v>
      </c>
      <c r="F56" s="68">
        <f>'28.09'!F56+COUNTIF(F$8:F$38,$C56)</f>
        <v>0</v>
      </c>
      <c r="G56" s="68">
        <f>'28.09'!G56+COUNTIF(G$8:G$38,$C56)</f>
        <v>0</v>
      </c>
      <c r="H56" s="68">
        <f>'28.09'!H56+COUNTIF(H$8:H$38,$C56)</f>
        <v>0</v>
      </c>
      <c r="I56" s="68">
        <f>'28.09'!I56+COUNTIF(I$8:I$38,$C56)</f>
        <v>0</v>
      </c>
    </row>
    <row r="57" spans="1:9" s="19" customFormat="1" ht="23.25" x14ac:dyDescent="0.35">
      <c r="A57" s="18"/>
      <c r="B57" s="18"/>
      <c r="C57" s="67" t="str">
        <f>'01.09'!C56</f>
        <v>*Пр. Лыжные гонки*</v>
      </c>
      <c r="D57" s="69">
        <f>'28.09'!D57+COUNTIF(D$8:D$38,$C57)</f>
        <v>0</v>
      </c>
      <c r="E57" s="69">
        <f>'28.09'!E57+COUNTIF(E$8:E$38,$C57)</f>
        <v>0</v>
      </c>
      <c r="F57" s="68">
        <f>'28.09'!F57+COUNTIF(F$8:F$38,$C57)</f>
        <v>0</v>
      </c>
      <c r="G57" s="69">
        <f>'28.09'!G57+COUNTIF(G$8:G$38,$C57)</f>
        <v>0</v>
      </c>
      <c r="H57" s="69">
        <f>'28.09'!H57+COUNTIF(H$8:H$38,$C57)</f>
        <v>0</v>
      </c>
      <c r="I57" s="69">
        <f>'28.09'!I57+COUNTIF(I$8:I$38,$C57)</f>
        <v>0</v>
      </c>
    </row>
    <row r="58" spans="1:9" s="19" customFormat="1" ht="23.25" x14ac:dyDescent="0.35">
      <c r="A58" s="18"/>
      <c r="B58" s="18"/>
      <c r="C58" s="67" t="str">
        <f>'01.09'!C57</f>
        <v>*Л. Использование электронной*</v>
      </c>
      <c r="D58" s="68">
        <f>'28.09'!D58+COUNTIF(D$8:D$38,$C58)</f>
        <v>1</v>
      </c>
      <c r="E58" s="68">
        <f>'28.09'!E58+COUNTIF(E$8:E$38,$C58)</f>
        <v>0</v>
      </c>
      <c r="F58" s="68">
        <f>'28.09'!F58+COUNTIF(F$8:F$38,$C58)</f>
        <v>0</v>
      </c>
      <c r="G58" s="68">
        <f>'28.09'!G58+COUNTIF(G$8:G$38,$C58)</f>
        <v>0</v>
      </c>
      <c r="H58" s="68">
        <f>'28.09'!H58+COUNTIF(H$8:H$38,$C58)</f>
        <v>0</v>
      </c>
      <c r="I58" s="68">
        <f>'28.09'!I58+COUNTIF(I$8:I$38,$C58)</f>
        <v>0</v>
      </c>
    </row>
    <row r="59" spans="1:9" s="19" customFormat="1" ht="23.25" x14ac:dyDescent="0.35">
      <c r="A59" s="18"/>
      <c r="B59" s="18"/>
      <c r="C59" s="67" t="str">
        <f>'01.09'!C58</f>
        <v>*Пр. Использование электронной*</v>
      </c>
      <c r="D59" s="69">
        <f>'28.09'!D59+COUNTIF(D$8:D$38,$C59)</f>
        <v>0</v>
      </c>
      <c r="E59" s="69">
        <f>'28.09'!E59+COUNTIF(E$8:E$38,$C59)</f>
        <v>0</v>
      </c>
      <c r="F59" s="68">
        <f>'28.09'!F59+COUNTIF(F$8:F$38,$C59)</f>
        <v>1</v>
      </c>
      <c r="G59" s="69">
        <f>'28.09'!G59+COUNTIF(G$8:G$38,$C59)</f>
        <v>2</v>
      </c>
      <c r="H59" s="69">
        <f>'28.09'!H59+COUNTIF(H$8:H$38,$C59)</f>
        <v>2</v>
      </c>
      <c r="I59" s="69">
        <f>'28.09'!I59+COUNTIF(I$8:I$38,$C59)</f>
        <v>2</v>
      </c>
    </row>
    <row r="60" spans="1:9" s="19" customFormat="1" ht="23.25" x14ac:dyDescent="0.35">
      <c r="A60" s="18"/>
      <c r="B60" s="18"/>
      <c r="C60" s="67" t="str">
        <f>'01.09'!C59</f>
        <v>*Пр. Иностранный язык*</v>
      </c>
      <c r="D60" s="68">
        <f>'28.09'!D60+COUNTIF(D$8:D$38,$C60)</f>
        <v>5</v>
      </c>
      <c r="E60" s="68">
        <f>'28.09'!E60+COUNTIF(E$8:E$38,$C60)</f>
        <v>5</v>
      </c>
      <c r="F60" s="68">
        <f>'28.09'!F60+COUNTIF(F$8:F$38,$C60)</f>
        <v>5</v>
      </c>
      <c r="G60" s="68">
        <f>'28.09'!G60+COUNTIF(G$8:G$38,$C60)</f>
        <v>5</v>
      </c>
      <c r="H60" s="68">
        <f>'28.09'!H60+COUNTIF(H$8:H$38,$C60)</f>
        <v>5</v>
      </c>
      <c r="I60" s="68">
        <f>'28.09'!I60+COUNTIF(I$8:I$38,$C60)</f>
        <v>5</v>
      </c>
    </row>
    <row r="61" spans="1:9" s="19" customFormat="1" ht="23.25" x14ac:dyDescent="0.35">
      <c r="A61" s="18"/>
      <c r="B61" s="18"/>
      <c r="C61" s="67" t="str">
        <f>'01.09'!C60</f>
        <v>*С1-04А-26*</v>
      </c>
      <c r="D61" s="68">
        <f>'28.09'!D61+COUNTIF(D$8:D$38,$C61)</f>
        <v>0</v>
      </c>
      <c r="E61" s="68">
        <f>'28.09'!E61+COUNTIF(E$8:E$38,$C61)</f>
        <v>0</v>
      </c>
      <c r="F61" s="68">
        <f>'28.09'!F61+COUNTIF(F$8:F$38,$C61)</f>
        <v>0</v>
      </c>
      <c r="G61" s="68">
        <f>'28.09'!G61+COUNTIF(G$8:G$38,$C61)</f>
        <v>8</v>
      </c>
      <c r="H61" s="68">
        <f>'28.09'!H61+COUNTIF(H$8:H$38,$C61)</f>
        <v>0</v>
      </c>
      <c r="I61" s="68">
        <f>'28.09'!I61+COUNTIF(I$8:I$38,$C61)</f>
        <v>0</v>
      </c>
    </row>
    <row r="62" spans="1:9" ht="23.25" x14ac:dyDescent="0.35">
      <c r="A62" s="2"/>
      <c r="B62" s="2"/>
      <c r="C62" s="67" t="str">
        <f>'01.09'!C61</f>
        <v>*С1-04Б-26*</v>
      </c>
      <c r="D62" s="68">
        <f>'28.09'!D62+COUNTIF(D$8:D$38,$C62)</f>
        <v>0</v>
      </c>
      <c r="E62" s="68">
        <f>'28.09'!E62+COUNTIF(E$8:E$38,$C62)</f>
        <v>0</v>
      </c>
      <c r="F62" s="68">
        <f>'28.09'!F62+COUNTIF(F$8:F$38,$C62)</f>
        <v>0</v>
      </c>
      <c r="G62" s="68">
        <f>'28.09'!G62+COUNTIF(G$8:G$38,$C62)</f>
        <v>8</v>
      </c>
      <c r="H62" s="68">
        <f>'28.09'!H62+COUNTIF(H$8:H$38,$C62)</f>
        <v>0</v>
      </c>
      <c r="I62" s="68">
        <f>'28.09'!I62+COUNTIF(I$8:I$38,$C62)</f>
        <v>0</v>
      </c>
    </row>
    <row r="63" spans="1:9" ht="23.25" x14ac:dyDescent="0.35">
      <c r="A63" s="2"/>
      <c r="B63" s="2"/>
      <c r="C63" s="67" t="str">
        <f>'01.09'!C62</f>
        <v>*С1-05А-26*</v>
      </c>
      <c r="D63" s="68">
        <f>'28.09'!D63+COUNTIF(D$8:D$38,$C63)</f>
        <v>0</v>
      </c>
      <c r="E63" s="68">
        <f>'28.09'!E63+COUNTIF(E$8:E$38,$C63)</f>
        <v>0</v>
      </c>
      <c r="F63" s="68">
        <f>'28.09'!F63+COUNTIF(F$8:F$38,$C63)</f>
        <v>0</v>
      </c>
      <c r="G63" s="68">
        <f>'28.09'!G63+COUNTIF(G$8:G$38,$C63)</f>
        <v>0</v>
      </c>
      <c r="H63" s="68">
        <f>'28.09'!H63+COUNTIF(H$8:H$38,$C63)</f>
        <v>2</v>
      </c>
      <c r="I63" s="68">
        <f>'28.09'!I63+COUNTIF(I$8:I$38,$C63)</f>
        <v>0</v>
      </c>
    </row>
    <row r="64" spans="1:9" ht="23.25" x14ac:dyDescent="0.35">
      <c r="A64" s="2"/>
      <c r="B64" s="2"/>
      <c r="C64" s="67" t="str">
        <f>'01.09'!C63</f>
        <v>*С1-05Б-26*</v>
      </c>
      <c r="D64" s="68">
        <f>'28.09'!D64+COUNTIF(D$8:D$38,$C64)</f>
        <v>0</v>
      </c>
      <c r="E64" s="68">
        <f>'28.09'!E64+COUNTIF(E$8:E$38,$C64)</f>
        <v>0</v>
      </c>
      <c r="F64" s="68">
        <f>'28.09'!F64+COUNTIF(F$8:F$38,$C64)</f>
        <v>0</v>
      </c>
      <c r="G64" s="68">
        <f>'28.09'!G64+COUNTIF(G$8:G$38,$C64)</f>
        <v>0</v>
      </c>
      <c r="H64" s="68">
        <f>'28.09'!H64+COUNTIF(H$8:H$38,$C64)</f>
        <v>2</v>
      </c>
      <c r="I64" s="68">
        <f>'28.09'!I64+COUNTIF(I$8:I$38,$C64)</f>
        <v>0</v>
      </c>
    </row>
    <row r="65" spans="1:9" ht="23.25" x14ac:dyDescent="0.35">
      <c r="A65" s="2"/>
      <c r="B65" s="2"/>
      <c r="C65" s="67">
        <f>'01.09'!C64</f>
        <v>0</v>
      </c>
      <c r="D65" s="68">
        <f>'28.09'!D65+COUNTIF(D$8:D$38,$C65)</f>
        <v>0</v>
      </c>
      <c r="E65" s="68">
        <f>'28.09'!E65+COUNTIF(E$8:E$38,$C65)</f>
        <v>0</v>
      </c>
      <c r="F65" s="68">
        <f>'28.09'!F65+COUNTIF(F$8:F$38,$C65)</f>
        <v>0</v>
      </c>
      <c r="G65" s="68">
        <f>'28.09'!G65+COUNTIF(G$8:G$38,$C65)</f>
        <v>0</v>
      </c>
      <c r="H65" s="68">
        <f>'28.09'!H65+COUNTIF(H$8:H$38,$C65)</f>
        <v>0</v>
      </c>
      <c r="I65" s="68">
        <f>'28.09'!I65+COUNTIF(I$8:I$38,$C65)</f>
        <v>0</v>
      </c>
    </row>
    <row r="66" spans="1:9" ht="23.25" x14ac:dyDescent="0.35">
      <c r="A66" s="2"/>
      <c r="B66" s="2"/>
      <c r="C66" s="67">
        <f>'01.09'!C65</f>
        <v>0</v>
      </c>
      <c r="D66" s="68">
        <f>'28.09'!D66+COUNTIF(D$8:D$38,$C66)</f>
        <v>0</v>
      </c>
      <c r="E66" s="68">
        <f>'28.09'!E66+COUNTIF(E$8:E$38,$C66)</f>
        <v>0</v>
      </c>
      <c r="F66" s="68">
        <f>'28.09'!F66+COUNTIF(F$8:F$38,$C66)</f>
        <v>0</v>
      </c>
      <c r="G66" s="68">
        <f>'28.09'!G66+COUNTIF(G$8:G$38,$C66)</f>
        <v>0</v>
      </c>
      <c r="H66" s="68">
        <f>'28.09'!H66+COUNTIF(H$8:H$38,$C66)</f>
        <v>0</v>
      </c>
      <c r="I66" s="68">
        <f>'28.09'!I66+COUNTIF(I$8:I$38,$C66)</f>
        <v>0</v>
      </c>
    </row>
    <row r="67" spans="1:9" ht="23.25" x14ac:dyDescent="0.35">
      <c r="A67" s="2"/>
      <c r="B67" s="2"/>
      <c r="C67" s="67">
        <f>'01.09'!C66</f>
        <v>0</v>
      </c>
      <c r="D67" s="68">
        <f>'28.09'!D67+COUNTIF(D$8:D$38,$C67)</f>
        <v>0</v>
      </c>
      <c r="E67" s="68">
        <f>'28.09'!E67+COUNTIF(E$8:E$38,$C67)</f>
        <v>0</v>
      </c>
      <c r="F67" s="68">
        <f>'28.09'!F67+COUNTIF(F$8:F$38,$C67)</f>
        <v>0</v>
      </c>
      <c r="G67" s="68">
        <f>'28.09'!G67+COUNTIF(G$8:G$38,$C67)</f>
        <v>0</v>
      </c>
      <c r="H67" s="68">
        <f>'28.09'!H67+COUNTIF(H$8:H$38,$C67)</f>
        <v>0</v>
      </c>
      <c r="I67" s="68">
        <f>'28.09'!I67+COUNTIF(I$8:I$38,$C67)</f>
        <v>0</v>
      </c>
    </row>
    <row r="68" spans="1:9" ht="23.25" x14ac:dyDescent="0.35">
      <c r="A68" s="2"/>
      <c r="B68" s="2"/>
      <c r="C68" s="67">
        <f>'01.09'!C67</f>
        <v>0</v>
      </c>
      <c r="D68" s="68">
        <f>'28.09'!D68+COUNTIF(D$8:D$38,$C68)</f>
        <v>0</v>
      </c>
      <c r="E68" s="68">
        <f>'28.09'!E68+COUNTIF(E$8:E$38,$C68)</f>
        <v>0</v>
      </c>
      <c r="F68" s="68">
        <f>'28.09'!F68+COUNTIF(F$8:F$38,$C68)</f>
        <v>0</v>
      </c>
      <c r="G68" s="68">
        <f>'28.09'!G68+COUNTIF(G$8:G$38,$C68)</f>
        <v>0</v>
      </c>
      <c r="H68" s="68">
        <f>'28.09'!H68+COUNTIF(H$8:H$38,$C68)</f>
        <v>0</v>
      </c>
      <c r="I68" s="68">
        <f>'28.09'!I68+COUNTIF(I$8:I$38,$C68)</f>
        <v>0</v>
      </c>
    </row>
    <row r="69" spans="1:9" ht="23.25" x14ac:dyDescent="0.35">
      <c r="A69" s="2"/>
      <c r="B69" s="2"/>
      <c r="C69" s="67">
        <f>'01.09'!C68</f>
        <v>0</v>
      </c>
      <c r="D69" s="68">
        <f>'28.09'!D69+COUNTIF(D$8:D$38,$C69)</f>
        <v>0</v>
      </c>
      <c r="E69" s="68">
        <f>'28.09'!E69+COUNTIF(E$8:E$38,$C69)</f>
        <v>0</v>
      </c>
      <c r="F69" s="68">
        <f>'28.09'!F69+COUNTIF(F$8:F$38,$C69)</f>
        <v>0</v>
      </c>
      <c r="G69" s="68">
        <f>'28.09'!G69+COUNTIF(G$8:G$38,$C69)</f>
        <v>0</v>
      </c>
      <c r="H69" s="68">
        <f>'28.09'!H69+COUNTIF(H$8:H$38,$C69)</f>
        <v>0</v>
      </c>
      <c r="I69" s="68">
        <f>'28.09'!I69+COUNTIF(I$8:I$38,$C69)</f>
        <v>0</v>
      </c>
    </row>
    <row r="70" spans="1:9" ht="23.25" x14ac:dyDescent="0.35">
      <c r="A70" s="2"/>
      <c r="B70" s="2"/>
      <c r="C70" s="67">
        <f>'01.09'!C69</f>
        <v>0</v>
      </c>
      <c r="D70" s="68">
        <f>'28.09'!D70+COUNTIF(D$8:D$38,$C70)</f>
        <v>0</v>
      </c>
      <c r="E70" s="68">
        <f>'28.09'!E70+COUNTIF(E$8:E$38,$C70)</f>
        <v>0</v>
      </c>
      <c r="F70" s="68">
        <f>'28.09'!F70+COUNTIF(F$8:F$38,$C70)</f>
        <v>0</v>
      </c>
      <c r="G70" s="68">
        <f>'28.09'!G70+COUNTIF(G$8:G$38,$C70)</f>
        <v>0</v>
      </c>
      <c r="H70" s="68">
        <f>'28.09'!H70+COUNTIF(H$8:H$38,$C70)</f>
        <v>0</v>
      </c>
      <c r="I70" s="68">
        <f>'28.09'!I70+COUNTIF(I$8:I$38,$C70)</f>
        <v>0</v>
      </c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</sheetData>
  <mergeCells count="20">
    <mergeCell ref="A34:A38"/>
    <mergeCell ref="B34:B38"/>
    <mergeCell ref="A8:A12"/>
    <mergeCell ref="A13:A18"/>
    <mergeCell ref="B8:B12"/>
    <mergeCell ref="B13:B18"/>
    <mergeCell ref="A24:A28"/>
    <mergeCell ref="A29:A33"/>
    <mergeCell ref="B19:B23"/>
    <mergeCell ref="B24:B28"/>
    <mergeCell ref="B29:B33"/>
    <mergeCell ref="A19:A23"/>
    <mergeCell ref="A6:A7"/>
    <mergeCell ref="C6:C7"/>
    <mergeCell ref="B6:B7"/>
    <mergeCell ref="B1:I1"/>
    <mergeCell ref="B2:I2"/>
    <mergeCell ref="B3:I3"/>
    <mergeCell ref="B4:I4"/>
    <mergeCell ref="A5:I5"/>
  </mergeCells>
  <phoneticPr fontId="3" type="noConversion"/>
  <pageMargins left="0" right="0" top="0" bottom="0" header="0" footer="0"/>
  <pageSetup paperSize="9" scale="26" fitToWidth="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K72"/>
  <sheetViews>
    <sheetView view="pageBreakPreview" topLeftCell="A10" zoomScale="40" zoomScaleNormal="40" zoomScaleSheetLayoutView="40" zoomScalePageLayoutView="40" workbookViewId="0">
      <selection activeCell="G16" sqref="G16"/>
    </sheetView>
  </sheetViews>
  <sheetFormatPr defaultRowHeight="15" x14ac:dyDescent="0.25"/>
  <cols>
    <col min="1" max="2" width="4.42578125" customWidth="1"/>
    <col min="3" max="3" width="22" customWidth="1"/>
    <col min="4" max="9" width="59" customWidth="1"/>
  </cols>
  <sheetData>
    <row r="1" spans="1:9" ht="25.9" customHeight="1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9" ht="25.5" customHeight="1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9" ht="31.5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9" ht="31.5" customHeight="1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9" ht="24.75" customHeight="1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9" ht="30.75" customHeight="1" thickBot="1" x14ac:dyDescent="0.3">
      <c r="A6" s="875" t="s">
        <v>54</v>
      </c>
      <c r="B6" s="875" t="s">
        <v>14</v>
      </c>
      <c r="C6" s="898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9" ht="100.5" customHeight="1" thickBot="1" x14ac:dyDescent="0.3">
      <c r="A7" s="876"/>
      <c r="B7" s="876"/>
      <c r="C7" s="899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9" ht="81.75" customHeight="1" x14ac:dyDescent="0.25">
      <c r="A8" s="909" t="s">
        <v>0</v>
      </c>
      <c r="B8" s="897">
        <v>46307</v>
      </c>
      <c r="C8" s="451" t="s">
        <v>10</v>
      </c>
      <c r="D8" s="690" t="s">
        <v>236</v>
      </c>
      <c r="E8" s="691"/>
      <c r="F8" s="691"/>
      <c r="G8" s="691"/>
      <c r="H8" s="691"/>
      <c r="I8" s="692"/>
    </row>
    <row r="9" spans="1:9" ht="144" customHeight="1" x14ac:dyDescent="0.25">
      <c r="A9" s="913"/>
      <c r="B9" s="862"/>
      <c r="C9" s="452" t="s">
        <v>11</v>
      </c>
      <c r="D9" s="354" t="s">
        <v>264</v>
      </c>
      <c r="E9" s="378" t="s">
        <v>336</v>
      </c>
      <c r="F9" s="378"/>
      <c r="G9" s="378" t="s">
        <v>248</v>
      </c>
      <c r="H9" s="378" t="s">
        <v>246</v>
      </c>
      <c r="I9" s="708"/>
    </row>
    <row r="10" spans="1:9" ht="141" customHeight="1" x14ac:dyDescent="0.25">
      <c r="A10" s="913"/>
      <c r="B10" s="862"/>
      <c r="C10" s="452" t="s">
        <v>12</v>
      </c>
      <c r="D10" s="354" t="s">
        <v>240</v>
      </c>
      <c r="E10" s="378" t="s">
        <v>236</v>
      </c>
      <c r="F10" s="378"/>
      <c r="G10" s="378" t="s">
        <v>251</v>
      </c>
      <c r="H10" s="694" t="s">
        <v>232</v>
      </c>
      <c r="I10" s="695" t="s">
        <v>243</v>
      </c>
    </row>
    <row r="11" spans="1:9" ht="123.75" customHeight="1" x14ac:dyDescent="0.25">
      <c r="A11" s="913"/>
      <c r="B11" s="862"/>
      <c r="C11" s="452" t="s">
        <v>13</v>
      </c>
      <c r="D11" s="354" t="s">
        <v>243</v>
      </c>
      <c r="E11" s="378" t="s">
        <v>264</v>
      </c>
      <c r="F11" s="378"/>
      <c r="G11" s="416" t="s">
        <v>295</v>
      </c>
      <c r="H11" s="694" t="s">
        <v>109</v>
      </c>
      <c r="I11" s="695" t="s">
        <v>236</v>
      </c>
    </row>
    <row r="12" spans="1:9" ht="32.25" customHeight="1" thickBot="1" x14ac:dyDescent="0.3">
      <c r="A12" s="913"/>
      <c r="B12" s="862"/>
      <c r="C12" s="453" t="s">
        <v>15</v>
      </c>
      <c r="D12" s="746"/>
      <c r="E12" s="747"/>
      <c r="F12" s="747"/>
      <c r="G12" s="747"/>
      <c r="H12" s="747"/>
      <c r="I12" s="748"/>
    </row>
    <row r="13" spans="1:9" ht="147.75" customHeight="1" x14ac:dyDescent="0.25">
      <c r="A13" s="909" t="s">
        <v>1</v>
      </c>
      <c r="B13" s="861">
        <f>B8+1</f>
        <v>46308</v>
      </c>
      <c r="C13" s="454" t="s">
        <v>10</v>
      </c>
      <c r="D13" s="439" t="s">
        <v>337</v>
      </c>
      <c r="E13" s="360" t="s">
        <v>286</v>
      </c>
      <c r="F13" s="349" t="s">
        <v>258</v>
      </c>
      <c r="G13" s="349" t="s">
        <v>138</v>
      </c>
      <c r="H13" s="501"/>
      <c r="I13" s="749"/>
    </row>
    <row r="14" spans="1:9" ht="115.5" customHeight="1" x14ac:dyDescent="0.25">
      <c r="A14" s="913"/>
      <c r="B14" s="862"/>
      <c r="C14" s="455" t="s">
        <v>11</v>
      </c>
      <c r="D14" s="353" t="s">
        <v>256</v>
      </c>
      <c r="E14" s="351" t="s">
        <v>260</v>
      </c>
      <c r="F14" s="351" t="s">
        <v>258</v>
      </c>
      <c r="G14" s="351" t="s">
        <v>230</v>
      </c>
      <c r="H14" s="432" t="s">
        <v>342</v>
      </c>
      <c r="I14" s="460" t="s">
        <v>266</v>
      </c>
    </row>
    <row r="15" spans="1:9" ht="125.25" customHeight="1" x14ac:dyDescent="0.25">
      <c r="A15" s="913"/>
      <c r="B15" s="862"/>
      <c r="C15" s="455" t="s">
        <v>12</v>
      </c>
      <c r="D15" s="353" t="s">
        <v>318</v>
      </c>
      <c r="E15" s="432" t="s">
        <v>319</v>
      </c>
      <c r="F15" s="444" t="s">
        <v>236</v>
      </c>
      <c r="G15" s="444" t="s">
        <v>271</v>
      </c>
      <c r="H15" s="432" t="s">
        <v>249</v>
      </c>
      <c r="I15" s="478" t="s">
        <v>316</v>
      </c>
    </row>
    <row r="16" spans="1:9" ht="122.25" customHeight="1" x14ac:dyDescent="0.25">
      <c r="A16" s="913"/>
      <c r="B16" s="862"/>
      <c r="C16" s="455" t="s">
        <v>13</v>
      </c>
      <c r="D16" s="353" t="s">
        <v>319</v>
      </c>
      <c r="E16" s="444"/>
      <c r="F16" s="444" t="s">
        <v>249</v>
      </c>
      <c r="G16" s="444"/>
      <c r="H16" s="432" t="s">
        <v>316</v>
      </c>
      <c r="I16" s="478"/>
    </row>
    <row r="17" spans="1:11" ht="27.75" x14ac:dyDescent="0.25">
      <c r="A17" s="450"/>
      <c r="B17" s="446"/>
      <c r="C17" s="459" t="s">
        <v>15</v>
      </c>
      <c r="D17" s="353"/>
      <c r="E17" s="444"/>
      <c r="F17" s="444"/>
      <c r="G17" s="444"/>
      <c r="H17" s="444"/>
      <c r="I17" s="460"/>
    </row>
    <row r="18" spans="1:11" ht="28.5" thickBot="1" x14ac:dyDescent="0.3">
      <c r="A18" s="386"/>
      <c r="B18" s="385"/>
      <c r="C18" s="457" t="s">
        <v>64</v>
      </c>
      <c r="D18" s="750"/>
      <c r="E18" s="471"/>
      <c r="F18" s="471"/>
      <c r="G18" s="751"/>
      <c r="H18" s="751"/>
      <c r="I18" s="752"/>
    </row>
    <row r="19" spans="1:11" ht="81.75" customHeight="1" x14ac:dyDescent="0.25">
      <c r="A19" s="909" t="s">
        <v>2</v>
      </c>
      <c r="B19" s="861">
        <f>B13+1</f>
        <v>46309</v>
      </c>
      <c r="C19" s="451" t="s">
        <v>10</v>
      </c>
      <c r="D19" s="693"/>
      <c r="E19" s="718"/>
      <c r="F19" s="694"/>
      <c r="G19" s="694" t="s">
        <v>316</v>
      </c>
      <c r="H19" s="694" t="s">
        <v>246</v>
      </c>
      <c r="I19" s="695"/>
    </row>
    <row r="20" spans="1:11" ht="125.25" customHeight="1" x14ac:dyDescent="0.25">
      <c r="A20" s="913"/>
      <c r="B20" s="862"/>
      <c r="C20" s="452" t="s">
        <v>11</v>
      </c>
      <c r="D20" s="693" t="s">
        <v>247</v>
      </c>
      <c r="E20" s="694" t="s">
        <v>316</v>
      </c>
      <c r="F20" s="694" t="s">
        <v>321</v>
      </c>
      <c r="G20" s="416" t="s">
        <v>345</v>
      </c>
      <c r="H20" s="694" t="s">
        <v>242</v>
      </c>
      <c r="I20" s="695" t="s">
        <v>243</v>
      </c>
    </row>
    <row r="21" spans="1:11" ht="96.75" customHeight="1" x14ac:dyDescent="0.25">
      <c r="A21" s="913"/>
      <c r="B21" s="862"/>
      <c r="C21" s="452" t="s">
        <v>12</v>
      </c>
      <c r="D21" s="354" t="s">
        <v>243</v>
      </c>
      <c r="E21" s="378" t="s">
        <v>241</v>
      </c>
      <c r="F21" s="378" t="s">
        <v>334</v>
      </c>
      <c r="G21" s="694"/>
      <c r="H21" s="694"/>
      <c r="I21" s="695" t="s">
        <v>234</v>
      </c>
      <c r="K21" s="3"/>
    </row>
    <row r="22" spans="1:11" ht="81.75" customHeight="1" x14ac:dyDescent="0.25">
      <c r="A22" s="913"/>
      <c r="B22" s="862"/>
      <c r="C22" s="452" t="s">
        <v>13</v>
      </c>
      <c r="D22" s="354" t="s">
        <v>334</v>
      </c>
      <c r="E22" s="378" t="s">
        <v>244</v>
      </c>
      <c r="F22" s="378" t="s">
        <v>240</v>
      </c>
      <c r="G22" s="694"/>
      <c r="H22" s="694"/>
      <c r="I22" s="695" t="s">
        <v>234</v>
      </c>
    </row>
    <row r="23" spans="1:11" ht="81.75" customHeight="1" thickBot="1" x14ac:dyDescent="0.3">
      <c r="A23" s="915"/>
      <c r="B23" s="862"/>
      <c r="C23" s="453" t="s">
        <v>15</v>
      </c>
      <c r="D23" s="738"/>
      <c r="E23" s="709"/>
      <c r="F23" s="709"/>
      <c r="G23" s="709"/>
      <c r="H23" s="709"/>
      <c r="I23" s="710"/>
    </row>
    <row r="24" spans="1:11" ht="27.75" x14ac:dyDescent="0.25">
      <c r="A24" s="909" t="s">
        <v>3</v>
      </c>
      <c r="B24" s="861">
        <f>B19+1</f>
        <v>46310</v>
      </c>
      <c r="C24" s="454" t="s">
        <v>10</v>
      </c>
      <c r="D24" s="714"/>
      <c r="E24" s="343"/>
      <c r="F24" s="343"/>
      <c r="G24" s="343"/>
      <c r="H24" s="343"/>
      <c r="I24" s="591"/>
    </row>
    <row r="25" spans="1:11" ht="111" x14ac:dyDescent="0.25">
      <c r="A25" s="910"/>
      <c r="B25" s="862"/>
      <c r="C25" s="455" t="s">
        <v>11</v>
      </c>
      <c r="D25" s="590"/>
      <c r="E25" s="361" t="s">
        <v>248</v>
      </c>
      <c r="F25" s="432" t="s">
        <v>264</v>
      </c>
      <c r="G25" s="361" t="s">
        <v>290</v>
      </c>
      <c r="H25" s="432"/>
      <c r="I25" s="695" t="s">
        <v>319</v>
      </c>
    </row>
    <row r="26" spans="1:11" ht="128.25" customHeight="1" x14ac:dyDescent="0.25">
      <c r="A26" s="910"/>
      <c r="B26" s="862"/>
      <c r="C26" s="455" t="s">
        <v>12</v>
      </c>
      <c r="D26" s="485" t="s">
        <v>261</v>
      </c>
      <c r="E26" s="361" t="s">
        <v>260</v>
      </c>
      <c r="F26" s="361" t="s">
        <v>245</v>
      </c>
      <c r="G26" s="361" t="s">
        <v>265</v>
      </c>
      <c r="H26" s="432" t="s">
        <v>338</v>
      </c>
      <c r="I26" s="388" t="s">
        <v>264</v>
      </c>
    </row>
    <row r="27" spans="1:11" ht="138.75" x14ac:dyDescent="0.25">
      <c r="A27" s="910"/>
      <c r="B27" s="862"/>
      <c r="C27" s="455" t="s">
        <v>13</v>
      </c>
      <c r="D27" s="392" t="s">
        <v>261</v>
      </c>
      <c r="E27" s="361" t="s">
        <v>289</v>
      </c>
      <c r="F27" s="361" t="s">
        <v>257</v>
      </c>
      <c r="G27" s="361" t="s">
        <v>291</v>
      </c>
      <c r="H27" s="361" t="s">
        <v>251</v>
      </c>
      <c r="I27" s="478"/>
    </row>
    <row r="28" spans="1:11" ht="28.5" thickBot="1" x14ac:dyDescent="0.3">
      <c r="A28" s="911"/>
      <c r="B28" s="862"/>
      <c r="C28" s="457" t="s">
        <v>15</v>
      </c>
      <c r="D28" s="740"/>
      <c r="E28" s="739"/>
      <c r="F28" s="739"/>
      <c r="G28" s="739"/>
      <c r="H28" s="739"/>
      <c r="I28" s="741"/>
    </row>
    <row r="29" spans="1:11" ht="83.25" x14ac:dyDescent="0.25">
      <c r="A29" s="909" t="s">
        <v>4</v>
      </c>
      <c r="B29" s="861">
        <f>B24+1</f>
        <v>46311</v>
      </c>
      <c r="C29" s="451" t="s">
        <v>10</v>
      </c>
      <c r="D29" s="690"/>
      <c r="E29" s="737" t="s">
        <v>335</v>
      </c>
      <c r="F29" s="501" t="s">
        <v>240</v>
      </c>
      <c r="G29" s="691"/>
      <c r="H29" s="691" t="s">
        <v>232</v>
      </c>
      <c r="I29" s="692" t="s">
        <v>249</v>
      </c>
    </row>
    <row r="30" spans="1:11" ht="111" x14ac:dyDescent="0.25">
      <c r="A30" s="913"/>
      <c r="B30" s="862"/>
      <c r="C30" s="452" t="s">
        <v>11</v>
      </c>
      <c r="D30" s="693"/>
      <c r="E30" s="694" t="s">
        <v>244</v>
      </c>
      <c r="F30" s="694" t="s">
        <v>319</v>
      </c>
      <c r="G30" s="694"/>
      <c r="H30" s="694" t="s">
        <v>232</v>
      </c>
      <c r="I30" s="695" t="s">
        <v>323</v>
      </c>
    </row>
    <row r="31" spans="1:11" ht="166.5" x14ac:dyDescent="0.25">
      <c r="A31" s="913"/>
      <c r="B31" s="862"/>
      <c r="C31" s="452" t="s">
        <v>12</v>
      </c>
      <c r="D31" s="693"/>
      <c r="E31" s="694"/>
      <c r="F31" s="694" t="s">
        <v>340</v>
      </c>
      <c r="G31" s="718" t="s">
        <v>346</v>
      </c>
      <c r="H31" s="718" t="s">
        <v>326</v>
      </c>
      <c r="I31" s="695"/>
    </row>
    <row r="32" spans="1:11" ht="111" x14ac:dyDescent="0.25">
      <c r="A32" s="913"/>
      <c r="B32" s="862"/>
      <c r="C32" s="452" t="s">
        <v>13</v>
      </c>
      <c r="D32" s="693"/>
      <c r="E32" s="694"/>
      <c r="F32" s="694"/>
      <c r="G32" s="718" t="s">
        <v>329</v>
      </c>
      <c r="H32" s="718" t="s">
        <v>332</v>
      </c>
      <c r="I32" s="695"/>
    </row>
    <row r="33" spans="1:9" ht="111.75" thickBot="1" x14ac:dyDescent="0.3">
      <c r="A33" s="915"/>
      <c r="B33" s="862"/>
      <c r="C33" s="453" t="s">
        <v>15</v>
      </c>
      <c r="D33" s="711"/>
      <c r="E33" s="712"/>
      <c r="F33" s="712"/>
      <c r="G33" s="731" t="s">
        <v>331</v>
      </c>
      <c r="H33" s="712"/>
      <c r="I33" s="713"/>
    </row>
    <row r="34" spans="1:9" ht="40.5" customHeight="1" x14ac:dyDescent="0.25">
      <c r="A34" s="828" t="s">
        <v>47</v>
      </c>
      <c r="B34" s="914">
        <f>B29+1</f>
        <v>46312</v>
      </c>
      <c r="C34" s="445" t="s">
        <v>10</v>
      </c>
      <c r="D34" s="579"/>
      <c r="E34" s="580"/>
      <c r="F34" s="580"/>
      <c r="G34" s="580"/>
      <c r="H34" s="580"/>
      <c r="I34" s="581"/>
    </row>
    <row r="35" spans="1:9" ht="40.5" customHeight="1" x14ac:dyDescent="0.25">
      <c r="A35" s="828"/>
      <c r="B35" s="828"/>
      <c r="C35" s="470" t="s">
        <v>11</v>
      </c>
      <c r="D35" s="579"/>
      <c r="E35" s="580"/>
      <c r="F35" s="580"/>
      <c r="G35" s="580"/>
      <c r="H35" s="580"/>
      <c r="I35" s="581"/>
    </row>
    <row r="36" spans="1:9" ht="40.5" customHeight="1" x14ac:dyDescent="0.25">
      <c r="A36" s="828"/>
      <c r="B36" s="828"/>
      <c r="C36" s="470" t="s">
        <v>12</v>
      </c>
      <c r="D36" s="579"/>
      <c r="E36" s="580"/>
      <c r="F36" s="580"/>
      <c r="G36" s="580"/>
      <c r="H36" s="580"/>
      <c r="I36" s="581"/>
    </row>
    <row r="37" spans="1:9" ht="40.5" customHeight="1" x14ac:dyDescent="0.25">
      <c r="A37" s="828"/>
      <c r="B37" s="828"/>
      <c r="C37" s="470" t="s">
        <v>13</v>
      </c>
      <c r="D37" s="579"/>
      <c r="E37" s="580"/>
      <c r="F37" s="580"/>
      <c r="G37" s="580"/>
      <c r="H37" s="580"/>
      <c r="I37" s="581"/>
    </row>
    <row r="38" spans="1:9" ht="40.5" customHeight="1" thickBot="1" x14ac:dyDescent="0.3">
      <c r="A38" s="829"/>
      <c r="B38" s="829"/>
      <c r="C38" s="447" t="s">
        <v>15</v>
      </c>
      <c r="D38" s="582"/>
      <c r="E38" s="583"/>
      <c r="F38" s="583"/>
      <c r="G38" s="583"/>
      <c r="H38" s="583"/>
      <c r="I38" s="584"/>
    </row>
    <row r="39" spans="1:9" ht="32.25" customHeight="1" x14ac:dyDescent="0.45">
      <c r="A39" s="2"/>
      <c r="B39" s="2"/>
      <c r="C39" s="2"/>
      <c r="D39" s="166" t="s">
        <v>86</v>
      </c>
      <c r="E39" s="2"/>
      <c r="F39" s="2"/>
      <c r="G39" s="2"/>
      <c r="H39" s="2"/>
      <c r="I39" s="2"/>
    </row>
    <row r="40" spans="1:9" s="19" customFormat="1" ht="23.25" x14ac:dyDescent="0.35">
      <c r="A40" s="18"/>
      <c r="B40" s="18"/>
      <c r="C40" s="67" t="str">
        <f>'01.09'!C39</f>
        <v>*Л. Речевое общение в профессиональной деятельности*</v>
      </c>
      <c r="D40" s="68">
        <f>'05.10'!D40+COUNTIF(D$8:D$38,$C40)</f>
        <v>5</v>
      </c>
      <c r="E40" s="68">
        <f>'05.10'!E40+COUNTIF(E$8:E$38,$C40)</f>
        <v>5</v>
      </c>
      <c r="F40" s="68">
        <f>'05.10'!F40+COUNTIF(F$8:F$38,$C40)</f>
        <v>5</v>
      </c>
      <c r="G40" s="68">
        <f>'05.10'!G40+COUNTIF(G$8:G$38,$C40)</f>
        <v>5</v>
      </c>
      <c r="H40" s="68">
        <f>'05.10'!H40+COUNTIF(H$8:H$38,$C40)</f>
        <v>5</v>
      </c>
      <c r="I40" s="68">
        <f>'05.10'!I40+COUNTIF(I$8:I$38,$C40)</f>
        <v>5</v>
      </c>
    </row>
    <row r="41" spans="1:9" s="19" customFormat="1" ht="23.25" x14ac:dyDescent="0.35">
      <c r="A41" s="18"/>
      <c r="B41" s="18"/>
      <c r="C41" s="67" t="str">
        <f>'01.09'!C40</f>
        <v>*Пр. Речевое общение в профессиональной деятельности*</v>
      </c>
      <c r="D41" s="68">
        <f>'05.10'!D41+COUNTIF(D$8:D$38,$C41)</f>
        <v>2</v>
      </c>
      <c r="E41" s="68">
        <f>'05.10'!E41+COUNTIF(E$8:E$38,$C41)</f>
        <v>2</v>
      </c>
      <c r="F41" s="68">
        <f>'05.10'!F41+COUNTIF(F$8:F$38,$C41)</f>
        <v>2</v>
      </c>
      <c r="G41" s="68">
        <f>'05.10'!G41+COUNTIF(G$8:G$38,$C41)</f>
        <v>2</v>
      </c>
      <c r="H41" s="68">
        <f>'05.10'!H41+COUNTIF(H$8:H$38,$C41)</f>
        <v>2</v>
      </c>
      <c r="I41" s="68">
        <f>'05.10'!I41+COUNTIF(I$8:I$38,$C41)</f>
        <v>2</v>
      </c>
    </row>
    <row r="42" spans="1:9" s="19" customFormat="1" ht="23.25" x14ac:dyDescent="0.35">
      <c r="A42" s="18"/>
      <c r="B42" s="18"/>
      <c r="C42" s="67" t="str">
        <f>'01.09'!C41</f>
        <v>*Л. Элективные дисциплины по ФКиС: Силовая подготовка*</v>
      </c>
      <c r="D42" s="68">
        <f>'05.10'!D42+COUNTIF(D$8:D$38,$C42)</f>
        <v>1</v>
      </c>
      <c r="E42" s="68">
        <f>'05.10'!E42+COUNTIF(E$8:E$38,$C42)</f>
        <v>1</v>
      </c>
      <c r="F42" s="68">
        <f>'05.10'!F42+COUNTIF(F$8:F$38,$C42)</f>
        <v>1</v>
      </c>
      <c r="G42" s="68">
        <f>'05.10'!G42+COUNTIF(G$8:G$38,$C42)</f>
        <v>1</v>
      </c>
      <c r="H42" s="68">
        <f>'05.10'!H42+COUNTIF(H$8:H$38,$C42)</f>
        <v>1</v>
      </c>
      <c r="I42" s="68">
        <f>'05.10'!I42+COUNTIF(I$8:I$38,$C42)</f>
        <v>1</v>
      </c>
    </row>
    <row r="43" spans="1:9" s="19" customFormat="1" ht="23.25" x14ac:dyDescent="0.35">
      <c r="A43" s="18"/>
      <c r="B43" s="18"/>
      <c r="C43" s="67" t="str">
        <f>'01.09'!C42</f>
        <v>*Пр. Элективные дисциплины по ФКиС: Силовая подготовка*</v>
      </c>
      <c r="D43" s="68">
        <f>'05.10'!D43+COUNTIF(D$8:D$38,$C43)</f>
        <v>6</v>
      </c>
      <c r="E43" s="68">
        <f>'05.10'!E43+COUNTIF(E$8:E$38,$C43)</f>
        <v>7</v>
      </c>
      <c r="F43" s="68">
        <f>'05.10'!F43+COUNTIF(F$8:F$38,$C43)</f>
        <v>6</v>
      </c>
      <c r="G43" s="68">
        <f>'05.10'!G43+COUNTIF(G$8:G$38,$C43)</f>
        <v>8</v>
      </c>
      <c r="H43" s="68">
        <f>'05.10'!H43+COUNTIF(H$8:H$38,$C43)</f>
        <v>6</v>
      </c>
      <c r="I43" s="68">
        <f>'05.10'!I43+COUNTIF(I$8:I$38,$C43)</f>
        <v>6</v>
      </c>
    </row>
    <row r="44" spans="1:9" s="19" customFormat="1" ht="23.25" x14ac:dyDescent="0.35">
      <c r="A44" s="18"/>
      <c r="B44" s="18"/>
      <c r="C44" s="67" t="str">
        <f>'01.09'!C43</f>
        <v>*Л. Анатомия*</v>
      </c>
      <c r="D44" s="68">
        <f>'05.10'!D44+COUNTIF(D$8:D$38,$C44)</f>
        <v>4</v>
      </c>
      <c r="E44" s="68">
        <f>'05.10'!E44+COUNTIF(E$8:E$38,$C44)</f>
        <v>4</v>
      </c>
      <c r="F44" s="68">
        <f>'05.10'!F44+COUNTIF(F$8:F$38,$C44)</f>
        <v>4</v>
      </c>
      <c r="G44" s="68">
        <f>'05.10'!G44+COUNTIF(G$8:G$38,$C44)</f>
        <v>4</v>
      </c>
      <c r="H44" s="68">
        <f>'05.10'!H44+COUNTIF(H$8:H$38,$C44)</f>
        <v>4</v>
      </c>
      <c r="I44" s="68">
        <f>'05.10'!I44+COUNTIF(I$8:I$38,$C44)</f>
        <v>4</v>
      </c>
    </row>
    <row r="45" spans="1:9" s="19" customFormat="1" ht="23.25" x14ac:dyDescent="0.35">
      <c r="A45" s="18"/>
      <c r="B45" s="18"/>
      <c r="C45" s="67" t="str">
        <f>'01.09'!C44</f>
        <v>*Пр. Анатомия*</v>
      </c>
      <c r="D45" s="68">
        <f>'05.10'!D45+COUNTIF(D$8:D$38,$C45)</f>
        <v>2</v>
      </c>
      <c r="E45" s="68">
        <f>'05.10'!E45+COUNTIF(E$8:E$38,$C45)</f>
        <v>2</v>
      </c>
      <c r="F45" s="68">
        <f>'05.10'!F45+COUNTIF(F$8:F$38,$C45)</f>
        <v>2</v>
      </c>
      <c r="G45" s="68">
        <f>'05.10'!G45+COUNTIF(G$8:G$38,$C45)</f>
        <v>2</v>
      </c>
      <c r="H45" s="68">
        <f>'05.10'!H45+COUNTIF(H$8:H$38,$C45)</f>
        <v>2</v>
      </c>
      <c r="I45" s="68">
        <f>'05.10'!I45+COUNTIF(I$8:I$38,$C45)</f>
        <v>2</v>
      </c>
    </row>
    <row r="46" spans="1:9" s="19" customFormat="1" ht="23.25" x14ac:dyDescent="0.35">
      <c r="A46" s="18"/>
      <c r="B46" s="18"/>
      <c r="C46" s="67" t="str">
        <f>'01.09'!C45</f>
        <v>*Л. Теория и методика*</v>
      </c>
      <c r="D46" s="68">
        <f>'05.10'!D46+COUNTIF(D$8:D$38,$C46)</f>
        <v>3</v>
      </c>
      <c r="E46" s="68">
        <f>'05.10'!E46+COUNTIF(E$8:E$38,$C46)</f>
        <v>3</v>
      </c>
      <c r="F46" s="68">
        <f>'05.10'!F46+COUNTIF(F$8:F$38,$C46)</f>
        <v>3</v>
      </c>
      <c r="G46" s="68">
        <f>'05.10'!G46+COUNTIF(G$8:G$38,$C46)</f>
        <v>3</v>
      </c>
      <c r="H46" s="68">
        <f>'05.10'!H46+COUNTIF(H$8:H$38,$C46)</f>
        <v>3</v>
      </c>
      <c r="I46" s="68">
        <f>'05.10'!I46+COUNTIF(I$8:I$38,$C46)</f>
        <v>2</v>
      </c>
    </row>
    <row r="47" spans="1:9" s="19" customFormat="1" ht="23.25" x14ac:dyDescent="0.35">
      <c r="A47" s="18"/>
      <c r="B47" s="18"/>
      <c r="C47" s="67" t="str">
        <f>'01.09'!C46</f>
        <v>*Пр. Теория и методика*</v>
      </c>
      <c r="D47" s="68">
        <f>'05.10'!D47+COUNTIF(D$8:D$38,$C47)</f>
        <v>20</v>
      </c>
      <c r="E47" s="68">
        <f>'05.10'!E47+COUNTIF(E$8:E$38,$C47)</f>
        <v>18</v>
      </c>
      <c r="F47" s="68">
        <f>'05.10'!F47+COUNTIF(F$8:F$38,$C47)</f>
        <v>18</v>
      </c>
      <c r="G47" s="68">
        <f>'05.10'!G47+COUNTIF(G$8:G$38,$C47)</f>
        <v>18</v>
      </c>
      <c r="H47" s="68">
        <f>'05.10'!H47+COUNTIF(H$8:H$38,$C47)</f>
        <v>20</v>
      </c>
      <c r="I47" s="68">
        <f>'05.10'!I47+COUNTIF(I$8:I$38,$C47)</f>
        <v>17</v>
      </c>
    </row>
    <row r="48" spans="1:9" s="19" customFormat="1" ht="23.25" x14ac:dyDescent="0.35">
      <c r="A48" s="18"/>
      <c r="B48" s="18"/>
      <c r="C48" s="67" t="str">
        <f>'01.09'!C47</f>
        <v>*Л. Физическая культура и спорт*</v>
      </c>
      <c r="D48" s="68">
        <f>'05.10'!D48+COUNTIF(D$8:D$38,$C48)</f>
        <v>5</v>
      </c>
      <c r="E48" s="68">
        <f>'05.10'!E48+COUNTIF(E$8:E$38,$C48)</f>
        <v>5</v>
      </c>
      <c r="F48" s="68">
        <f>'05.10'!F48+COUNTIF(F$8:F$38,$C48)</f>
        <v>5</v>
      </c>
      <c r="G48" s="68">
        <f>'05.10'!G48+COUNTIF(G$8:G$38,$C48)</f>
        <v>5</v>
      </c>
      <c r="H48" s="68">
        <f>'05.10'!H48+COUNTIF(H$8:H$38,$C48)</f>
        <v>5</v>
      </c>
      <c r="I48" s="68">
        <f>'05.10'!I48+COUNTIF(I$8:I$38,$C48)</f>
        <v>5</v>
      </c>
    </row>
    <row r="49" spans="1:9" s="19" customFormat="1" ht="23.25" x14ac:dyDescent="0.35">
      <c r="A49" s="18"/>
      <c r="B49" s="18"/>
      <c r="C49" s="67" t="str">
        <f>'01.09'!C48</f>
        <v>*Пр. Физическая культура и спорт*</v>
      </c>
      <c r="D49" s="68">
        <f>'05.10'!D49+COUNTIF(D$8:D$38,$C49)</f>
        <v>3</v>
      </c>
      <c r="E49" s="68">
        <f>'05.10'!E49+COUNTIF(E$8:E$38,$C49)</f>
        <v>3</v>
      </c>
      <c r="F49" s="68">
        <f>'05.10'!F49+COUNTIF(F$8:F$38,$C49)</f>
        <v>3</v>
      </c>
      <c r="G49" s="68">
        <f>'05.10'!G49+COUNTIF(G$8:G$38,$C49)</f>
        <v>3</v>
      </c>
      <c r="H49" s="68">
        <f>'05.10'!H49+COUNTIF(H$8:H$38,$C49)</f>
        <v>3</v>
      </c>
      <c r="I49" s="68">
        <f>'05.10'!I49+COUNTIF(I$8:I$38,$C49)</f>
        <v>3</v>
      </c>
    </row>
    <row r="50" spans="1:9" s="19" customFormat="1" ht="23.25" x14ac:dyDescent="0.35">
      <c r="A50" s="18"/>
      <c r="B50" s="18"/>
      <c r="C50" s="67" t="str">
        <f>'01.09'!C49</f>
        <v>*Л. Информационные технологии*</v>
      </c>
      <c r="D50" s="68">
        <f>'05.10'!D50+COUNTIF(D$8:D$38,$C50)</f>
        <v>2</v>
      </c>
      <c r="E50" s="68">
        <f>'05.10'!E50+COUNTIF(E$8:E$38,$C50)</f>
        <v>2</v>
      </c>
      <c r="F50" s="68">
        <f>'05.10'!F50+COUNTIF(F$8:F$38,$C50)</f>
        <v>2</v>
      </c>
      <c r="G50" s="68">
        <f>'05.10'!G50+COUNTIF(G$8:G$38,$C50)</f>
        <v>2</v>
      </c>
      <c r="H50" s="68">
        <f>'05.10'!H50+COUNTIF(H$8:H$38,$C50)</f>
        <v>2</v>
      </c>
      <c r="I50" s="68">
        <f>'05.10'!I50+COUNTIF(I$8:I$38,$C50)</f>
        <v>2</v>
      </c>
    </row>
    <row r="51" spans="1:9" s="19" customFormat="1" ht="23.25" x14ac:dyDescent="0.35">
      <c r="A51" s="18"/>
      <c r="B51" s="18"/>
      <c r="C51" s="67" t="str">
        <f>'01.09'!C50</f>
        <v>*Пр. Информационные технологии*</v>
      </c>
      <c r="D51" s="68">
        <f>'05.10'!D51+COUNTIF(D$8:D$38,$C51)</f>
        <v>6</v>
      </c>
      <c r="E51" s="68">
        <f>'05.10'!E51+COUNTIF(E$8:E$38,$C51)</f>
        <v>6</v>
      </c>
      <c r="F51" s="68">
        <f>'05.10'!F51+COUNTIF(F$8:F$38,$C51)</f>
        <v>6</v>
      </c>
      <c r="G51" s="68">
        <f>'05.10'!G51+COUNTIF(G$8:G$38,$C51)</f>
        <v>6</v>
      </c>
      <c r="H51" s="68">
        <f>'05.10'!H51+COUNTIF(H$8:H$38,$C51)</f>
        <v>6</v>
      </c>
      <c r="I51" s="68">
        <f>'05.10'!I51+COUNTIF(I$8:I$38,$C51)</f>
        <v>6</v>
      </c>
    </row>
    <row r="52" spans="1:9" s="19" customFormat="1" ht="23.25" x14ac:dyDescent="0.35">
      <c r="A52" s="18"/>
      <c r="B52" s="18"/>
      <c r="C52" s="67" t="str">
        <f>'01.09'!C51</f>
        <v>*Л. Гимнастика*</v>
      </c>
      <c r="D52" s="68">
        <f>'05.10'!D52+COUNTIF(D$8:D$38,$C52)</f>
        <v>3</v>
      </c>
      <c r="E52" s="68">
        <f>'05.10'!E52+COUNTIF(E$8:E$38,$C52)</f>
        <v>3</v>
      </c>
      <c r="F52" s="68">
        <f>'05.10'!F52+COUNTIF(F$8:F$38,$C52)</f>
        <v>3</v>
      </c>
      <c r="G52" s="68">
        <f>'05.10'!G52+COUNTIF(G$8:G$38,$C52)</f>
        <v>3</v>
      </c>
      <c r="H52" s="68">
        <f>'05.10'!H52+COUNTIF(H$8:H$38,$C52)</f>
        <v>3</v>
      </c>
      <c r="I52" s="68">
        <f>'05.10'!I52+COUNTIF(I$8:I$38,$C52)</f>
        <v>3</v>
      </c>
    </row>
    <row r="53" spans="1:9" s="19" customFormat="1" ht="23.25" x14ac:dyDescent="0.35">
      <c r="A53" s="18"/>
      <c r="B53" s="18"/>
      <c r="C53" s="67" t="str">
        <f>'01.09'!C52</f>
        <v>*Пр. Гимнастика*</v>
      </c>
      <c r="D53" s="68">
        <f>'05.10'!D53+COUNTIF(D$8:D$38,$C53)</f>
        <v>6</v>
      </c>
      <c r="E53" s="68">
        <f>'05.10'!E53+COUNTIF(E$8:E$38,$C53)</f>
        <v>11</v>
      </c>
      <c r="F53" s="68">
        <f>'05.10'!F53+COUNTIF(F$8:F$38,$C53)</f>
        <v>9</v>
      </c>
      <c r="G53" s="68">
        <f>'05.10'!G53+COUNTIF(G$8:G$38,$C53)</f>
        <v>8</v>
      </c>
      <c r="H53" s="68">
        <f>'05.10'!H53+COUNTIF(H$8:H$38,$C53)</f>
        <v>11</v>
      </c>
      <c r="I53" s="68">
        <f>'05.10'!I53+COUNTIF(I$8:I$38,$C53)</f>
        <v>10</v>
      </c>
    </row>
    <row r="54" spans="1:9" s="19" customFormat="1" ht="23.25" x14ac:dyDescent="0.35">
      <c r="A54" s="18"/>
      <c r="B54" s="18"/>
      <c r="C54" s="67" t="str">
        <f>'01.09'!C53</f>
        <v>*Л. Волейбол*</v>
      </c>
      <c r="D54" s="68">
        <f>'05.10'!D54+COUNTIF(D$8:D$38,$C54)</f>
        <v>1</v>
      </c>
      <c r="E54" s="68">
        <f>'05.10'!E54+COUNTIF(E$8:E$38,$C54)</f>
        <v>1</v>
      </c>
      <c r="F54" s="68">
        <f>'05.10'!F54+COUNTIF(F$8:F$38,$C54)</f>
        <v>1</v>
      </c>
      <c r="G54" s="68">
        <f>'05.10'!G54+COUNTIF(G$8:G$38,$C54)</f>
        <v>1</v>
      </c>
      <c r="H54" s="68">
        <f>'05.10'!H54+COUNTIF(H$8:H$38,$C54)</f>
        <v>1</v>
      </c>
      <c r="I54" s="68">
        <f>'05.10'!I54+COUNTIF(I$8:I$38,$C54)</f>
        <v>1</v>
      </c>
    </row>
    <row r="55" spans="1:9" s="19" customFormat="1" ht="23.25" x14ac:dyDescent="0.35">
      <c r="A55" s="18"/>
      <c r="B55" s="18"/>
      <c r="C55" s="67" t="str">
        <f>'01.09'!C54</f>
        <v>*Пр. Волейбол*</v>
      </c>
      <c r="D55" s="68">
        <f>'05.10'!D55+COUNTIF(D$8:D$38,$C55)</f>
        <v>12</v>
      </c>
      <c r="E55" s="68">
        <f>'05.10'!E55+COUNTIF(E$8:E$38,$C55)</f>
        <v>12</v>
      </c>
      <c r="F55" s="68">
        <f>'05.10'!F55+COUNTIF(F$8:F$38,$C55)</f>
        <v>6</v>
      </c>
      <c r="G55" s="68">
        <f>'05.10'!G55+COUNTIF(G$8:G$38,$C55)</f>
        <v>6</v>
      </c>
      <c r="H55" s="68">
        <f>'05.10'!H55+COUNTIF(H$8:H$38,$C55)</f>
        <v>12</v>
      </c>
      <c r="I55" s="68">
        <f>'05.10'!I55+COUNTIF(I$8:I$38,$C55)</f>
        <v>12</v>
      </c>
    </row>
    <row r="56" spans="1:9" s="19" customFormat="1" ht="23.25" x14ac:dyDescent="0.35">
      <c r="A56" s="18"/>
      <c r="B56" s="18"/>
      <c r="C56" s="67" t="str">
        <f>'01.09'!C55</f>
        <v>*Л. Лыжные гонки*</v>
      </c>
      <c r="D56" s="68">
        <f>'05.10'!D56+COUNTIF(D$8:D$38,$C56)</f>
        <v>0</v>
      </c>
      <c r="E56" s="68">
        <f>'05.10'!E56+COUNTIF(E$8:E$38,$C56)</f>
        <v>0</v>
      </c>
      <c r="F56" s="68">
        <f>'05.10'!F56+COUNTIF(F$8:F$38,$C56)</f>
        <v>0</v>
      </c>
      <c r="G56" s="68">
        <f>'05.10'!G56+COUNTIF(G$8:G$38,$C56)</f>
        <v>0</v>
      </c>
      <c r="H56" s="68">
        <f>'05.10'!H56+COUNTIF(H$8:H$38,$C56)</f>
        <v>0</v>
      </c>
      <c r="I56" s="68">
        <f>'05.10'!I56+COUNTIF(I$8:I$38,$C56)</f>
        <v>0</v>
      </c>
    </row>
    <row r="57" spans="1:9" s="19" customFormat="1" ht="23.25" x14ac:dyDescent="0.35">
      <c r="A57" s="18"/>
      <c r="B57" s="18"/>
      <c r="C57" s="67" t="str">
        <f>'01.09'!C56</f>
        <v>*Пр. Лыжные гонки*</v>
      </c>
      <c r="D57" s="68">
        <f>'05.10'!D57+COUNTIF(D$8:D$38,$C57)</f>
        <v>0</v>
      </c>
      <c r="E57" s="68">
        <f>'05.10'!E57+COUNTIF(E$8:E$38,$C57)</f>
        <v>0</v>
      </c>
      <c r="F57" s="68">
        <f>'05.10'!F57+COUNTIF(F$8:F$38,$C57)</f>
        <v>0</v>
      </c>
      <c r="G57" s="68">
        <f>'05.10'!G57+COUNTIF(G$8:G$38,$C57)</f>
        <v>0</v>
      </c>
      <c r="H57" s="68">
        <f>'05.10'!H57+COUNTIF(H$8:H$38,$C57)</f>
        <v>0</v>
      </c>
      <c r="I57" s="68">
        <f>'05.10'!I57+COUNTIF(I$8:I$38,$C57)</f>
        <v>0</v>
      </c>
    </row>
    <row r="58" spans="1:9" s="19" customFormat="1" ht="23.25" x14ac:dyDescent="0.35">
      <c r="A58" s="18"/>
      <c r="B58" s="18"/>
      <c r="C58" s="67" t="str">
        <f>'01.09'!C57</f>
        <v>*Л. Использование электронной*</v>
      </c>
      <c r="D58" s="68">
        <f>'05.10'!D58+COUNTIF(D$8:D$38,$C58)</f>
        <v>1</v>
      </c>
      <c r="E58" s="68">
        <f>'05.10'!E58+COUNTIF(E$8:E$38,$C58)</f>
        <v>0</v>
      </c>
      <c r="F58" s="68">
        <f>'05.10'!F58+COUNTIF(F$8:F$38,$C58)</f>
        <v>0</v>
      </c>
      <c r="G58" s="68">
        <f>'05.10'!G58+COUNTIF(G$8:G$38,$C58)</f>
        <v>0</v>
      </c>
      <c r="H58" s="68">
        <f>'05.10'!H58+COUNTIF(H$8:H$38,$C58)</f>
        <v>0</v>
      </c>
      <c r="I58" s="68">
        <f>'05.10'!I58+COUNTIF(I$8:I$38,$C58)</f>
        <v>0</v>
      </c>
    </row>
    <row r="59" spans="1:9" s="19" customFormat="1" ht="23.25" x14ac:dyDescent="0.35">
      <c r="A59" s="18"/>
      <c r="B59" s="18"/>
      <c r="C59" s="67" t="str">
        <f>'01.09'!C58</f>
        <v>*Пр. Использование электронной*</v>
      </c>
      <c r="D59" s="68">
        <f>'05.10'!D59+COUNTIF(D$8:D$38,$C59)</f>
        <v>1</v>
      </c>
      <c r="E59" s="68">
        <f>'05.10'!E59+COUNTIF(E$8:E$38,$C59)</f>
        <v>1</v>
      </c>
      <c r="F59" s="68">
        <f>'05.10'!F59+COUNTIF(F$8:F$38,$C59)</f>
        <v>2</v>
      </c>
      <c r="G59" s="68">
        <f>'05.10'!G59+COUNTIF(G$8:G$38,$C59)</f>
        <v>2</v>
      </c>
      <c r="H59" s="68">
        <f>'05.10'!H59+COUNTIF(H$8:H$38,$C59)</f>
        <v>2</v>
      </c>
      <c r="I59" s="68">
        <f>'05.10'!I59+COUNTIF(I$8:I$38,$C59)</f>
        <v>2</v>
      </c>
    </row>
    <row r="60" spans="1:9" s="19" customFormat="1" ht="23.25" x14ac:dyDescent="0.35">
      <c r="A60" s="18"/>
      <c r="B60" s="18"/>
      <c r="C60" s="67" t="str">
        <f>'01.09'!C59</f>
        <v>*Пр. Иностранный язык*</v>
      </c>
      <c r="D60" s="68">
        <f>'05.10'!D60+COUNTIF(D$8:D$38,$C60)</f>
        <v>6</v>
      </c>
      <c r="E60" s="68">
        <f>'05.10'!E60+COUNTIF(E$8:E$38,$C60)</f>
        <v>6</v>
      </c>
      <c r="F60" s="68">
        <f>'05.10'!F60+COUNTIF(F$8:F$38,$C60)</f>
        <v>6</v>
      </c>
      <c r="G60" s="68">
        <f>'05.10'!G60+COUNTIF(G$8:G$38,$C60)</f>
        <v>6</v>
      </c>
      <c r="H60" s="68">
        <f>'05.10'!H60+COUNTIF(H$8:H$38,$C60)</f>
        <v>6</v>
      </c>
      <c r="I60" s="68">
        <f>'05.10'!I60+COUNTIF(I$8:I$38,$C60)</f>
        <v>6</v>
      </c>
    </row>
    <row r="61" spans="1:9" s="19" customFormat="1" ht="23.25" x14ac:dyDescent="0.35">
      <c r="A61" s="18"/>
      <c r="B61" s="18"/>
      <c r="C61" s="67" t="str">
        <f>'01.09'!C60</f>
        <v>*С1-04А-26*</v>
      </c>
      <c r="D61" s="68">
        <f>'05.10'!D61+COUNTIF(D$8:D$38,$C61)</f>
        <v>0</v>
      </c>
      <c r="E61" s="68">
        <f>'05.10'!E61+COUNTIF(E$8:E$38,$C61)</f>
        <v>0</v>
      </c>
      <c r="F61" s="68">
        <f>'05.10'!F61+COUNTIF(F$8:F$38,$C61)</f>
        <v>0</v>
      </c>
      <c r="G61" s="68">
        <f>'05.10'!G61+COUNTIF(G$8:G$38,$C61)</f>
        <v>11</v>
      </c>
      <c r="H61" s="68">
        <f>'05.10'!H61+COUNTIF(H$8:H$38,$C61)</f>
        <v>0</v>
      </c>
      <c r="I61" s="68">
        <f>'05.10'!I61+COUNTIF(I$8:I$38,$C61)</f>
        <v>0</v>
      </c>
    </row>
    <row r="62" spans="1:9" ht="23.25" x14ac:dyDescent="0.35">
      <c r="A62" s="2"/>
      <c r="B62" s="2"/>
      <c r="C62" s="67" t="str">
        <f>'01.09'!C61</f>
        <v>*С1-04Б-26*</v>
      </c>
      <c r="D62" s="68">
        <f>'05.10'!D62+COUNTIF(D$8:D$38,$C62)</f>
        <v>0</v>
      </c>
      <c r="E62" s="68">
        <f>'05.10'!E62+COUNTIF(E$8:E$38,$C62)</f>
        <v>0</v>
      </c>
      <c r="F62" s="68">
        <f>'05.10'!F62+COUNTIF(F$8:F$38,$C62)</f>
        <v>0</v>
      </c>
      <c r="G62" s="68">
        <f>'05.10'!G62+COUNTIF(G$8:G$38,$C62)</f>
        <v>11</v>
      </c>
      <c r="H62" s="68">
        <f>'05.10'!H62+COUNTIF(H$8:H$38,$C62)</f>
        <v>0</v>
      </c>
      <c r="I62" s="68">
        <f>'05.10'!I62+COUNTIF(I$8:I$38,$C62)</f>
        <v>0</v>
      </c>
    </row>
    <row r="63" spans="1:9" ht="23.25" x14ac:dyDescent="0.35">
      <c r="A63" s="2"/>
      <c r="B63" s="2"/>
      <c r="C63" s="67" t="str">
        <f>'01.09'!C62</f>
        <v>*С1-05А-26*</v>
      </c>
      <c r="D63" s="68">
        <f>'05.10'!D63+COUNTIF(D$8:D$38,$C63)</f>
        <v>0</v>
      </c>
      <c r="E63" s="68">
        <f>'05.10'!E63+COUNTIF(E$8:E$38,$C63)</f>
        <v>0</v>
      </c>
      <c r="F63" s="68">
        <f>'05.10'!F63+COUNTIF(F$8:F$38,$C63)</f>
        <v>0</v>
      </c>
      <c r="G63" s="68">
        <f>'05.10'!G63+COUNTIF(G$8:G$38,$C63)</f>
        <v>0</v>
      </c>
      <c r="H63" s="68">
        <f>'05.10'!H63+COUNTIF(H$8:H$38,$C63)</f>
        <v>4</v>
      </c>
      <c r="I63" s="68">
        <f>'05.10'!I63+COUNTIF(I$8:I$38,$C63)</f>
        <v>0</v>
      </c>
    </row>
    <row r="64" spans="1:9" ht="23.25" x14ac:dyDescent="0.35">
      <c r="A64" s="2"/>
      <c r="B64" s="2"/>
      <c r="C64" s="67" t="str">
        <f>'01.09'!C63</f>
        <v>*С1-05Б-26*</v>
      </c>
      <c r="D64" s="68">
        <f>'05.10'!D64+COUNTIF(D$8:D$38,$C64)</f>
        <v>0</v>
      </c>
      <c r="E64" s="68">
        <f>'05.10'!E64+COUNTIF(E$8:E$38,$C64)</f>
        <v>0</v>
      </c>
      <c r="F64" s="68">
        <f>'05.10'!F64+COUNTIF(F$8:F$38,$C64)</f>
        <v>0</v>
      </c>
      <c r="G64" s="68">
        <f>'05.10'!G64+COUNTIF(G$8:G$38,$C64)</f>
        <v>0</v>
      </c>
      <c r="H64" s="68">
        <f>'05.10'!H64+COUNTIF(H$8:H$38,$C64)</f>
        <v>4</v>
      </c>
      <c r="I64" s="68">
        <f>'05.10'!I64+COUNTIF(I$8:I$38,$C64)</f>
        <v>0</v>
      </c>
    </row>
    <row r="65" spans="1:9" ht="23.25" x14ac:dyDescent="0.35">
      <c r="A65" s="2"/>
      <c r="B65" s="2"/>
      <c r="C65" s="67">
        <f>'01.09'!C64</f>
        <v>0</v>
      </c>
      <c r="D65" s="68">
        <f>'05.10'!D65+COUNTIF(D$8:D$38,$C65)</f>
        <v>0</v>
      </c>
      <c r="E65" s="68">
        <f>'05.10'!E65+COUNTIF(E$8:E$38,$C65)</f>
        <v>0</v>
      </c>
      <c r="F65" s="68">
        <f>'05.10'!F65+COUNTIF(F$8:F$38,$C65)</f>
        <v>0</v>
      </c>
      <c r="G65" s="68">
        <f>'05.10'!G65+COUNTIF(G$8:G$38,$C65)</f>
        <v>0</v>
      </c>
      <c r="H65" s="68">
        <f>'05.10'!H65+COUNTIF(H$8:H$38,$C65)</f>
        <v>0</v>
      </c>
      <c r="I65" s="68">
        <f>'05.10'!I65+COUNTIF(I$8:I$38,$C65)</f>
        <v>0</v>
      </c>
    </row>
    <row r="66" spans="1:9" ht="23.25" x14ac:dyDescent="0.35">
      <c r="A66" s="2"/>
      <c r="B66" s="2"/>
      <c r="C66" s="67">
        <f>'01.09'!C65</f>
        <v>0</v>
      </c>
      <c r="D66" s="68">
        <f>'05.10'!D66+COUNTIF(D$8:D$38,$C66)</f>
        <v>0</v>
      </c>
      <c r="E66" s="68">
        <f>'05.10'!E66+COUNTIF(E$8:E$38,$C66)</f>
        <v>0</v>
      </c>
      <c r="F66" s="68">
        <f>'05.10'!F66+COUNTIF(F$8:F$38,$C66)</f>
        <v>0</v>
      </c>
      <c r="G66" s="68">
        <f>'05.10'!G66+COUNTIF(G$8:G$38,$C66)</f>
        <v>0</v>
      </c>
      <c r="H66" s="68">
        <f>'05.10'!H66+COUNTIF(H$8:H$38,$C66)</f>
        <v>0</v>
      </c>
      <c r="I66" s="68">
        <f>'05.10'!I66+COUNTIF(I$8:I$38,$C66)</f>
        <v>0</v>
      </c>
    </row>
    <row r="67" spans="1:9" ht="23.25" x14ac:dyDescent="0.35">
      <c r="A67" s="2"/>
      <c r="B67" s="2"/>
      <c r="C67" s="67">
        <f>'01.09'!C66</f>
        <v>0</v>
      </c>
      <c r="D67" s="68">
        <f>'05.10'!D67+COUNTIF(D$8:D$38,$C67)</f>
        <v>0</v>
      </c>
      <c r="E67" s="68">
        <f>'05.10'!E67+COUNTIF(E$8:E$38,$C67)</f>
        <v>0</v>
      </c>
      <c r="F67" s="68">
        <f>'05.10'!F67+COUNTIF(F$8:F$38,$C67)</f>
        <v>0</v>
      </c>
      <c r="G67" s="68">
        <f>'05.10'!G67+COUNTIF(G$8:G$38,$C67)</f>
        <v>0</v>
      </c>
      <c r="H67" s="68">
        <f>'05.10'!H67+COUNTIF(H$8:H$38,$C67)</f>
        <v>0</v>
      </c>
      <c r="I67" s="68">
        <f>'05.10'!I67+COUNTIF(I$8:I$38,$C67)</f>
        <v>0</v>
      </c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</sheetData>
  <mergeCells count="20">
    <mergeCell ref="B1:I1"/>
    <mergeCell ref="B2:I2"/>
    <mergeCell ref="B3:I3"/>
    <mergeCell ref="B4:I4"/>
    <mergeCell ref="A6:A7"/>
    <mergeCell ref="B6:B7"/>
    <mergeCell ref="C6:C7"/>
    <mergeCell ref="A5:I5"/>
    <mergeCell ref="B8:B12"/>
    <mergeCell ref="B13:B16"/>
    <mergeCell ref="A8:A12"/>
    <mergeCell ref="A13:A16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6" fitToWidth="0" fitToHeight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K72"/>
  <sheetViews>
    <sheetView view="pageBreakPreview" topLeftCell="A7" zoomScale="40" zoomScaleNormal="40" zoomScaleSheetLayoutView="40" zoomScalePageLayoutView="40" workbookViewId="0">
      <selection activeCell="D19" sqref="D19"/>
    </sheetView>
  </sheetViews>
  <sheetFormatPr defaultRowHeight="15" x14ac:dyDescent="0.25"/>
  <cols>
    <col min="1" max="2" width="4.42578125" customWidth="1"/>
    <col min="3" max="3" width="22.28515625" customWidth="1"/>
    <col min="4" max="9" width="58.42578125" customWidth="1"/>
  </cols>
  <sheetData>
    <row r="1" spans="1:9" ht="30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9" ht="30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9" ht="36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9" ht="30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9" ht="30.75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9" ht="27.75" customHeight="1" thickBot="1" x14ac:dyDescent="0.3">
      <c r="A6" s="875" t="s">
        <v>54</v>
      </c>
      <c r="B6" s="875" t="s">
        <v>14</v>
      </c>
      <c r="C6" s="898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9" ht="93.75" thickBot="1" x14ac:dyDescent="0.3">
      <c r="A7" s="876"/>
      <c r="B7" s="876"/>
      <c r="C7" s="899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9" ht="55.5" x14ac:dyDescent="0.25">
      <c r="A8" s="909" t="s">
        <v>0</v>
      </c>
      <c r="B8" s="897">
        <v>46314</v>
      </c>
      <c r="C8" s="448" t="s">
        <v>10</v>
      </c>
      <c r="D8" s="690" t="s">
        <v>236</v>
      </c>
      <c r="E8" s="691"/>
      <c r="F8" s="691"/>
      <c r="G8" s="691"/>
      <c r="H8" s="691"/>
      <c r="I8" s="692"/>
    </row>
    <row r="9" spans="1:9" ht="111" x14ac:dyDescent="0.25">
      <c r="A9" s="913"/>
      <c r="B9" s="862"/>
      <c r="C9" s="458" t="s">
        <v>11</v>
      </c>
      <c r="D9" s="354" t="s">
        <v>264</v>
      </c>
      <c r="E9" s="378"/>
      <c r="F9" s="378"/>
      <c r="G9" s="378" t="s">
        <v>248</v>
      </c>
      <c r="H9" s="378" t="s">
        <v>246</v>
      </c>
      <c r="I9" s="708"/>
    </row>
    <row r="10" spans="1:9" ht="138.75" x14ac:dyDescent="0.25">
      <c r="A10" s="913"/>
      <c r="B10" s="862"/>
      <c r="C10" s="458" t="s">
        <v>12</v>
      </c>
      <c r="D10" s="354" t="s">
        <v>240</v>
      </c>
      <c r="E10" s="378" t="s">
        <v>236</v>
      </c>
      <c r="F10" s="378"/>
      <c r="G10" s="378" t="s">
        <v>251</v>
      </c>
      <c r="H10" s="694" t="s">
        <v>232</v>
      </c>
      <c r="I10" s="695" t="s">
        <v>243</v>
      </c>
    </row>
    <row r="11" spans="1:9" ht="111" x14ac:dyDescent="0.25">
      <c r="A11" s="913"/>
      <c r="B11" s="862"/>
      <c r="C11" s="458" t="s">
        <v>13</v>
      </c>
      <c r="D11" s="354" t="s">
        <v>243</v>
      </c>
      <c r="E11" s="378" t="s">
        <v>264</v>
      </c>
      <c r="F11" s="378"/>
      <c r="G11" s="416" t="s">
        <v>295</v>
      </c>
      <c r="H11" s="694" t="s">
        <v>232</v>
      </c>
      <c r="I11" s="695" t="s">
        <v>236</v>
      </c>
    </row>
    <row r="12" spans="1:9" ht="27" thickBot="1" x14ac:dyDescent="0.3">
      <c r="A12" s="913"/>
      <c r="B12" s="862"/>
      <c r="C12" s="449" t="s">
        <v>15</v>
      </c>
      <c r="D12" s="746"/>
      <c r="E12" s="747"/>
      <c r="F12" s="747"/>
      <c r="G12" s="747"/>
      <c r="H12" s="747"/>
      <c r="I12" s="748"/>
    </row>
    <row r="13" spans="1:9" ht="122.25" customHeight="1" x14ac:dyDescent="0.25">
      <c r="A13" s="909" t="s">
        <v>1</v>
      </c>
      <c r="B13" s="861">
        <f>B8+1</f>
        <v>46315</v>
      </c>
      <c r="C13" s="454" t="s">
        <v>10</v>
      </c>
      <c r="D13" s="439" t="s">
        <v>308</v>
      </c>
      <c r="E13" s="360"/>
      <c r="F13" s="349" t="s">
        <v>258</v>
      </c>
      <c r="G13" s="349" t="s">
        <v>230</v>
      </c>
      <c r="H13" s="501"/>
      <c r="I13" s="749"/>
    </row>
    <row r="14" spans="1:9" ht="111" x14ac:dyDescent="0.25">
      <c r="A14" s="913"/>
      <c r="B14" s="862"/>
      <c r="C14" s="455" t="s">
        <v>11</v>
      </c>
      <c r="D14" s="353" t="s">
        <v>261</v>
      </c>
      <c r="E14" s="351" t="s">
        <v>260</v>
      </c>
      <c r="F14" s="351" t="s">
        <v>258</v>
      </c>
      <c r="G14" s="351" t="s">
        <v>230</v>
      </c>
      <c r="H14" s="432" t="s">
        <v>342</v>
      </c>
      <c r="I14" s="460" t="s">
        <v>266</v>
      </c>
    </row>
    <row r="15" spans="1:9" ht="111" x14ac:dyDescent="0.25">
      <c r="A15" s="913"/>
      <c r="B15" s="862"/>
      <c r="C15" s="455" t="s">
        <v>12</v>
      </c>
      <c r="D15" s="353" t="s">
        <v>318</v>
      </c>
      <c r="E15" s="432" t="s">
        <v>319</v>
      </c>
      <c r="F15" s="444" t="s">
        <v>236</v>
      </c>
      <c r="G15" s="444" t="s">
        <v>271</v>
      </c>
      <c r="H15" s="444" t="s">
        <v>249</v>
      </c>
      <c r="I15" s="478" t="s">
        <v>316</v>
      </c>
    </row>
    <row r="16" spans="1:9" ht="111" x14ac:dyDescent="0.25">
      <c r="A16" s="913"/>
      <c r="B16" s="862"/>
      <c r="C16" s="455" t="s">
        <v>13</v>
      </c>
      <c r="D16" s="353" t="s">
        <v>319</v>
      </c>
      <c r="E16" s="444"/>
      <c r="F16" s="444" t="s">
        <v>249</v>
      </c>
      <c r="G16" s="444"/>
      <c r="H16" s="432" t="s">
        <v>316</v>
      </c>
      <c r="I16" s="460"/>
    </row>
    <row r="17" spans="1:11" ht="27.75" x14ac:dyDescent="0.25">
      <c r="A17" s="913"/>
      <c r="B17" s="862"/>
      <c r="C17" s="459" t="s">
        <v>15</v>
      </c>
      <c r="D17" s="353"/>
      <c r="E17" s="444"/>
      <c r="F17" s="444"/>
      <c r="G17" s="444"/>
      <c r="H17" s="444"/>
      <c r="I17" s="460"/>
    </row>
    <row r="18" spans="1:11" ht="28.5" thickBot="1" x14ac:dyDescent="0.3">
      <c r="A18" s="913"/>
      <c r="B18" s="862"/>
      <c r="C18" s="457" t="s">
        <v>64</v>
      </c>
      <c r="D18" s="750"/>
      <c r="E18" s="471"/>
      <c r="F18" s="471"/>
      <c r="G18" s="751"/>
      <c r="H18" s="751"/>
      <c r="I18" s="752"/>
    </row>
    <row r="19" spans="1:11" ht="124.5" customHeight="1" x14ac:dyDescent="0.25">
      <c r="A19" s="909" t="s">
        <v>2</v>
      </c>
      <c r="B19" s="861">
        <f>B13+1</f>
        <v>46316</v>
      </c>
      <c r="C19" s="448" t="s">
        <v>10</v>
      </c>
      <c r="D19" s="729"/>
      <c r="E19" s="718"/>
      <c r="F19" s="718" t="s">
        <v>287</v>
      </c>
      <c r="G19" s="718" t="s">
        <v>316</v>
      </c>
      <c r="H19" s="718" t="s">
        <v>246</v>
      </c>
      <c r="I19" s="719"/>
    </row>
    <row r="20" spans="1:11" ht="115.5" customHeight="1" x14ac:dyDescent="0.25">
      <c r="A20" s="913"/>
      <c r="B20" s="862"/>
      <c r="C20" s="458" t="s">
        <v>11</v>
      </c>
      <c r="D20" s="729" t="s">
        <v>247</v>
      </c>
      <c r="E20" s="718" t="s">
        <v>316</v>
      </c>
      <c r="F20" s="694" t="s">
        <v>321</v>
      </c>
      <c r="G20" s="416" t="s">
        <v>345</v>
      </c>
      <c r="H20" s="718" t="s">
        <v>242</v>
      </c>
      <c r="I20" s="719" t="s">
        <v>243</v>
      </c>
    </row>
    <row r="21" spans="1:11" ht="117" customHeight="1" x14ac:dyDescent="0.25">
      <c r="A21" s="913"/>
      <c r="B21" s="862"/>
      <c r="C21" s="458" t="s">
        <v>12</v>
      </c>
      <c r="D21" s="485" t="s">
        <v>243</v>
      </c>
      <c r="E21" s="416" t="s">
        <v>241</v>
      </c>
      <c r="F21" s="416" t="s">
        <v>334</v>
      </c>
      <c r="G21" s="718"/>
      <c r="H21" s="718" t="s">
        <v>287</v>
      </c>
      <c r="I21" s="719" t="s">
        <v>234</v>
      </c>
      <c r="K21" s="3"/>
    </row>
    <row r="22" spans="1:11" ht="88.5" customHeight="1" x14ac:dyDescent="0.25">
      <c r="A22" s="913"/>
      <c r="B22" s="862"/>
      <c r="C22" s="458" t="s">
        <v>13</v>
      </c>
      <c r="D22" s="485" t="s">
        <v>334</v>
      </c>
      <c r="E22" s="416" t="s">
        <v>244</v>
      </c>
      <c r="F22" s="416" t="s">
        <v>240</v>
      </c>
      <c r="G22" s="718"/>
      <c r="H22" s="718"/>
      <c r="I22" s="719" t="s">
        <v>234</v>
      </c>
    </row>
    <row r="23" spans="1:11" ht="63.75" customHeight="1" thickBot="1" x14ac:dyDescent="0.3">
      <c r="A23" s="915"/>
      <c r="B23" s="862"/>
      <c r="C23" s="449" t="s">
        <v>15</v>
      </c>
      <c r="D23" s="742"/>
      <c r="E23" s="723"/>
      <c r="F23" s="723"/>
      <c r="G23" s="723"/>
      <c r="H23" s="723"/>
      <c r="I23" s="724"/>
    </row>
    <row r="24" spans="1:11" ht="69.75" customHeight="1" x14ac:dyDescent="0.25">
      <c r="A24" s="909" t="s">
        <v>3</v>
      </c>
      <c r="B24" s="861">
        <f>B19+1</f>
        <v>46317</v>
      </c>
      <c r="C24" s="472" t="s">
        <v>10</v>
      </c>
      <c r="D24" s="714"/>
      <c r="E24" s="343"/>
      <c r="F24" s="343"/>
      <c r="G24" s="343"/>
      <c r="H24" s="343"/>
      <c r="I24" s="591"/>
    </row>
    <row r="25" spans="1:11" ht="111" x14ac:dyDescent="0.25">
      <c r="A25" s="910"/>
      <c r="B25" s="862"/>
      <c r="C25" s="473" t="s">
        <v>11</v>
      </c>
      <c r="D25" s="590"/>
      <c r="E25" s="361" t="s">
        <v>248</v>
      </c>
      <c r="F25" s="432" t="s">
        <v>264</v>
      </c>
      <c r="G25" s="361" t="s">
        <v>276</v>
      </c>
      <c r="H25" s="432"/>
      <c r="I25" s="695" t="s">
        <v>319</v>
      </c>
    </row>
    <row r="26" spans="1:11" ht="194.25" x14ac:dyDescent="0.25">
      <c r="A26" s="910"/>
      <c r="B26" s="862"/>
      <c r="C26" s="473" t="s">
        <v>12</v>
      </c>
      <c r="D26" s="485" t="s">
        <v>261</v>
      </c>
      <c r="E26" s="361" t="s">
        <v>260</v>
      </c>
      <c r="F26" s="361" t="s">
        <v>245</v>
      </c>
      <c r="G26" s="361" t="s">
        <v>265</v>
      </c>
      <c r="H26" s="432" t="s">
        <v>339</v>
      </c>
      <c r="I26" s="388" t="s">
        <v>264</v>
      </c>
    </row>
    <row r="27" spans="1:11" ht="138.75" x14ac:dyDescent="0.25">
      <c r="A27" s="910"/>
      <c r="B27" s="862"/>
      <c r="C27" s="473" t="s">
        <v>13</v>
      </c>
      <c r="D27" s="392" t="s">
        <v>256</v>
      </c>
      <c r="E27" s="361" t="s">
        <v>260</v>
      </c>
      <c r="F27" s="361" t="s">
        <v>258</v>
      </c>
      <c r="G27" s="361" t="s">
        <v>275</v>
      </c>
      <c r="H27" s="361" t="s">
        <v>251</v>
      </c>
      <c r="I27" s="478"/>
    </row>
    <row r="28" spans="1:11" ht="39.75" customHeight="1" thickBot="1" x14ac:dyDescent="0.3">
      <c r="A28" s="911"/>
      <c r="B28" s="862"/>
      <c r="C28" s="474" t="s">
        <v>15</v>
      </c>
      <c r="D28" s="740"/>
      <c r="E28" s="739"/>
      <c r="F28" s="739"/>
      <c r="G28" s="739"/>
      <c r="H28" s="739"/>
      <c r="I28" s="741"/>
    </row>
    <row r="29" spans="1:11" ht="88.5" customHeight="1" x14ac:dyDescent="0.25">
      <c r="A29" s="909" t="s">
        <v>4</v>
      </c>
      <c r="B29" s="861">
        <f>B24+1</f>
        <v>46318</v>
      </c>
      <c r="C29" s="448" t="s">
        <v>10</v>
      </c>
      <c r="D29" s="690"/>
      <c r="E29" s="737" t="s">
        <v>335</v>
      </c>
      <c r="F29" s="501" t="s">
        <v>240</v>
      </c>
      <c r="G29" s="691"/>
      <c r="H29" s="691" t="s">
        <v>109</v>
      </c>
      <c r="I29" s="692" t="s">
        <v>249</v>
      </c>
    </row>
    <row r="30" spans="1:11" ht="111" x14ac:dyDescent="0.25">
      <c r="A30" s="913"/>
      <c r="B30" s="862"/>
      <c r="C30" s="458" t="s">
        <v>11</v>
      </c>
      <c r="D30" s="693"/>
      <c r="E30" s="694" t="s">
        <v>244</v>
      </c>
      <c r="F30" s="694" t="s">
        <v>319</v>
      </c>
      <c r="G30" s="694"/>
      <c r="H30" s="694" t="s">
        <v>232</v>
      </c>
      <c r="I30" s="695" t="s">
        <v>323</v>
      </c>
    </row>
    <row r="31" spans="1:11" ht="166.5" x14ac:dyDescent="0.25">
      <c r="A31" s="913"/>
      <c r="B31" s="862"/>
      <c r="C31" s="458" t="s">
        <v>12</v>
      </c>
      <c r="D31" s="693"/>
      <c r="E31" s="694" t="s">
        <v>308</v>
      </c>
      <c r="F31" s="694"/>
      <c r="G31" s="718" t="s">
        <v>347</v>
      </c>
      <c r="H31" s="718" t="s">
        <v>327</v>
      </c>
      <c r="I31" s="695"/>
    </row>
    <row r="32" spans="1:11" ht="194.25" x14ac:dyDescent="0.25">
      <c r="A32" s="913"/>
      <c r="B32" s="862"/>
      <c r="C32" s="458" t="s">
        <v>13</v>
      </c>
      <c r="D32" s="693"/>
      <c r="E32" s="694"/>
      <c r="F32" s="694"/>
      <c r="G32" s="718" t="s">
        <v>333</v>
      </c>
      <c r="H32" s="718"/>
      <c r="I32" s="695"/>
    </row>
    <row r="33" spans="1:9" ht="111.75" thickBot="1" x14ac:dyDescent="0.3">
      <c r="A33" s="915"/>
      <c r="B33" s="862"/>
      <c r="C33" s="449" t="s">
        <v>15</v>
      </c>
      <c r="D33" s="711"/>
      <c r="E33" s="712"/>
      <c r="F33" s="712"/>
      <c r="G33" s="731" t="s">
        <v>331</v>
      </c>
      <c r="H33" s="712"/>
      <c r="I33" s="713"/>
    </row>
    <row r="34" spans="1:9" s="37" customFormat="1" ht="42.75" customHeight="1" x14ac:dyDescent="0.3">
      <c r="A34" s="916" t="s">
        <v>47</v>
      </c>
      <c r="B34" s="918">
        <f>B29+1</f>
        <v>46319</v>
      </c>
      <c r="C34" s="475" t="s">
        <v>10</v>
      </c>
      <c r="D34" s="395"/>
      <c r="E34" s="396"/>
      <c r="F34" s="396"/>
      <c r="G34" s="396"/>
      <c r="H34" s="396"/>
      <c r="I34" s="397"/>
    </row>
    <row r="35" spans="1:9" s="37" customFormat="1" ht="42.75" customHeight="1" x14ac:dyDescent="0.3">
      <c r="A35" s="916"/>
      <c r="B35" s="916"/>
      <c r="C35" s="476" t="s">
        <v>11</v>
      </c>
      <c r="D35" s="248"/>
      <c r="E35" s="135"/>
      <c r="F35" s="135"/>
      <c r="G35" s="135"/>
      <c r="H35" s="136"/>
      <c r="I35" s="249"/>
    </row>
    <row r="36" spans="1:9" s="37" customFormat="1" ht="42.75" customHeight="1" x14ac:dyDescent="0.3">
      <c r="A36" s="916"/>
      <c r="B36" s="916"/>
      <c r="C36" s="476" t="s">
        <v>12</v>
      </c>
      <c r="D36" s="248"/>
      <c r="E36" s="135"/>
      <c r="F36" s="135"/>
      <c r="G36" s="367"/>
      <c r="H36" s="135"/>
      <c r="I36" s="368"/>
    </row>
    <row r="37" spans="1:9" s="37" customFormat="1" ht="42.75" customHeight="1" x14ac:dyDescent="0.3">
      <c r="A37" s="916"/>
      <c r="B37" s="916"/>
      <c r="C37" s="476" t="s">
        <v>13</v>
      </c>
      <c r="D37" s="141"/>
      <c r="E37" s="136"/>
      <c r="F37" s="136"/>
      <c r="G37" s="136"/>
      <c r="H37" s="135"/>
      <c r="I37" s="142"/>
    </row>
    <row r="38" spans="1:9" s="37" customFormat="1" ht="42.75" customHeight="1" thickBot="1" x14ac:dyDescent="0.35">
      <c r="A38" s="917"/>
      <c r="B38" s="917"/>
      <c r="C38" s="477" t="s">
        <v>15</v>
      </c>
      <c r="D38" s="143"/>
      <c r="E38" s="96"/>
      <c r="F38" s="96"/>
      <c r="G38" s="96"/>
      <c r="H38" s="96"/>
      <c r="I38" s="108"/>
    </row>
    <row r="39" spans="1:9" ht="26.25" x14ac:dyDescent="0.25">
      <c r="A39" s="2"/>
      <c r="B39" s="2"/>
      <c r="C39" s="2"/>
      <c r="D39" s="181" t="s">
        <v>86</v>
      </c>
      <c r="E39" s="2"/>
      <c r="F39" s="2"/>
      <c r="G39" s="2"/>
      <c r="H39" s="2"/>
      <c r="I39" s="2"/>
    </row>
    <row r="40" spans="1:9" s="19" customFormat="1" ht="20.25" x14ac:dyDescent="0.3">
      <c r="A40" s="18"/>
      <c r="B40" s="18"/>
      <c r="C40" s="58" t="str">
        <f>'01.09'!C39</f>
        <v>*Л. Речевое общение в профессиональной деятельности*</v>
      </c>
      <c r="D40" s="59">
        <f>'12.10'!D40+COUNTIF(D$8:D$38,$C40)</f>
        <v>5</v>
      </c>
      <c r="E40" s="59">
        <f>'12.10'!E40+COUNTIF(E$8:E$38,$C40)</f>
        <v>5</v>
      </c>
      <c r="F40" s="59">
        <f>'12.10'!F40+COUNTIF(F$8:F$38,$C40)</f>
        <v>5</v>
      </c>
      <c r="G40" s="59">
        <f>'12.10'!G40+COUNTIF(G$8:G$38,$C40)</f>
        <v>5</v>
      </c>
      <c r="H40" s="59">
        <f>'12.10'!H40+COUNTIF(H$8:H$38,$C40)</f>
        <v>5</v>
      </c>
      <c r="I40" s="59">
        <f>'12.10'!I40+COUNTIF(I$8:I$38,$C40)</f>
        <v>5</v>
      </c>
    </row>
    <row r="41" spans="1:9" s="19" customFormat="1" ht="20.25" x14ac:dyDescent="0.3">
      <c r="A41" s="18"/>
      <c r="B41" s="18"/>
      <c r="C41" s="58" t="str">
        <f>'01.09'!C40</f>
        <v>*Пр. Речевое общение в профессиональной деятельности*</v>
      </c>
      <c r="D41" s="60">
        <f>'12.10'!D41+COUNTIF(D$8:D$38,$C41)</f>
        <v>3</v>
      </c>
      <c r="E41" s="60">
        <f>'12.10'!E41+COUNTIF(E$8:E$38,$C41)</f>
        <v>3</v>
      </c>
      <c r="F41" s="59">
        <f>'12.10'!F41+COUNTIF(F$8:F$38,$C41)</f>
        <v>3</v>
      </c>
      <c r="G41" s="60">
        <f>'12.10'!G41+COUNTIF(G$8:G$38,$C41)</f>
        <v>3</v>
      </c>
      <c r="H41" s="60">
        <f>'12.10'!H41+COUNTIF(H$8:H$38,$C41)</f>
        <v>3</v>
      </c>
      <c r="I41" s="60">
        <f>'12.10'!I41+COUNTIF(I$8:I$38,$C41)</f>
        <v>3</v>
      </c>
    </row>
    <row r="42" spans="1:9" s="19" customFormat="1" ht="20.25" x14ac:dyDescent="0.3">
      <c r="A42" s="18"/>
      <c r="B42" s="18"/>
      <c r="C42" s="58" t="str">
        <f>'01.09'!C41</f>
        <v>*Л. Элективные дисциплины по ФКиС: Силовая подготовка*</v>
      </c>
      <c r="D42" s="59">
        <f>'12.10'!D42+COUNTIF(D$8:D$38,$C42)</f>
        <v>1</v>
      </c>
      <c r="E42" s="59">
        <f>'12.10'!E42+COUNTIF(E$8:E$38,$C42)</f>
        <v>1</v>
      </c>
      <c r="F42" s="59">
        <f>'12.10'!F42+COUNTIF(F$8:F$38,$C42)</f>
        <v>1</v>
      </c>
      <c r="G42" s="59">
        <f>'12.10'!G42+COUNTIF(G$8:G$38,$C42)</f>
        <v>1</v>
      </c>
      <c r="H42" s="59">
        <f>'12.10'!H42+COUNTIF(H$8:H$38,$C42)</f>
        <v>1</v>
      </c>
      <c r="I42" s="59">
        <f>'12.10'!I42+COUNTIF(I$8:I$38,$C42)</f>
        <v>1</v>
      </c>
    </row>
    <row r="43" spans="1:9" s="19" customFormat="1" ht="20.25" x14ac:dyDescent="0.3">
      <c r="A43" s="18"/>
      <c r="B43" s="18"/>
      <c r="C43" s="58" t="str">
        <f>'01.09'!C42</f>
        <v>*Пр. Элективные дисциплины по ФКиС: Силовая подготовка*</v>
      </c>
      <c r="D43" s="60">
        <f>'12.10'!D43+COUNTIF(D$8:D$38,$C43)</f>
        <v>7</v>
      </c>
      <c r="E43" s="60">
        <f>'12.10'!E43+COUNTIF(E$8:E$38,$C43)</f>
        <v>8</v>
      </c>
      <c r="F43" s="59">
        <f>'12.10'!F43+COUNTIF(F$8:F$38,$C43)</f>
        <v>8</v>
      </c>
      <c r="G43" s="60">
        <f>'12.10'!G43+COUNTIF(G$8:G$38,$C43)</f>
        <v>9</v>
      </c>
      <c r="H43" s="60">
        <f>'12.10'!H43+COUNTIF(H$8:H$38,$C43)</f>
        <v>8</v>
      </c>
      <c r="I43" s="60">
        <f>'12.10'!I43+COUNTIF(I$8:I$38,$C43)</f>
        <v>7</v>
      </c>
    </row>
    <row r="44" spans="1:9" s="19" customFormat="1" ht="20.25" x14ac:dyDescent="0.3">
      <c r="A44" s="18"/>
      <c r="B44" s="18"/>
      <c r="C44" s="58" t="str">
        <f>'01.09'!C43</f>
        <v>*Л. Анатомия*</v>
      </c>
      <c r="D44" s="59">
        <f>'12.10'!D44+COUNTIF(D$8:D$38,$C44)</f>
        <v>4</v>
      </c>
      <c r="E44" s="59">
        <f>'12.10'!E44+COUNTIF(E$8:E$38,$C44)</f>
        <v>4</v>
      </c>
      <c r="F44" s="59">
        <f>'12.10'!F44+COUNTIF(F$8:F$38,$C44)</f>
        <v>4</v>
      </c>
      <c r="G44" s="59">
        <f>'12.10'!G44+COUNTIF(G$8:G$38,$C44)</f>
        <v>4</v>
      </c>
      <c r="H44" s="59">
        <f>'12.10'!H44+COUNTIF(H$8:H$38,$C44)</f>
        <v>4</v>
      </c>
      <c r="I44" s="59">
        <f>'12.10'!I44+COUNTIF(I$8:I$38,$C44)</f>
        <v>4</v>
      </c>
    </row>
    <row r="45" spans="1:9" s="19" customFormat="1" ht="20.25" x14ac:dyDescent="0.3">
      <c r="A45" s="18"/>
      <c r="B45" s="18"/>
      <c r="C45" s="58" t="str">
        <f>'01.09'!C44</f>
        <v>*Пр. Анатомия*</v>
      </c>
      <c r="D45" s="60">
        <f>'12.10'!D45+COUNTIF(D$8:D$38,$C45)</f>
        <v>3</v>
      </c>
      <c r="E45" s="60">
        <f>'12.10'!E45+COUNTIF(E$8:E$38,$C45)</f>
        <v>3</v>
      </c>
      <c r="F45" s="59">
        <f>'12.10'!F45+COUNTIF(F$8:F$38,$C45)</f>
        <v>3</v>
      </c>
      <c r="G45" s="60">
        <f>'12.10'!G45+COUNTIF(G$8:G$38,$C45)</f>
        <v>3</v>
      </c>
      <c r="H45" s="60">
        <f>'12.10'!H45+COUNTIF(H$8:H$38,$C45)</f>
        <v>3</v>
      </c>
      <c r="I45" s="60">
        <f>'12.10'!I45+COUNTIF(I$8:I$38,$C45)</f>
        <v>3</v>
      </c>
    </row>
    <row r="46" spans="1:9" s="19" customFormat="1" ht="20.25" x14ac:dyDescent="0.3">
      <c r="A46" s="18"/>
      <c r="B46" s="18"/>
      <c r="C46" s="58" t="str">
        <f>'01.09'!C45</f>
        <v>*Л. Теория и методика*</v>
      </c>
      <c r="D46" s="59">
        <f>'12.10'!D46+COUNTIF(D$8:D$38,$C46)</f>
        <v>4</v>
      </c>
      <c r="E46" s="59">
        <f>'12.10'!E46+COUNTIF(E$8:E$38,$C46)</f>
        <v>3</v>
      </c>
      <c r="F46" s="59">
        <f>'12.10'!F46+COUNTIF(F$8:F$38,$C46)</f>
        <v>3</v>
      </c>
      <c r="G46" s="59">
        <f>'12.10'!G46+COUNTIF(G$8:G$38,$C46)</f>
        <v>3</v>
      </c>
      <c r="H46" s="59">
        <f>'12.10'!H46+COUNTIF(H$8:H$38,$C46)</f>
        <v>4</v>
      </c>
      <c r="I46" s="59">
        <f>'12.10'!I46+COUNTIF(I$8:I$38,$C46)</f>
        <v>2</v>
      </c>
    </row>
    <row r="47" spans="1:9" s="19" customFormat="1" ht="20.25" x14ac:dyDescent="0.3">
      <c r="A47" s="18"/>
      <c r="B47" s="18"/>
      <c r="C47" s="58" t="str">
        <f>'01.09'!C46</f>
        <v>*Пр. Теория и методика*</v>
      </c>
      <c r="D47" s="60">
        <f>'12.10'!D47+COUNTIF(D$8:D$38,$C47)</f>
        <v>22</v>
      </c>
      <c r="E47" s="60">
        <f>'12.10'!E47+COUNTIF(E$8:E$38,$C47)</f>
        <v>21</v>
      </c>
      <c r="F47" s="59">
        <f>'12.10'!F47+COUNTIF(F$8:F$38,$C47)</f>
        <v>21</v>
      </c>
      <c r="G47" s="60">
        <f>'12.10'!G47+COUNTIF(G$8:G$38,$C47)</f>
        <v>21</v>
      </c>
      <c r="H47" s="60">
        <f>'12.10'!H47+COUNTIF(H$8:H$38,$C47)</f>
        <v>23</v>
      </c>
      <c r="I47" s="60">
        <f>'12.10'!I47+COUNTIF(I$8:I$38,$C47)</f>
        <v>19</v>
      </c>
    </row>
    <row r="48" spans="1:9" s="19" customFormat="1" ht="20.25" x14ac:dyDescent="0.3">
      <c r="A48" s="18"/>
      <c r="B48" s="18"/>
      <c r="C48" s="58" t="str">
        <f>'01.09'!C47</f>
        <v>*Л. Физическая культура и спорт*</v>
      </c>
      <c r="D48" s="59">
        <f>'12.10'!D48+COUNTIF(D$8:D$38,$C48)</f>
        <v>5</v>
      </c>
      <c r="E48" s="59">
        <f>'12.10'!E48+COUNTIF(E$8:E$38,$C48)</f>
        <v>5</v>
      </c>
      <c r="F48" s="59">
        <f>'12.10'!F48+COUNTIF(F$8:F$38,$C48)</f>
        <v>5</v>
      </c>
      <c r="G48" s="59">
        <f>'12.10'!G48+COUNTIF(G$8:G$38,$C48)</f>
        <v>5</v>
      </c>
      <c r="H48" s="59">
        <f>'12.10'!H48+COUNTIF(H$8:H$38,$C48)</f>
        <v>5</v>
      </c>
      <c r="I48" s="59">
        <f>'12.10'!I48+COUNTIF(I$8:I$38,$C48)</f>
        <v>5</v>
      </c>
    </row>
    <row r="49" spans="1:9" s="19" customFormat="1" ht="20.25" x14ac:dyDescent="0.3">
      <c r="A49" s="18"/>
      <c r="B49" s="18"/>
      <c r="C49" s="58" t="str">
        <f>'01.09'!C48</f>
        <v>*Пр. Физическая культура и спорт*</v>
      </c>
      <c r="D49" s="60">
        <f>'12.10'!D49+COUNTIF(D$8:D$38,$C49)</f>
        <v>4</v>
      </c>
      <c r="E49" s="60">
        <f>'12.10'!E49+COUNTIF(E$8:E$38,$C49)</f>
        <v>4</v>
      </c>
      <c r="F49" s="59">
        <f>'12.10'!F49+COUNTIF(F$8:F$38,$C49)</f>
        <v>4</v>
      </c>
      <c r="G49" s="60">
        <f>'12.10'!G49+COUNTIF(G$8:G$38,$C49)</f>
        <v>4</v>
      </c>
      <c r="H49" s="60">
        <f>'12.10'!H49+COUNTIF(H$8:H$38,$C49)</f>
        <v>4</v>
      </c>
      <c r="I49" s="60">
        <f>'12.10'!I49+COUNTIF(I$8:I$38,$C49)</f>
        <v>4</v>
      </c>
    </row>
    <row r="50" spans="1:9" s="19" customFormat="1" ht="20.25" x14ac:dyDescent="0.3">
      <c r="A50" s="18"/>
      <c r="B50" s="18"/>
      <c r="C50" s="58" t="str">
        <f>'01.09'!C49</f>
        <v>*Л. Информационные технологии*</v>
      </c>
      <c r="D50" s="59">
        <f>'12.10'!D50+COUNTIF(D$8:D$38,$C50)</f>
        <v>2</v>
      </c>
      <c r="E50" s="59">
        <f>'12.10'!E50+COUNTIF(E$8:E$38,$C50)</f>
        <v>2</v>
      </c>
      <c r="F50" s="59">
        <f>'12.10'!F50+COUNTIF(F$8:F$38,$C50)</f>
        <v>2</v>
      </c>
      <c r="G50" s="59">
        <f>'12.10'!G50+COUNTIF(G$8:G$38,$C50)</f>
        <v>2</v>
      </c>
      <c r="H50" s="59">
        <f>'12.10'!H50+COUNTIF(H$8:H$38,$C50)</f>
        <v>2</v>
      </c>
      <c r="I50" s="59">
        <f>'12.10'!I50+COUNTIF(I$8:I$38,$C50)</f>
        <v>2</v>
      </c>
    </row>
    <row r="51" spans="1:9" s="19" customFormat="1" ht="20.25" x14ac:dyDescent="0.3">
      <c r="A51" s="18"/>
      <c r="B51" s="18"/>
      <c r="C51" s="58" t="str">
        <f>'01.09'!C50</f>
        <v>*Пр. Информационные технологии*</v>
      </c>
      <c r="D51" s="60">
        <f>'12.10'!D51+COUNTIF(D$8:D$38,$C51)</f>
        <v>7</v>
      </c>
      <c r="E51" s="60">
        <f>'12.10'!E51+COUNTIF(E$8:E$38,$C51)</f>
        <v>7</v>
      </c>
      <c r="F51" s="59">
        <f>'12.10'!F51+COUNTIF(F$8:F$38,$C51)</f>
        <v>7</v>
      </c>
      <c r="G51" s="60">
        <f>'12.10'!G51+COUNTIF(G$8:G$38,$C51)</f>
        <v>7</v>
      </c>
      <c r="H51" s="60">
        <f>'12.10'!H51+COUNTIF(H$8:H$38,$C51)</f>
        <v>7</v>
      </c>
      <c r="I51" s="60">
        <f>'12.10'!I51+COUNTIF(I$8:I$38,$C51)</f>
        <v>7</v>
      </c>
    </row>
    <row r="52" spans="1:9" s="19" customFormat="1" ht="20.25" x14ac:dyDescent="0.3">
      <c r="A52" s="18"/>
      <c r="B52" s="18"/>
      <c r="C52" s="58" t="str">
        <f>'01.09'!C51</f>
        <v>*Л. Гимнастика*</v>
      </c>
      <c r="D52" s="59">
        <f>'12.10'!D52+COUNTIF(D$8:D$38,$C52)</f>
        <v>3</v>
      </c>
      <c r="E52" s="59">
        <f>'12.10'!E52+COUNTIF(E$8:E$38,$C52)</f>
        <v>3</v>
      </c>
      <c r="F52" s="59">
        <f>'12.10'!F52+COUNTIF(F$8:F$38,$C52)</f>
        <v>3</v>
      </c>
      <c r="G52" s="59">
        <f>'12.10'!G52+COUNTIF(G$8:G$38,$C52)</f>
        <v>3</v>
      </c>
      <c r="H52" s="59">
        <f>'12.10'!H52+COUNTIF(H$8:H$38,$C52)</f>
        <v>3</v>
      </c>
      <c r="I52" s="59">
        <f>'12.10'!I52+COUNTIF(I$8:I$38,$C52)</f>
        <v>3</v>
      </c>
    </row>
    <row r="53" spans="1:9" s="19" customFormat="1" ht="20.25" x14ac:dyDescent="0.3">
      <c r="A53" s="18"/>
      <c r="B53" s="18"/>
      <c r="C53" s="58" t="str">
        <f>'01.09'!C52</f>
        <v>*Пр. Гимнастика*</v>
      </c>
      <c r="D53" s="60">
        <f>'12.10'!D53+COUNTIF(D$8:D$38,$C53)</f>
        <v>7</v>
      </c>
      <c r="E53" s="60">
        <f>'12.10'!E53+COUNTIF(E$8:E$38,$C53)</f>
        <v>12</v>
      </c>
      <c r="F53" s="59">
        <f>'12.10'!F53+COUNTIF(F$8:F$38,$C53)</f>
        <v>11</v>
      </c>
      <c r="G53" s="60">
        <f>'12.10'!G53+COUNTIF(G$8:G$38,$C53)</f>
        <v>10</v>
      </c>
      <c r="H53" s="60">
        <f>'12.10'!H53+COUNTIF(H$8:H$38,$C53)</f>
        <v>12</v>
      </c>
      <c r="I53" s="60">
        <f>'12.10'!I53+COUNTIF(I$8:I$38,$C53)</f>
        <v>11</v>
      </c>
    </row>
    <row r="54" spans="1:9" s="19" customFormat="1" ht="20.25" x14ac:dyDescent="0.3">
      <c r="A54" s="18"/>
      <c r="B54" s="18"/>
      <c r="C54" s="58" t="str">
        <f>'01.09'!C53</f>
        <v>*Л. Волейбол*</v>
      </c>
      <c r="D54" s="59">
        <f>'12.10'!D54+COUNTIF(D$8:D$38,$C54)</f>
        <v>1</v>
      </c>
      <c r="E54" s="59">
        <f>'12.10'!E54+COUNTIF(E$8:E$38,$C54)</f>
        <v>1</v>
      </c>
      <c r="F54" s="59">
        <f>'12.10'!F54+COUNTIF(F$8:F$38,$C54)</f>
        <v>1</v>
      </c>
      <c r="G54" s="59">
        <f>'12.10'!G54+COUNTIF(G$8:G$38,$C54)</f>
        <v>1</v>
      </c>
      <c r="H54" s="59">
        <f>'12.10'!H54+COUNTIF(H$8:H$38,$C54)</f>
        <v>1</v>
      </c>
      <c r="I54" s="59">
        <f>'12.10'!I54+COUNTIF(I$8:I$38,$C54)</f>
        <v>1</v>
      </c>
    </row>
    <row r="55" spans="1:9" s="19" customFormat="1" ht="20.25" x14ac:dyDescent="0.3">
      <c r="A55" s="18"/>
      <c r="B55" s="18"/>
      <c r="C55" s="58" t="str">
        <f>'01.09'!C54</f>
        <v>*Пр. Волейбол*</v>
      </c>
      <c r="D55" s="60">
        <f>'12.10'!D55+COUNTIF(D$8:D$38,$C55)</f>
        <v>14</v>
      </c>
      <c r="E55" s="60">
        <f>'12.10'!E55+COUNTIF(E$8:E$38,$C55)</f>
        <v>14</v>
      </c>
      <c r="F55" s="59">
        <f>'12.10'!F55+COUNTIF(F$8:F$38,$C55)</f>
        <v>7</v>
      </c>
      <c r="G55" s="60">
        <f>'12.10'!G55+COUNTIF(G$8:G$38,$C55)</f>
        <v>7</v>
      </c>
      <c r="H55" s="60">
        <f>'12.10'!H55+COUNTIF(H$8:H$38,$C55)</f>
        <v>14</v>
      </c>
      <c r="I55" s="60">
        <f>'12.10'!I55+COUNTIF(I$8:I$38,$C55)</f>
        <v>14</v>
      </c>
    </row>
    <row r="56" spans="1:9" s="19" customFormat="1" ht="20.25" x14ac:dyDescent="0.3">
      <c r="A56" s="18"/>
      <c r="B56" s="18"/>
      <c r="C56" s="58" t="str">
        <f>'01.09'!C55</f>
        <v>*Л. Лыжные гонки*</v>
      </c>
      <c r="D56" s="59">
        <f>'12.10'!D56+COUNTIF(D$8:D$38,$C56)</f>
        <v>0</v>
      </c>
      <c r="E56" s="59">
        <f>'12.10'!E56+COUNTIF(E$8:E$38,$C56)</f>
        <v>0</v>
      </c>
      <c r="F56" s="59">
        <f>'12.10'!F56+COUNTIF(F$8:F$38,$C56)</f>
        <v>0</v>
      </c>
      <c r="G56" s="59">
        <f>'12.10'!G56+COUNTIF(G$8:G$38,$C56)</f>
        <v>0</v>
      </c>
      <c r="H56" s="59">
        <f>'12.10'!H56+COUNTIF(H$8:H$38,$C56)</f>
        <v>0</v>
      </c>
      <c r="I56" s="59">
        <f>'12.10'!I56+COUNTIF(I$8:I$38,$C56)</f>
        <v>0</v>
      </c>
    </row>
    <row r="57" spans="1:9" s="19" customFormat="1" ht="20.25" x14ac:dyDescent="0.3">
      <c r="A57" s="18"/>
      <c r="B57" s="18"/>
      <c r="C57" s="58" t="str">
        <f>'01.09'!C56</f>
        <v>*Пр. Лыжные гонки*</v>
      </c>
      <c r="D57" s="60">
        <f>'12.10'!D57+COUNTIF(D$8:D$38,$C57)</f>
        <v>0</v>
      </c>
      <c r="E57" s="60">
        <f>'12.10'!E57+COUNTIF(E$8:E$38,$C57)</f>
        <v>0</v>
      </c>
      <c r="F57" s="59">
        <f>'12.10'!F57+COUNTIF(F$8:F$38,$C57)</f>
        <v>0</v>
      </c>
      <c r="G57" s="60">
        <f>'12.10'!G57+COUNTIF(G$8:G$38,$C57)</f>
        <v>0</v>
      </c>
      <c r="H57" s="60">
        <f>'12.10'!H57+COUNTIF(H$8:H$38,$C57)</f>
        <v>0</v>
      </c>
      <c r="I57" s="60">
        <f>'12.10'!I57+COUNTIF(I$8:I$38,$C57)</f>
        <v>0</v>
      </c>
    </row>
    <row r="58" spans="1:9" s="19" customFormat="1" ht="20.25" x14ac:dyDescent="0.3">
      <c r="A58" s="18"/>
      <c r="B58" s="18"/>
      <c r="C58" s="58" t="str">
        <f>'01.09'!C57</f>
        <v>*Л. Использование электронной*</v>
      </c>
      <c r="D58" s="59">
        <f>'12.10'!D58+COUNTIF(D$8:D$38,$C58)</f>
        <v>1</v>
      </c>
      <c r="E58" s="59">
        <f>'12.10'!E58+COUNTIF(E$8:E$38,$C58)</f>
        <v>0</v>
      </c>
      <c r="F58" s="59">
        <f>'12.10'!F58+COUNTIF(F$8:F$38,$C58)</f>
        <v>0</v>
      </c>
      <c r="G58" s="59">
        <f>'12.10'!G58+COUNTIF(G$8:G$38,$C58)</f>
        <v>0</v>
      </c>
      <c r="H58" s="59">
        <f>'12.10'!H58+COUNTIF(H$8:H$38,$C58)</f>
        <v>0</v>
      </c>
      <c r="I58" s="59">
        <f>'12.10'!I58+COUNTIF(I$8:I$38,$C58)</f>
        <v>0</v>
      </c>
    </row>
    <row r="59" spans="1:9" s="19" customFormat="1" ht="20.25" x14ac:dyDescent="0.3">
      <c r="A59" s="18"/>
      <c r="B59" s="18"/>
      <c r="C59" s="58" t="str">
        <f>'01.09'!C58</f>
        <v>*Пр. Использование электронной*</v>
      </c>
      <c r="D59" s="60">
        <f>'12.10'!D59+COUNTIF(D$8:D$38,$C59)</f>
        <v>2</v>
      </c>
      <c r="E59" s="60">
        <f>'12.10'!E59+COUNTIF(E$8:E$38,$C59)</f>
        <v>2</v>
      </c>
      <c r="F59" s="59">
        <f>'12.10'!F59+COUNTIF(F$8:F$38,$C59)</f>
        <v>2</v>
      </c>
      <c r="G59" s="60">
        <f>'12.10'!G59+COUNTIF(G$8:G$38,$C59)</f>
        <v>2</v>
      </c>
      <c r="H59" s="60">
        <f>'12.10'!H59+COUNTIF(H$8:H$38,$C59)</f>
        <v>2</v>
      </c>
      <c r="I59" s="60">
        <f>'12.10'!I59+COUNTIF(I$8:I$38,$C59)</f>
        <v>2</v>
      </c>
    </row>
    <row r="60" spans="1:9" s="19" customFormat="1" ht="20.25" x14ac:dyDescent="0.3">
      <c r="A60" s="18"/>
      <c r="B60" s="18"/>
      <c r="C60" s="58" t="str">
        <f>'01.09'!C59</f>
        <v>*Пр. Иностранный язык*</v>
      </c>
      <c r="D60" s="59">
        <f>'12.10'!D60+COUNTIF(D$8:D$38,$C60)</f>
        <v>7</v>
      </c>
      <c r="E60" s="59">
        <f>'12.10'!E60+COUNTIF(E$8:E$38,$C60)</f>
        <v>7</v>
      </c>
      <c r="F60" s="59">
        <f>'12.10'!F60+COUNTIF(F$8:F$38,$C60)</f>
        <v>7</v>
      </c>
      <c r="G60" s="59">
        <f>'12.10'!G60+COUNTIF(G$8:G$38,$C60)</f>
        <v>7</v>
      </c>
      <c r="H60" s="59">
        <f>'12.10'!H60+COUNTIF(H$8:H$38,$C60)</f>
        <v>7</v>
      </c>
      <c r="I60" s="59">
        <f>'12.10'!I60+COUNTIF(I$8:I$38,$C60)</f>
        <v>7</v>
      </c>
    </row>
    <row r="61" spans="1:9" s="19" customFormat="1" ht="20.25" x14ac:dyDescent="0.3">
      <c r="A61" s="18"/>
      <c r="B61" s="18"/>
      <c r="C61" s="58" t="str">
        <f>'01.09'!C60</f>
        <v>*С1-04А-26*</v>
      </c>
      <c r="D61" s="60">
        <f>'12.10'!D61+COUNTIF(D$8:D$38,$C61)</f>
        <v>0</v>
      </c>
      <c r="E61" s="60">
        <f>'12.10'!E61+COUNTIF(E$8:E$38,$C61)</f>
        <v>0</v>
      </c>
      <c r="F61" s="59">
        <f>'12.10'!F61+COUNTIF(F$8:F$38,$C61)</f>
        <v>0</v>
      </c>
      <c r="G61" s="60">
        <f>'12.10'!G61+COUNTIF(G$8:G$38,$C61)</f>
        <v>14</v>
      </c>
      <c r="H61" s="60">
        <f>'12.10'!H61+COUNTIF(H$8:H$38,$C61)</f>
        <v>0</v>
      </c>
      <c r="I61" s="60">
        <f>'12.10'!I61+COUNTIF(I$8:I$38,$C61)</f>
        <v>0</v>
      </c>
    </row>
    <row r="62" spans="1:9" ht="20.25" x14ac:dyDescent="0.3">
      <c r="A62" s="2"/>
      <c r="B62" s="2"/>
      <c r="C62" s="58" t="str">
        <f>'01.09'!C61</f>
        <v>*С1-04Б-26*</v>
      </c>
      <c r="D62" s="59">
        <f>'12.10'!D62+COUNTIF(D$8:D$38,$C62)</f>
        <v>0</v>
      </c>
      <c r="E62" s="59">
        <f>'12.10'!E62+COUNTIF(E$8:E$38,$C62)</f>
        <v>0</v>
      </c>
      <c r="F62" s="59">
        <f>'12.10'!F62+COUNTIF(F$8:F$38,$C62)</f>
        <v>0</v>
      </c>
      <c r="G62" s="59">
        <f>'12.10'!G62+COUNTIF(G$8:G$38,$C62)</f>
        <v>14</v>
      </c>
      <c r="H62" s="59">
        <f>'12.10'!H62+COUNTIF(H$8:H$38,$C62)</f>
        <v>0</v>
      </c>
      <c r="I62" s="59">
        <f>'12.10'!I62+COUNTIF(I$8:I$38,$C62)</f>
        <v>0</v>
      </c>
    </row>
    <row r="63" spans="1:9" ht="20.25" x14ac:dyDescent="0.3">
      <c r="A63" s="2"/>
      <c r="B63" s="2"/>
      <c r="C63" s="58" t="str">
        <f>'01.09'!C62</f>
        <v>*С1-05А-26*</v>
      </c>
      <c r="D63" s="60">
        <f>'12.10'!D63+COUNTIF(D$8:D$38,$C63)</f>
        <v>0</v>
      </c>
      <c r="E63" s="60">
        <f>'12.10'!E63+COUNTIF(E$8:E$38,$C63)</f>
        <v>0</v>
      </c>
      <c r="F63" s="59">
        <f>'12.10'!F63+COUNTIF(F$8:F$38,$C63)</f>
        <v>0</v>
      </c>
      <c r="G63" s="60">
        <f>'12.10'!G63+COUNTIF(G$8:G$38,$C63)</f>
        <v>0</v>
      </c>
      <c r="H63" s="60">
        <f>'12.10'!H63+COUNTIF(H$8:H$38,$C63)</f>
        <v>6</v>
      </c>
      <c r="I63" s="60">
        <f>'12.10'!I63+COUNTIF(I$8:I$38,$C63)</f>
        <v>0</v>
      </c>
    </row>
    <row r="64" spans="1:9" ht="20.25" x14ac:dyDescent="0.3">
      <c r="A64" s="2"/>
      <c r="B64" s="2"/>
      <c r="C64" s="58" t="str">
        <f>'01.09'!C63</f>
        <v>*С1-05Б-26*</v>
      </c>
      <c r="D64" s="59">
        <f>'12.10'!D64+COUNTIF(D$8:D$38,$C64)</f>
        <v>0</v>
      </c>
      <c r="E64" s="59">
        <f>'12.10'!E64+COUNTIF(E$8:E$38,$C64)</f>
        <v>0</v>
      </c>
      <c r="F64" s="59">
        <f>'12.10'!F64+COUNTIF(F$8:F$38,$C64)</f>
        <v>0</v>
      </c>
      <c r="G64" s="59">
        <f>'12.10'!G64+COUNTIF(G$8:G$38,$C64)</f>
        <v>0</v>
      </c>
      <c r="H64" s="59">
        <f>'12.10'!H64+COUNTIF(H$8:H$38,$C64)</f>
        <v>6</v>
      </c>
      <c r="I64" s="59">
        <f>'12.10'!I64+COUNTIF(I$8:I$38,$C64)</f>
        <v>0</v>
      </c>
    </row>
    <row r="65" spans="1:9" ht="20.25" x14ac:dyDescent="0.3">
      <c r="A65" s="2"/>
      <c r="B65" s="2"/>
      <c r="C65" s="58">
        <f>'01.09'!C64</f>
        <v>0</v>
      </c>
      <c r="D65" s="60">
        <f>'12.10'!D65+COUNTIF(D$8:D$38,$C65)</f>
        <v>0</v>
      </c>
      <c r="E65" s="60">
        <f>'12.10'!E65+COUNTIF(E$8:E$38,$C65)</f>
        <v>0</v>
      </c>
      <c r="F65" s="59">
        <f>'12.10'!F65+COUNTIF(F$8:F$38,$C65)</f>
        <v>0</v>
      </c>
      <c r="G65" s="60">
        <f>'12.10'!G65+COUNTIF(G$8:G$38,$C65)</f>
        <v>0</v>
      </c>
      <c r="H65" s="60">
        <f>'12.10'!H65+COUNTIF(H$8:H$38,$C65)</f>
        <v>0</v>
      </c>
      <c r="I65" s="60">
        <f>'12.10'!I65+COUNTIF(I$8:I$38,$C65)</f>
        <v>0</v>
      </c>
    </row>
    <row r="66" spans="1:9" ht="20.25" x14ac:dyDescent="0.3">
      <c r="A66" s="2"/>
      <c r="B66" s="2"/>
      <c r="C66" s="58">
        <f>'01.09'!C65</f>
        <v>0</v>
      </c>
      <c r="D66" s="59">
        <f>'12.10'!D66+COUNTIF(D$8:D$38,$C66)</f>
        <v>0</v>
      </c>
      <c r="E66" s="59">
        <f>'12.10'!E66+COUNTIF(E$8:E$38,$C66)</f>
        <v>0</v>
      </c>
      <c r="F66" s="59">
        <f>'12.10'!F66+COUNTIF(F$8:F$38,$C66)</f>
        <v>0</v>
      </c>
      <c r="G66" s="59">
        <f>'12.10'!G66+COUNTIF(G$8:G$38,$C66)</f>
        <v>0</v>
      </c>
      <c r="H66" s="59">
        <f>'12.10'!H66+COUNTIF(H$8:H$38,$C66)</f>
        <v>0</v>
      </c>
      <c r="I66" s="59">
        <f>'12.10'!I66+COUNTIF(I$8:I$38,$C66)</f>
        <v>0</v>
      </c>
    </row>
    <row r="67" spans="1:9" ht="20.25" x14ac:dyDescent="0.3">
      <c r="A67" s="2"/>
      <c r="B67" s="2"/>
      <c r="C67" s="58">
        <f>'01.09'!C66</f>
        <v>0</v>
      </c>
      <c r="D67" s="60">
        <f>'12.10'!D67+COUNTIF(D$8:D$38,$C67)</f>
        <v>0</v>
      </c>
      <c r="E67" s="60">
        <f>'12.10'!E67+COUNTIF(E$8:E$38,$C67)</f>
        <v>0</v>
      </c>
      <c r="F67" s="59">
        <f>'12.10'!F67+COUNTIF(F$8:F$38,$C67)</f>
        <v>0</v>
      </c>
      <c r="G67" s="60">
        <f>'12.10'!G67+COUNTIF(G$8:G$38,$C67)</f>
        <v>0</v>
      </c>
      <c r="H67" s="60">
        <f>'12.10'!H67+COUNTIF(H$8:H$38,$C67)</f>
        <v>0</v>
      </c>
      <c r="I67" s="60">
        <f>'12.10'!I67+COUNTIF(I$8:I$38,$C67)</f>
        <v>0</v>
      </c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</sheetData>
  <mergeCells count="20">
    <mergeCell ref="B1:I1"/>
    <mergeCell ref="B2:I2"/>
    <mergeCell ref="B3:I3"/>
    <mergeCell ref="B4:I4"/>
    <mergeCell ref="A5:I5"/>
    <mergeCell ref="A34:A38"/>
    <mergeCell ref="B34:B38"/>
    <mergeCell ref="A29:A33"/>
    <mergeCell ref="B29:B33"/>
    <mergeCell ref="C6:C7"/>
    <mergeCell ref="B8:B12"/>
    <mergeCell ref="B13:B18"/>
    <mergeCell ref="A13:A18"/>
    <mergeCell ref="A24:A28"/>
    <mergeCell ref="B19:B23"/>
    <mergeCell ref="B24:B28"/>
    <mergeCell ref="A19:A23"/>
    <mergeCell ref="A8:A12"/>
    <mergeCell ref="A6:A7"/>
    <mergeCell ref="B6:B7"/>
  </mergeCells>
  <phoneticPr fontId="3" type="noConversion"/>
  <pageMargins left="0" right="0" top="0" bottom="0" header="0" footer="0"/>
  <pageSetup paperSize="9" scale="26" fitToWidth="0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I71"/>
  <sheetViews>
    <sheetView view="pageBreakPreview" topLeftCell="A28" zoomScale="40" zoomScaleNormal="40" zoomScaleSheetLayoutView="40" zoomScalePageLayoutView="40" workbookViewId="0">
      <selection activeCell="H36" sqref="H36"/>
    </sheetView>
  </sheetViews>
  <sheetFormatPr defaultRowHeight="15" x14ac:dyDescent="0.25"/>
  <cols>
    <col min="1" max="2" width="4.42578125" customWidth="1"/>
    <col min="3" max="3" width="19.7109375" customWidth="1"/>
    <col min="4" max="9" width="58.7109375" customWidth="1"/>
  </cols>
  <sheetData>
    <row r="1" spans="1:9" ht="30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9" ht="30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9" ht="39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9" ht="30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9" ht="30.75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9" ht="26.25" customHeight="1" thickBot="1" x14ac:dyDescent="0.3">
      <c r="A6" s="875" t="s">
        <v>54</v>
      </c>
      <c r="B6" s="875" t="s">
        <v>14</v>
      </c>
      <c r="C6" s="898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9" ht="160.5" customHeight="1" thickBot="1" x14ac:dyDescent="0.3">
      <c r="A7" s="876"/>
      <c r="B7" s="876"/>
      <c r="C7" s="899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9" ht="72.75" customHeight="1" x14ac:dyDescent="0.25">
      <c r="A8" s="909" t="s">
        <v>0</v>
      </c>
      <c r="B8" s="897">
        <v>46321</v>
      </c>
      <c r="C8" s="451" t="s">
        <v>10</v>
      </c>
      <c r="D8" s="690" t="s">
        <v>236</v>
      </c>
      <c r="E8" s="691"/>
      <c r="F8" s="691"/>
      <c r="G8" s="691"/>
      <c r="H8" s="691"/>
      <c r="I8" s="692"/>
    </row>
    <row r="9" spans="1:9" ht="129.75" customHeight="1" x14ac:dyDescent="0.25">
      <c r="A9" s="913"/>
      <c r="B9" s="862"/>
      <c r="C9" s="452" t="s">
        <v>11</v>
      </c>
      <c r="D9" s="354" t="s">
        <v>264</v>
      </c>
      <c r="E9" s="378"/>
      <c r="F9" s="378"/>
      <c r="G9" s="378"/>
      <c r="H9" s="378" t="s">
        <v>246</v>
      </c>
      <c r="I9" s="708"/>
    </row>
    <row r="10" spans="1:9" ht="138.75" x14ac:dyDescent="0.25">
      <c r="A10" s="913"/>
      <c r="B10" s="862"/>
      <c r="C10" s="452" t="s">
        <v>12</v>
      </c>
      <c r="D10" s="354" t="s">
        <v>240</v>
      </c>
      <c r="E10" s="378" t="s">
        <v>236</v>
      </c>
      <c r="F10" s="378"/>
      <c r="G10" s="378" t="s">
        <v>251</v>
      </c>
      <c r="H10" s="694" t="s">
        <v>232</v>
      </c>
      <c r="I10" s="695" t="s">
        <v>243</v>
      </c>
    </row>
    <row r="11" spans="1:9" ht="111" x14ac:dyDescent="0.25">
      <c r="A11" s="913"/>
      <c r="B11" s="862"/>
      <c r="C11" s="452" t="s">
        <v>13</v>
      </c>
      <c r="D11" s="354" t="s">
        <v>243</v>
      </c>
      <c r="E11" s="378" t="s">
        <v>264</v>
      </c>
      <c r="F11" s="378"/>
      <c r="G11" s="416" t="s">
        <v>295</v>
      </c>
      <c r="H11" s="694" t="s">
        <v>109</v>
      </c>
      <c r="I11" s="695" t="s">
        <v>236</v>
      </c>
    </row>
    <row r="12" spans="1:9" ht="27" thickBot="1" x14ac:dyDescent="0.3">
      <c r="A12" s="913"/>
      <c r="B12" s="862"/>
      <c r="C12" s="453" t="s">
        <v>15</v>
      </c>
      <c r="D12" s="746"/>
      <c r="E12" s="747"/>
      <c r="F12" s="747"/>
      <c r="G12" s="747"/>
      <c r="H12" s="747"/>
      <c r="I12" s="748"/>
    </row>
    <row r="13" spans="1:9" ht="111" x14ac:dyDescent="0.25">
      <c r="A13" s="909" t="s">
        <v>1</v>
      </c>
      <c r="B13" s="861">
        <f>B8+1</f>
        <v>46322</v>
      </c>
      <c r="C13" s="454" t="s">
        <v>10</v>
      </c>
      <c r="D13" s="439"/>
      <c r="E13" s="360"/>
      <c r="F13" s="349" t="s">
        <v>258</v>
      </c>
      <c r="G13" s="349" t="s">
        <v>230</v>
      </c>
      <c r="H13" s="501"/>
      <c r="I13" s="749"/>
    </row>
    <row r="14" spans="1:9" ht="111" x14ac:dyDescent="0.25">
      <c r="A14" s="913"/>
      <c r="B14" s="862"/>
      <c r="C14" s="455" t="s">
        <v>11</v>
      </c>
      <c r="D14" s="353" t="s">
        <v>261</v>
      </c>
      <c r="E14" s="351" t="s">
        <v>260</v>
      </c>
      <c r="F14" s="351" t="s">
        <v>257</v>
      </c>
      <c r="G14" s="351" t="s">
        <v>138</v>
      </c>
      <c r="H14" s="432" t="s">
        <v>342</v>
      </c>
      <c r="I14" s="460" t="s">
        <v>266</v>
      </c>
    </row>
    <row r="15" spans="1:9" ht="111.75" customHeight="1" x14ac:dyDescent="0.25">
      <c r="A15" s="913"/>
      <c r="B15" s="862"/>
      <c r="C15" s="455" t="s">
        <v>12</v>
      </c>
      <c r="D15" s="353" t="s">
        <v>318</v>
      </c>
      <c r="E15" s="432" t="s">
        <v>319</v>
      </c>
      <c r="F15" s="444" t="s">
        <v>236</v>
      </c>
      <c r="G15" s="444" t="s">
        <v>271</v>
      </c>
      <c r="H15" s="444" t="s">
        <v>249</v>
      </c>
      <c r="I15" s="478" t="s">
        <v>316</v>
      </c>
    </row>
    <row r="16" spans="1:9" ht="120.75" customHeight="1" x14ac:dyDescent="0.25">
      <c r="A16" s="913"/>
      <c r="B16" s="862"/>
      <c r="C16" s="455" t="s">
        <v>13</v>
      </c>
      <c r="D16" s="353" t="s">
        <v>319</v>
      </c>
      <c r="E16" s="444"/>
      <c r="F16" s="444" t="s">
        <v>249</v>
      </c>
      <c r="G16" s="444"/>
      <c r="H16" s="432" t="s">
        <v>316</v>
      </c>
      <c r="I16" s="460"/>
    </row>
    <row r="17" spans="1:9" ht="27.75" x14ac:dyDescent="0.25">
      <c r="A17" s="913"/>
      <c r="B17" s="862"/>
      <c r="C17" s="459" t="s">
        <v>15</v>
      </c>
      <c r="D17" s="353"/>
      <c r="E17" s="444"/>
      <c r="F17" s="444"/>
      <c r="G17" s="444"/>
      <c r="H17" s="444"/>
      <c r="I17" s="460"/>
    </row>
    <row r="18" spans="1:9" ht="28.5" thickBot="1" x14ac:dyDescent="0.3">
      <c r="A18" s="913"/>
      <c r="B18" s="862"/>
      <c r="C18" s="457" t="s">
        <v>64</v>
      </c>
      <c r="D18" s="750"/>
      <c r="E18" s="471"/>
      <c r="F18" s="471"/>
      <c r="G18" s="751"/>
      <c r="H18" s="751"/>
      <c r="I18" s="752"/>
    </row>
    <row r="19" spans="1:9" ht="87" customHeight="1" x14ac:dyDescent="0.25">
      <c r="A19" s="909" t="s">
        <v>2</v>
      </c>
      <c r="B19" s="861">
        <f>B13+1</f>
        <v>46323</v>
      </c>
      <c r="C19" s="448" t="s">
        <v>10</v>
      </c>
      <c r="D19" s="729"/>
      <c r="E19" s="718"/>
      <c r="F19" s="718"/>
      <c r="G19" s="718" t="s">
        <v>316</v>
      </c>
      <c r="H19" s="718" t="s">
        <v>246</v>
      </c>
      <c r="I19" s="719"/>
    </row>
    <row r="20" spans="1:9" ht="83.25" x14ac:dyDescent="0.25">
      <c r="A20" s="913"/>
      <c r="B20" s="862"/>
      <c r="C20" s="458" t="s">
        <v>11</v>
      </c>
      <c r="D20" s="729" t="s">
        <v>247</v>
      </c>
      <c r="E20" s="718" t="s">
        <v>316</v>
      </c>
      <c r="F20" s="694" t="s">
        <v>321</v>
      </c>
      <c r="G20" s="416" t="s">
        <v>345</v>
      </c>
      <c r="H20" s="718" t="s">
        <v>242</v>
      </c>
      <c r="I20" s="719" t="s">
        <v>243</v>
      </c>
    </row>
    <row r="21" spans="1:9" ht="87" customHeight="1" x14ac:dyDescent="0.25">
      <c r="A21" s="913"/>
      <c r="B21" s="862"/>
      <c r="C21" s="458" t="s">
        <v>12</v>
      </c>
      <c r="D21" s="485" t="s">
        <v>243</v>
      </c>
      <c r="E21" s="416" t="s">
        <v>241</v>
      </c>
      <c r="F21" s="416" t="s">
        <v>334</v>
      </c>
      <c r="G21" s="718"/>
      <c r="H21" s="718"/>
      <c r="I21" s="719" t="s">
        <v>110</v>
      </c>
    </row>
    <row r="22" spans="1:9" ht="87" customHeight="1" x14ac:dyDescent="0.25">
      <c r="A22" s="913"/>
      <c r="B22" s="862"/>
      <c r="C22" s="458" t="s">
        <v>13</v>
      </c>
      <c r="D22" s="485" t="s">
        <v>334</v>
      </c>
      <c r="E22" s="416" t="s">
        <v>244</v>
      </c>
      <c r="F22" s="416" t="s">
        <v>240</v>
      </c>
      <c r="G22" s="718"/>
      <c r="H22" s="718"/>
      <c r="I22" s="719" t="s">
        <v>234</v>
      </c>
    </row>
    <row r="23" spans="1:9" ht="28.5" thickBot="1" x14ac:dyDescent="0.3">
      <c r="A23" s="913"/>
      <c r="B23" s="921"/>
      <c r="C23" s="449" t="s">
        <v>15</v>
      </c>
      <c r="D23" s="730"/>
      <c r="E23" s="731"/>
      <c r="F23" s="731"/>
      <c r="G23" s="731"/>
      <c r="H23" s="731"/>
      <c r="I23" s="732"/>
    </row>
    <row r="24" spans="1:9" ht="58.5" customHeight="1" x14ac:dyDescent="0.25">
      <c r="A24" s="906" t="s">
        <v>3</v>
      </c>
      <c r="B24" s="922">
        <f>B19+1</f>
        <v>46324</v>
      </c>
      <c r="C24" s="472" t="s">
        <v>10</v>
      </c>
      <c r="D24" s="714"/>
      <c r="E24" s="343"/>
      <c r="F24" s="343"/>
      <c r="G24" s="343"/>
      <c r="H24" s="343"/>
      <c r="I24" s="591"/>
    </row>
    <row r="25" spans="1:9" ht="111" x14ac:dyDescent="0.25">
      <c r="A25" s="919"/>
      <c r="B25" s="869"/>
      <c r="C25" s="473" t="s">
        <v>11</v>
      </c>
      <c r="D25" s="590"/>
      <c r="E25" s="361" t="s">
        <v>248</v>
      </c>
      <c r="F25" s="432" t="s">
        <v>264</v>
      </c>
      <c r="G25" s="361" t="s">
        <v>276</v>
      </c>
      <c r="H25" s="432"/>
      <c r="I25" s="695" t="s">
        <v>319</v>
      </c>
    </row>
    <row r="26" spans="1:9" ht="194.25" x14ac:dyDescent="0.25">
      <c r="A26" s="919"/>
      <c r="B26" s="869"/>
      <c r="C26" s="473" t="s">
        <v>12</v>
      </c>
      <c r="D26" s="485" t="s">
        <v>261</v>
      </c>
      <c r="E26" s="361" t="s">
        <v>289</v>
      </c>
      <c r="F26" s="361" t="s">
        <v>245</v>
      </c>
      <c r="G26" s="361" t="s">
        <v>265</v>
      </c>
      <c r="H26" s="432" t="s">
        <v>339</v>
      </c>
      <c r="I26" s="388" t="s">
        <v>264</v>
      </c>
    </row>
    <row r="27" spans="1:9" ht="138.75" x14ac:dyDescent="0.25">
      <c r="A27" s="919"/>
      <c r="B27" s="869"/>
      <c r="C27" s="473" t="s">
        <v>13</v>
      </c>
      <c r="D27" s="392" t="s">
        <v>256</v>
      </c>
      <c r="E27" s="361" t="s">
        <v>260</v>
      </c>
      <c r="F27" s="361" t="s">
        <v>258</v>
      </c>
      <c r="G27" s="361" t="s">
        <v>275</v>
      </c>
      <c r="H27" s="361" t="s">
        <v>251</v>
      </c>
      <c r="I27" s="478"/>
    </row>
    <row r="28" spans="1:9" ht="28.5" thickBot="1" x14ac:dyDescent="0.3">
      <c r="A28" s="920"/>
      <c r="B28" s="870"/>
      <c r="C28" s="474" t="s">
        <v>15</v>
      </c>
      <c r="D28" s="740"/>
      <c r="E28" s="739"/>
      <c r="F28" s="739"/>
      <c r="G28" s="739"/>
      <c r="H28" s="739"/>
      <c r="I28" s="741"/>
    </row>
    <row r="29" spans="1:9" ht="83.25" x14ac:dyDescent="0.25">
      <c r="A29" s="907" t="s">
        <v>4</v>
      </c>
      <c r="B29" s="908">
        <f>B24+1</f>
        <v>46325</v>
      </c>
      <c r="C29" s="448" t="s">
        <v>10</v>
      </c>
      <c r="D29" s="690"/>
      <c r="E29" s="737" t="s">
        <v>335</v>
      </c>
      <c r="F29" s="501" t="s">
        <v>240</v>
      </c>
      <c r="G29" s="691"/>
      <c r="H29" s="691" t="s">
        <v>232</v>
      </c>
      <c r="I29" s="692" t="s">
        <v>249</v>
      </c>
    </row>
    <row r="30" spans="1:9" ht="114.75" customHeight="1" x14ac:dyDescent="0.25">
      <c r="A30" s="907"/>
      <c r="B30" s="869"/>
      <c r="C30" s="458" t="s">
        <v>11</v>
      </c>
      <c r="D30" s="693"/>
      <c r="E30" s="694" t="s">
        <v>244</v>
      </c>
      <c r="F30" s="694" t="s">
        <v>319</v>
      </c>
      <c r="G30" s="694"/>
      <c r="H30" s="694" t="s">
        <v>232</v>
      </c>
      <c r="I30" s="695" t="s">
        <v>323</v>
      </c>
    </row>
    <row r="31" spans="1:9" ht="166.5" x14ac:dyDescent="0.25">
      <c r="A31" s="907"/>
      <c r="B31" s="869"/>
      <c r="C31" s="458" t="s">
        <v>12</v>
      </c>
      <c r="D31" s="693"/>
      <c r="E31" s="694"/>
      <c r="F31" s="694"/>
      <c r="G31" s="718" t="s">
        <v>348</v>
      </c>
      <c r="H31" s="718" t="s">
        <v>327</v>
      </c>
      <c r="I31" s="695"/>
    </row>
    <row r="32" spans="1:9" ht="194.25" x14ac:dyDescent="0.25">
      <c r="A32" s="907"/>
      <c r="B32" s="869"/>
      <c r="C32" s="458" t="s">
        <v>13</v>
      </c>
      <c r="D32" s="693"/>
      <c r="E32" s="694"/>
      <c r="F32" s="694"/>
      <c r="G32" s="718" t="s">
        <v>333</v>
      </c>
      <c r="H32" s="718"/>
      <c r="I32" s="695"/>
    </row>
    <row r="33" spans="1:9" ht="111.75" thickBot="1" x14ac:dyDescent="0.3">
      <c r="A33" s="912"/>
      <c r="B33" s="869"/>
      <c r="C33" s="449" t="s">
        <v>15</v>
      </c>
      <c r="D33" s="711"/>
      <c r="E33" s="712"/>
      <c r="F33" s="712"/>
      <c r="G33" s="731" t="s">
        <v>331</v>
      </c>
      <c r="H33" s="712"/>
      <c r="I33" s="713"/>
    </row>
    <row r="34" spans="1:9" ht="48" customHeight="1" x14ac:dyDescent="0.25">
      <c r="A34" s="869" t="s">
        <v>47</v>
      </c>
      <c r="B34" s="903">
        <f>B29+1</f>
        <v>46326</v>
      </c>
      <c r="C34" s="479" t="s">
        <v>10</v>
      </c>
      <c r="D34" s="395"/>
      <c r="E34" s="396"/>
      <c r="F34" s="396"/>
      <c r="G34" s="396"/>
      <c r="H34" s="396"/>
      <c r="I34" s="397"/>
    </row>
    <row r="35" spans="1:9" ht="48" customHeight="1" x14ac:dyDescent="0.25">
      <c r="A35" s="869"/>
      <c r="B35" s="869"/>
      <c r="C35" s="458" t="s">
        <v>11</v>
      </c>
      <c r="D35" s="248"/>
      <c r="E35" s="135"/>
      <c r="F35" s="135"/>
      <c r="G35" s="135"/>
      <c r="H35" s="136"/>
      <c r="I35" s="249"/>
    </row>
    <row r="36" spans="1:9" ht="48" customHeight="1" x14ac:dyDescent="0.25">
      <c r="A36" s="869"/>
      <c r="B36" s="869"/>
      <c r="C36" s="458" t="s">
        <v>12</v>
      </c>
      <c r="D36" s="248"/>
      <c r="E36" s="135"/>
      <c r="F36" s="135"/>
      <c r="G36" s="367"/>
      <c r="H36" s="135"/>
      <c r="I36" s="368"/>
    </row>
    <row r="37" spans="1:9" ht="48" customHeight="1" x14ac:dyDescent="0.25">
      <c r="A37" s="869"/>
      <c r="B37" s="869"/>
      <c r="C37" s="458" t="s">
        <v>13</v>
      </c>
      <c r="D37" s="141"/>
      <c r="E37" s="136"/>
      <c r="F37" s="136"/>
      <c r="G37" s="136"/>
      <c r="H37" s="135"/>
      <c r="I37" s="142"/>
    </row>
    <row r="38" spans="1:9" ht="48" customHeight="1" thickBot="1" x14ac:dyDescent="0.3">
      <c r="A38" s="870"/>
      <c r="B38" s="870"/>
      <c r="C38" s="480" t="s">
        <v>15</v>
      </c>
      <c r="D38" s="143"/>
      <c r="E38" s="96"/>
      <c r="F38" s="96"/>
      <c r="G38" s="96"/>
      <c r="H38" s="96"/>
      <c r="I38" s="108"/>
    </row>
    <row r="39" spans="1:9" ht="30.75" x14ac:dyDescent="0.3">
      <c r="A39" s="2"/>
      <c r="B39" s="2"/>
      <c r="C39" s="44"/>
      <c r="D39" s="180" t="s">
        <v>86</v>
      </c>
      <c r="E39" s="44"/>
      <c r="F39" s="44"/>
      <c r="G39" s="44"/>
      <c r="H39" s="44"/>
      <c r="I39" s="44"/>
    </row>
    <row r="40" spans="1:9" s="19" customFormat="1" ht="18.75" x14ac:dyDescent="0.3">
      <c r="A40" s="18"/>
      <c r="B40" s="18"/>
      <c r="C40" s="38" t="str">
        <f>'01.09'!C39</f>
        <v>*Л. Речевое общение в профессиональной деятельности*</v>
      </c>
      <c r="D40" s="42">
        <f>'19.10'!D40+COUNTIF(D$8:D$38,$C40)</f>
        <v>5</v>
      </c>
      <c r="E40" s="42">
        <f>'19.10'!E40+COUNTIF(E$8:E$38,$C40)</f>
        <v>5</v>
      </c>
      <c r="F40" s="42">
        <f>'19.10'!F40+COUNTIF(F$8:F$38,$C40)</f>
        <v>5</v>
      </c>
      <c r="G40" s="42">
        <f>'19.10'!G40+COUNTIF(G$8:G$38,$C40)</f>
        <v>5</v>
      </c>
      <c r="H40" s="42">
        <f>'19.10'!H40+COUNTIF(H$8:H$38,$C40)</f>
        <v>5</v>
      </c>
      <c r="I40" s="42">
        <f>'19.10'!I40+COUNTIF(I$8:I$38,$C40)</f>
        <v>5</v>
      </c>
    </row>
    <row r="41" spans="1:9" s="19" customFormat="1" ht="18.75" x14ac:dyDescent="0.3">
      <c r="A41" s="18"/>
      <c r="B41" s="18"/>
      <c r="C41" s="38" t="str">
        <f>'01.09'!C40</f>
        <v>*Пр. Речевое общение в профессиональной деятельности*</v>
      </c>
      <c r="D41" s="43">
        <f>'19.10'!D41+COUNTIF(D$8:D$38,$C41)</f>
        <v>4</v>
      </c>
      <c r="E41" s="43">
        <f>'19.10'!E41+COUNTIF(E$8:E$38,$C41)</f>
        <v>4</v>
      </c>
      <c r="F41" s="42">
        <f>'19.10'!F41+COUNTIF(F$8:F$38,$C41)</f>
        <v>4</v>
      </c>
      <c r="G41" s="43">
        <f>'19.10'!G41+COUNTIF(G$8:G$38,$C41)</f>
        <v>4</v>
      </c>
      <c r="H41" s="43">
        <f>'19.10'!H41+COUNTIF(H$8:H$38,$C41)</f>
        <v>4</v>
      </c>
      <c r="I41" s="43">
        <f>'19.10'!I41+COUNTIF(I$8:I$38,$C41)</f>
        <v>4</v>
      </c>
    </row>
    <row r="42" spans="1:9" s="19" customFormat="1" ht="18.75" x14ac:dyDescent="0.3">
      <c r="A42" s="18"/>
      <c r="B42" s="18"/>
      <c r="C42" s="38" t="str">
        <f>'01.09'!C41</f>
        <v>*Л. Элективные дисциплины по ФКиС: Силовая подготовка*</v>
      </c>
      <c r="D42" s="42">
        <f>'19.10'!D42+COUNTIF(D$8:D$38,$C42)</f>
        <v>1</v>
      </c>
      <c r="E42" s="42">
        <f>'19.10'!E42+COUNTIF(E$8:E$38,$C42)</f>
        <v>1</v>
      </c>
      <c r="F42" s="42">
        <f>'19.10'!F42+COUNTIF(F$8:F$38,$C42)</f>
        <v>1</v>
      </c>
      <c r="G42" s="42">
        <f>'19.10'!G42+COUNTIF(G$8:G$38,$C42)</f>
        <v>1</v>
      </c>
      <c r="H42" s="42">
        <f>'19.10'!H42+COUNTIF(H$8:H$38,$C42)</f>
        <v>1</v>
      </c>
      <c r="I42" s="42">
        <f>'19.10'!I42+COUNTIF(I$8:I$38,$C42)</f>
        <v>1</v>
      </c>
    </row>
    <row r="43" spans="1:9" s="19" customFormat="1" ht="18.75" x14ac:dyDescent="0.3">
      <c r="A43" s="18"/>
      <c r="B43" s="18"/>
      <c r="C43" s="38" t="str">
        <f>'01.09'!C42</f>
        <v>*Пр. Элективные дисциплины по ФКиС: Силовая подготовка*</v>
      </c>
      <c r="D43" s="43">
        <f>'19.10'!D43+COUNTIF(D$8:D$38,$C43)</f>
        <v>8</v>
      </c>
      <c r="E43" s="43">
        <f>'19.10'!E43+COUNTIF(E$8:E$38,$C43)</f>
        <v>9</v>
      </c>
      <c r="F43" s="42">
        <f>'19.10'!F43+COUNTIF(F$8:F$38,$C43)</f>
        <v>9</v>
      </c>
      <c r="G43" s="43">
        <f>'19.10'!G43+COUNTIF(G$8:G$38,$C43)</f>
        <v>9</v>
      </c>
      <c r="H43" s="43">
        <f>'19.10'!H43+COUNTIF(H$8:H$38,$C43)</f>
        <v>9</v>
      </c>
      <c r="I43" s="43">
        <f>'19.10'!I43+COUNTIF(I$8:I$38,$C43)</f>
        <v>8</v>
      </c>
    </row>
    <row r="44" spans="1:9" s="19" customFormat="1" ht="18.75" x14ac:dyDescent="0.3">
      <c r="A44" s="18"/>
      <c r="B44" s="18"/>
      <c r="C44" s="38" t="str">
        <f>'01.09'!C43</f>
        <v>*Л. Анатомия*</v>
      </c>
      <c r="D44" s="42">
        <f>'19.10'!D44+COUNTIF(D$8:D$38,$C44)</f>
        <v>4</v>
      </c>
      <c r="E44" s="42">
        <f>'19.10'!E44+COUNTIF(E$8:E$38,$C44)</f>
        <v>4</v>
      </c>
      <c r="F44" s="42">
        <f>'19.10'!F44+COUNTIF(F$8:F$38,$C44)</f>
        <v>4</v>
      </c>
      <c r="G44" s="42">
        <f>'19.10'!G44+COUNTIF(G$8:G$38,$C44)</f>
        <v>4</v>
      </c>
      <c r="H44" s="42">
        <f>'19.10'!H44+COUNTIF(H$8:H$38,$C44)</f>
        <v>4</v>
      </c>
      <c r="I44" s="42">
        <f>'19.10'!I44+COUNTIF(I$8:I$38,$C44)</f>
        <v>4</v>
      </c>
    </row>
    <row r="45" spans="1:9" s="19" customFormat="1" ht="18.75" x14ac:dyDescent="0.3">
      <c r="A45" s="18"/>
      <c r="B45" s="18"/>
      <c r="C45" s="38" t="str">
        <f>'01.09'!C44</f>
        <v>*Пр. Анатомия*</v>
      </c>
      <c r="D45" s="43">
        <f>'19.10'!D45+COUNTIF(D$8:D$38,$C45)</f>
        <v>4</v>
      </c>
      <c r="E45" s="43">
        <f>'19.10'!E45+COUNTIF(E$8:E$38,$C45)</f>
        <v>4</v>
      </c>
      <c r="F45" s="42">
        <f>'19.10'!F45+COUNTIF(F$8:F$38,$C45)</f>
        <v>4</v>
      </c>
      <c r="G45" s="43">
        <f>'19.10'!G45+COUNTIF(G$8:G$38,$C45)</f>
        <v>4</v>
      </c>
      <c r="H45" s="43">
        <f>'19.10'!H45+COUNTIF(H$8:H$38,$C45)</f>
        <v>4</v>
      </c>
      <c r="I45" s="43">
        <f>'19.10'!I45+COUNTIF(I$8:I$38,$C45)</f>
        <v>4</v>
      </c>
    </row>
    <row r="46" spans="1:9" s="19" customFormat="1" ht="18.75" x14ac:dyDescent="0.3">
      <c r="A46" s="18"/>
      <c r="B46" s="18"/>
      <c r="C46" s="38" t="str">
        <f>'01.09'!C45</f>
        <v>*Л. Теория и методика*</v>
      </c>
      <c r="D46" s="42">
        <f>'19.10'!D46+COUNTIF(D$8:D$38,$C46)</f>
        <v>5</v>
      </c>
      <c r="E46" s="42">
        <f>'19.10'!E46+COUNTIF(E$8:E$38,$C46)</f>
        <v>4</v>
      </c>
      <c r="F46" s="42">
        <f>'19.10'!F46+COUNTIF(F$8:F$38,$C46)</f>
        <v>4</v>
      </c>
      <c r="G46" s="42">
        <f>'19.10'!G46+COUNTIF(G$8:G$38,$C46)</f>
        <v>4</v>
      </c>
      <c r="H46" s="42">
        <f>'19.10'!H46+COUNTIF(H$8:H$38,$C46)</f>
        <v>5</v>
      </c>
      <c r="I46" s="42">
        <f>'19.10'!I46+COUNTIF(I$8:I$38,$C46)</f>
        <v>3</v>
      </c>
    </row>
    <row r="47" spans="1:9" s="19" customFormat="1" ht="18.75" x14ac:dyDescent="0.3">
      <c r="A47" s="18"/>
      <c r="B47" s="18"/>
      <c r="C47" s="38" t="str">
        <f>'01.09'!C46</f>
        <v>*Пр. Теория и методика*</v>
      </c>
      <c r="D47" s="43">
        <f>'19.10'!D47+COUNTIF(D$8:D$38,$C47)</f>
        <v>24</v>
      </c>
      <c r="E47" s="43">
        <f>'19.10'!E47+COUNTIF(E$8:E$38,$C47)</f>
        <v>23</v>
      </c>
      <c r="F47" s="42">
        <f>'19.10'!F47+COUNTIF(F$8:F$38,$C47)</f>
        <v>23</v>
      </c>
      <c r="G47" s="43">
        <f>'19.10'!G47+COUNTIF(G$8:G$38,$C47)</f>
        <v>23</v>
      </c>
      <c r="H47" s="43">
        <f>'19.10'!H47+COUNTIF(H$8:H$38,$C47)</f>
        <v>26</v>
      </c>
      <c r="I47" s="43">
        <f>'19.10'!I47+COUNTIF(I$8:I$38,$C47)</f>
        <v>20</v>
      </c>
    </row>
    <row r="48" spans="1:9" s="19" customFormat="1" ht="18.75" x14ac:dyDescent="0.3">
      <c r="A48" s="18"/>
      <c r="B48" s="18"/>
      <c r="C48" s="38" t="str">
        <f>'01.09'!C47</f>
        <v>*Л. Физическая культура и спорт*</v>
      </c>
      <c r="D48" s="42">
        <f>'19.10'!D48+COUNTIF(D$8:D$38,$C48)</f>
        <v>5</v>
      </c>
      <c r="E48" s="42">
        <f>'19.10'!E48+COUNTIF(E$8:E$38,$C48)</f>
        <v>5</v>
      </c>
      <c r="F48" s="42">
        <f>'19.10'!F48+COUNTIF(F$8:F$38,$C48)</f>
        <v>5</v>
      </c>
      <c r="G48" s="42">
        <f>'19.10'!G48+COUNTIF(G$8:G$38,$C48)</f>
        <v>5</v>
      </c>
      <c r="H48" s="42">
        <f>'19.10'!H48+COUNTIF(H$8:H$38,$C48)</f>
        <v>5</v>
      </c>
      <c r="I48" s="42">
        <f>'19.10'!I48+COUNTIF(I$8:I$38,$C48)</f>
        <v>5</v>
      </c>
    </row>
    <row r="49" spans="1:9" s="19" customFormat="1" ht="18.75" x14ac:dyDescent="0.3">
      <c r="A49" s="18"/>
      <c r="B49" s="18"/>
      <c r="C49" s="38" t="str">
        <f>'01.09'!C48</f>
        <v>*Пр. Физическая культура и спорт*</v>
      </c>
      <c r="D49" s="43">
        <f>'19.10'!D49+COUNTIF(D$8:D$38,$C49)</f>
        <v>5</v>
      </c>
      <c r="E49" s="43">
        <f>'19.10'!E49+COUNTIF(E$8:E$38,$C49)</f>
        <v>5</v>
      </c>
      <c r="F49" s="42">
        <f>'19.10'!F49+COUNTIF(F$8:F$38,$C49)</f>
        <v>5</v>
      </c>
      <c r="G49" s="43">
        <f>'19.10'!G49+COUNTIF(G$8:G$38,$C49)</f>
        <v>5</v>
      </c>
      <c r="H49" s="43">
        <f>'19.10'!H49+COUNTIF(H$8:H$38,$C49)</f>
        <v>5</v>
      </c>
      <c r="I49" s="43">
        <f>'19.10'!I49+COUNTIF(I$8:I$38,$C49)</f>
        <v>5</v>
      </c>
    </row>
    <row r="50" spans="1:9" s="19" customFormat="1" ht="18.75" x14ac:dyDescent="0.3">
      <c r="A50" s="18"/>
      <c r="B50" s="18"/>
      <c r="C50" s="38" t="str">
        <f>'01.09'!C49</f>
        <v>*Л. Информационные технологии*</v>
      </c>
      <c r="D50" s="42">
        <f>'19.10'!D50+COUNTIF(D$8:D$38,$C50)</f>
        <v>2</v>
      </c>
      <c r="E50" s="42">
        <f>'19.10'!E50+COUNTIF(E$8:E$38,$C50)</f>
        <v>2</v>
      </c>
      <c r="F50" s="42">
        <f>'19.10'!F50+COUNTIF(F$8:F$38,$C50)</f>
        <v>2</v>
      </c>
      <c r="G50" s="42">
        <f>'19.10'!G50+COUNTIF(G$8:G$38,$C50)</f>
        <v>2</v>
      </c>
      <c r="H50" s="42">
        <f>'19.10'!H50+COUNTIF(H$8:H$38,$C50)</f>
        <v>2</v>
      </c>
      <c r="I50" s="42">
        <f>'19.10'!I50+COUNTIF(I$8:I$38,$C50)</f>
        <v>2</v>
      </c>
    </row>
    <row r="51" spans="1:9" s="19" customFormat="1" ht="18.75" x14ac:dyDescent="0.3">
      <c r="A51" s="18"/>
      <c r="B51" s="18"/>
      <c r="C51" s="38" t="str">
        <f>'01.09'!C50</f>
        <v>*Пр. Информационные технологии*</v>
      </c>
      <c r="D51" s="43">
        <f>'19.10'!D51+COUNTIF(D$8:D$38,$C51)</f>
        <v>8</v>
      </c>
      <c r="E51" s="43">
        <f>'19.10'!E51+COUNTIF(E$8:E$38,$C51)</f>
        <v>8</v>
      </c>
      <c r="F51" s="42">
        <f>'19.10'!F51+COUNTIF(F$8:F$38,$C51)</f>
        <v>8</v>
      </c>
      <c r="G51" s="43">
        <f>'19.10'!G51+COUNTIF(G$8:G$38,$C51)</f>
        <v>8</v>
      </c>
      <c r="H51" s="43">
        <f>'19.10'!H51+COUNTIF(H$8:H$38,$C51)</f>
        <v>8</v>
      </c>
      <c r="I51" s="43">
        <f>'19.10'!I51+COUNTIF(I$8:I$38,$C51)</f>
        <v>8</v>
      </c>
    </row>
    <row r="52" spans="1:9" s="19" customFormat="1" ht="18.75" x14ac:dyDescent="0.3">
      <c r="A52" s="18"/>
      <c r="B52" s="18"/>
      <c r="C52" s="38" t="str">
        <f>'01.09'!C51</f>
        <v>*Л. Гимнастика*</v>
      </c>
      <c r="D52" s="42">
        <f>'19.10'!D52+COUNTIF(D$8:D$38,$C52)</f>
        <v>3</v>
      </c>
      <c r="E52" s="42">
        <f>'19.10'!E52+COUNTIF(E$8:E$38,$C52)</f>
        <v>3</v>
      </c>
      <c r="F52" s="42">
        <f>'19.10'!F52+COUNTIF(F$8:F$38,$C52)</f>
        <v>3</v>
      </c>
      <c r="G52" s="42">
        <f>'19.10'!G52+COUNTIF(G$8:G$38,$C52)</f>
        <v>3</v>
      </c>
      <c r="H52" s="42">
        <f>'19.10'!H52+COUNTIF(H$8:H$38,$C52)</f>
        <v>3</v>
      </c>
      <c r="I52" s="42">
        <f>'19.10'!I52+COUNTIF(I$8:I$38,$C52)</f>
        <v>3</v>
      </c>
    </row>
    <row r="53" spans="1:9" s="19" customFormat="1" ht="18.75" x14ac:dyDescent="0.3">
      <c r="A53" s="18"/>
      <c r="B53" s="18"/>
      <c r="C53" s="38" t="str">
        <f>'01.09'!C52</f>
        <v>*Пр. Гимнастика*</v>
      </c>
      <c r="D53" s="43">
        <f>'19.10'!D53+COUNTIF(D$8:D$38,$C53)</f>
        <v>8</v>
      </c>
      <c r="E53" s="43">
        <f>'19.10'!E53+COUNTIF(E$8:E$38,$C53)</f>
        <v>13</v>
      </c>
      <c r="F53" s="42">
        <f>'19.10'!F53+COUNTIF(F$8:F$38,$C53)</f>
        <v>13</v>
      </c>
      <c r="G53" s="43">
        <f>'19.10'!G53+COUNTIF(G$8:G$38,$C53)</f>
        <v>12</v>
      </c>
      <c r="H53" s="43">
        <f>'19.10'!H53+COUNTIF(H$8:H$38,$C53)</f>
        <v>13</v>
      </c>
      <c r="I53" s="43">
        <f>'19.10'!I53+COUNTIF(I$8:I$38,$C53)</f>
        <v>12</v>
      </c>
    </row>
    <row r="54" spans="1:9" s="19" customFormat="1" ht="18.75" x14ac:dyDescent="0.3">
      <c r="A54" s="18"/>
      <c r="B54" s="18"/>
      <c r="C54" s="38" t="str">
        <f>'01.09'!C53</f>
        <v>*Л. Волейбол*</v>
      </c>
      <c r="D54" s="42">
        <f>'19.10'!D54+COUNTIF(D$8:D$38,$C54)</f>
        <v>1</v>
      </c>
      <c r="E54" s="42">
        <f>'19.10'!E54+COUNTIF(E$8:E$38,$C54)</f>
        <v>1</v>
      </c>
      <c r="F54" s="42">
        <f>'19.10'!F54+COUNTIF(F$8:F$38,$C54)</f>
        <v>1</v>
      </c>
      <c r="G54" s="42">
        <f>'19.10'!G54+COUNTIF(G$8:G$38,$C54)</f>
        <v>1</v>
      </c>
      <c r="H54" s="42">
        <f>'19.10'!H54+COUNTIF(H$8:H$38,$C54)</f>
        <v>1</v>
      </c>
      <c r="I54" s="42">
        <f>'19.10'!I54+COUNTIF(I$8:I$38,$C54)</f>
        <v>1</v>
      </c>
    </row>
    <row r="55" spans="1:9" s="19" customFormat="1" ht="18.75" x14ac:dyDescent="0.3">
      <c r="A55" s="18"/>
      <c r="B55" s="18"/>
      <c r="C55" s="38" t="str">
        <f>'01.09'!C54</f>
        <v>*Пр. Волейбол*</v>
      </c>
      <c r="D55" s="43">
        <f>'19.10'!D55+COUNTIF(D$8:D$38,$C55)</f>
        <v>16</v>
      </c>
      <c r="E55" s="43">
        <f>'19.10'!E55+COUNTIF(E$8:E$38,$C55)</f>
        <v>16</v>
      </c>
      <c r="F55" s="42">
        <f>'19.10'!F55+COUNTIF(F$8:F$38,$C55)</f>
        <v>8</v>
      </c>
      <c r="G55" s="43">
        <f>'19.10'!G55+COUNTIF(G$8:G$38,$C55)</f>
        <v>8</v>
      </c>
      <c r="H55" s="43">
        <f>'19.10'!H55+COUNTIF(H$8:H$38,$C55)</f>
        <v>16</v>
      </c>
      <c r="I55" s="43">
        <f>'19.10'!I55+COUNTIF(I$8:I$38,$C55)</f>
        <v>16</v>
      </c>
    </row>
    <row r="56" spans="1:9" s="19" customFormat="1" ht="18.75" x14ac:dyDescent="0.3">
      <c r="A56" s="18"/>
      <c r="B56" s="18"/>
      <c r="C56" s="38" t="str">
        <f>'01.09'!C55</f>
        <v>*Л. Лыжные гонки*</v>
      </c>
      <c r="D56" s="42">
        <f>'19.10'!D56+COUNTIF(D$8:D$38,$C56)</f>
        <v>0</v>
      </c>
      <c r="E56" s="42">
        <f>'19.10'!E56+COUNTIF(E$8:E$38,$C56)</f>
        <v>0</v>
      </c>
      <c r="F56" s="42">
        <f>'19.10'!F56+COUNTIF(F$8:F$38,$C56)</f>
        <v>0</v>
      </c>
      <c r="G56" s="42">
        <f>'19.10'!G56+COUNTIF(G$8:G$38,$C56)</f>
        <v>0</v>
      </c>
      <c r="H56" s="42">
        <f>'19.10'!H56+COUNTIF(H$8:H$38,$C56)</f>
        <v>0</v>
      </c>
      <c r="I56" s="42">
        <f>'19.10'!I56+COUNTIF(I$8:I$38,$C56)</f>
        <v>0</v>
      </c>
    </row>
    <row r="57" spans="1:9" s="19" customFormat="1" ht="18.75" x14ac:dyDescent="0.3">
      <c r="A57" s="18"/>
      <c r="B57" s="18"/>
      <c r="C57" s="38" t="str">
        <f>'01.09'!C56</f>
        <v>*Пр. Лыжные гонки*</v>
      </c>
      <c r="D57" s="43">
        <f>'19.10'!D57+COUNTIF(D$8:D$38,$C57)</f>
        <v>0</v>
      </c>
      <c r="E57" s="43">
        <f>'19.10'!E57+COUNTIF(E$8:E$38,$C57)</f>
        <v>0</v>
      </c>
      <c r="F57" s="42">
        <f>'19.10'!F57+COUNTIF(F$8:F$38,$C57)</f>
        <v>0</v>
      </c>
      <c r="G57" s="43">
        <f>'19.10'!G57+COUNTIF(G$8:G$38,$C57)</f>
        <v>0</v>
      </c>
      <c r="H57" s="43">
        <f>'19.10'!H57+COUNTIF(H$8:H$38,$C57)</f>
        <v>0</v>
      </c>
      <c r="I57" s="43">
        <f>'19.10'!I57+COUNTIF(I$8:I$38,$C57)</f>
        <v>0</v>
      </c>
    </row>
    <row r="58" spans="1:9" s="19" customFormat="1" ht="18.75" x14ac:dyDescent="0.3">
      <c r="A58" s="18"/>
      <c r="B58" s="18"/>
      <c r="C58" s="38" t="str">
        <f>'01.09'!C57</f>
        <v>*Л. Использование электронной*</v>
      </c>
      <c r="D58" s="42">
        <f>'19.10'!D58+COUNTIF(D$8:D$38,$C58)</f>
        <v>1</v>
      </c>
      <c r="E58" s="42">
        <f>'19.10'!E58+COUNTIF(E$8:E$38,$C58)</f>
        <v>0</v>
      </c>
      <c r="F58" s="42">
        <f>'19.10'!F58+COUNTIF(F$8:F$38,$C58)</f>
        <v>0</v>
      </c>
      <c r="G58" s="42">
        <f>'19.10'!G58+COUNTIF(G$8:G$38,$C58)</f>
        <v>0</v>
      </c>
      <c r="H58" s="42">
        <f>'19.10'!H58+COUNTIF(H$8:H$38,$C58)</f>
        <v>0</v>
      </c>
      <c r="I58" s="42">
        <f>'19.10'!I58+COUNTIF(I$8:I$38,$C58)</f>
        <v>0</v>
      </c>
    </row>
    <row r="59" spans="1:9" s="19" customFormat="1" ht="18.75" x14ac:dyDescent="0.3">
      <c r="A59" s="18"/>
      <c r="B59" s="18"/>
      <c r="C59" s="38" t="str">
        <f>'01.09'!C58</f>
        <v>*Пр. Использование электронной*</v>
      </c>
      <c r="D59" s="43">
        <f>'19.10'!D59+COUNTIF(D$8:D$38,$C59)</f>
        <v>2</v>
      </c>
      <c r="E59" s="43">
        <f>'19.10'!E59+COUNTIF(E$8:E$38,$C59)</f>
        <v>2</v>
      </c>
      <c r="F59" s="42">
        <f>'19.10'!F59+COUNTIF(F$8:F$38,$C59)</f>
        <v>2</v>
      </c>
      <c r="G59" s="43">
        <f>'19.10'!G59+COUNTIF(G$8:G$38,$C59)</f>
        <v>2</v>
      </c>
      <c r="H59" s="43">
        <f>'19.10'!H59+COUNTIF(H$8:H$38,$C59)</f>
        <v>2</v>
      </c>
      <c r="I59" s="43">
        <f>'19.10'!I59+COUNTIF(I$8:I$38,$C59)</f>
        <v>2</v>
      </c>
    </row>
    <row r="60" spans="1:9" s="19" customFormat="1" ht="18.75" x14ac:dyDescent="0.3">
      <c r="A60" s="18"/>
      <c r="B60" s="18"/>
      <c r="C60" s="38" t="str">
        <f>'01.09'!C59</f>
        <v>*Пр. Иностранный язык*</v>
      </c>
      <c r="D60" s="42">
        <f>'19.10'!D60+COUNTIF(D$8:D$38,$C60)</f>
        <v>8</v>
      </c>
      <c r="E60" s="42">
        <f>'19.10'!E60+COUNTIF(E$8:E$38,$C60)</f>
        <v>8</v>
      </c>
      <c r="F60" s="42">
        <f>'19.10'!F60+COUNTIF(F$8:F$38,$C60)</f>
        <v>8</v>
      </c>
      <c r="G60" s="42">
        <f>'19.10'!G60+COUNTIF(G$8:G$38,$C60)</f>
        <v>8</v>
      </c>
      <c r="H60" s="42">
        <f>'19.10'!H60+COUNTIF(H$8:H$38,$C60)</f>
        <v>8</v>
      </c>
      <c r="I60" s="42">
        <f>'19.10'!I60+COUNTIF(I$8:I$38,$C60)</f>
        <v>8</v>
      </c>
    </row>
    <row r="61" spans="1:9" s="19" customFormat="1" ht="18.75" x14ac:dyDescent="0.3">
      <c r="A61" s="18"/>
      <c r="B61" s="18"/>
      <c r="C61" s="38" t="str">
        <f>'01.09'!C60</f>
        <v>*С1-04А-26*</v>
      </c>
      <c r="D61" s="43">
        <f>'19.10'!D61+COUNTIF(D$8:D$38,$C61)</f>
        <v>0</v>
      </c>
      <c r="E61" s="43">
        <f>'19.10'!E61+COUNTIF(E$8:E$38,$C61)</f>
        <v>0</v>
      </c>
      <c r="F61" s="42">
        <f>'19.10'!F61+COUNTIF(F$8:F$38,$C61)</f>
        <v>0</v>
      </c>
      <c r="G61" s="43">
        <f>'19.10'!G61+COUNTIF(G$8:G$38,$C61)</f>
        <v>17</v>
      </c>
      <c r="H61" s="43">
        <f>'19.10'!H61+COUNTIF(H$8:H$38,$C61)</f>
        <v>0</v>
      </c>
      <c r="I61" s="43">
        <f>'19.10'!I61+COUNTIF(I$8:I$38,$C61)</f>
        <v>0</v>
      </c>
    </row>
    <row r="62" spans="1:9" ht="18.75" x14ac:dyDescent="0.3">
      <c r="A62" s="2"/>
      <c r="B62" s="2"/>
      <c r="C62" s="38" t="str">
        <f>'01.09'!C61</f>
        <v>*С1-04Б-26*</v>
      </c>
      <c r="D62" s="42">
        <f>'19.10'!D62+COUNTIF(D$8:D$38,$C62)</f>
        <v>0</v>
      </c>
      <c r="E62" s="42">
        <f>'19.10'!E62+COUNTIF(E$8:E$38,$C62)</f>
        <v>0</v>
      </c>
      <c r="F62" s="42">
        <f>'19.10'!F62+COUNTIF(F$8:F$38,$C62)</f>
        <v>0</v>
      </c>
      <c r="G62" s="42">
        <f>'19.10'!G62+COUNTIF(G$8:G$38,$C62)</f>
        <v>17</v>
      </c>
      <c r="H62" s="42">
        <f>'19.10'!H62+COUNTIF(H$8:H$38,$C62)</f>
        <v>0</v>
      </c>
      <c r="I62" s="42">
        <f>'19.10'!I62+COUNTIF(I$8:I$38,$C62)</f>
        <v>0</v>
      </c>
    </row>
    <row r="63" spans="1:9" ht="18.75" x14ac:dyDescent="0.3">
      <c r="A63" s="2"/>
      <c r="B63" s="2"/>
      <c r="C63" s="38" t="str">
        <f>'01.09'!C62</f>
        <v>*С1-05А-26*</v>
      </c>
      <c r="D63" s="43">
        <f>'19.10'!D63+COUNTIF(D$8:D$38,$C63)</f>
        <v>0</v>
      </c>
      <c r="E63" s="43">
        <f>'19.10'!E63+COUNTIF(E$8:E$38,$C63)</f>
        <v>0</v>
      </c>
      <c r="F63" s="42">
        <f>'19.10'!F63+COUNTIF(F$8:F$38,$C63)</f>
        <v>0</v>
      </c>
      <c r="G63" s="43">
        <f>'19.10'!G63+COUNTIF(G$8:G$38,$C63)</f>
        <v>0</v>
      </c>
      <c r="H63" s="43">
        <f>'19.10'!H63+COUNTIF(H$8:H$38,$C63)</f>
        <v>8</v>
      </c>
      <c r="I63" s="43">
        <f>'19.10'!I63+COUNTIF(I$8:I$38,$C63)</f>
        <v>0</v>
      </c>
    </row>
    <row r="64" spans="1:9" ht="18.75" x14ac:dyDescent="0.3">
      <c r="A64" s="2"/>
      <c r="B64" s="2"/>
      <c r="C64" s="38" t="str">
        <f>'01.09'!C63</f>
        <v>*С1-05Б-26*</v>
      </c>
      <c r="D64" s="42">
        <f>'19.10'!D64+COUNTIF(D$8:D$38,$C64)</f>
        <v>0</v>
      </c>
      <c r="E64" s="42">
        <f>'19.10'!E64+COUNTIF(E$8:E$38,$C64)</f>
        <v>0</v>
      </c>
      <c r="F64" s="42">
        <f>'19.10'!F64+COUNTIF(F$8:F$38,$C64)</f>
        <v>0</v>
      </c>
      <c r="G64" s="42">
        <f>'19.10'!G64+COUNTIF(G$8:G$38,$C64)</f>
        <v>0</v>
      </c>
      <c r="H64" s="42">
        <f>'19.10'!H64+COUNTIF(H$8:H$38,$C64)</f>
        <v>8</v>
      </c>
      <c r="I64" s="42">
        <f>'19.10'!I64+COUNTIF(I$8:I$38,$C64)</f>
        <v>0</v>
      </c>
    </row>
    <row r="65" spans="1:9" ht="18.75" x14ac:dyDescent="0.3">
      <c r="A65" s="2"/>
      <c r="B65" s="2"/>
      <c r="C65" s="38">
        <f>'01.09'!C64</f>
        <v>0</v>
      </c>
      <c r="D65" s="43">
        <f>'19.10'!D65+COUNTIF(D$8:D$38,$C65)</f>
        <v>0</v>
      </c>
      <c r="E65" s="43">
        <f>'19.10'!E65+COUNTIF(E$8:E$38,$C65)</f>
        <v>0</v>
      </c>
      <c r="F65" s="42">
        <f>'19.10'!F65+COUNTIF(F$8:F$38,$C65)</f>
        <v>0</v>
      </c>
      <c r="G65" s="43">
        <f>'19.10'!G65+COUNTIF(G$8:G$38,$C65)</f>
        <v>0</v>
      </c>
      <c r="H65" s="43">
        <f>'19.10'!H65+COUNTIF(H$8:H$38,$C65)</f>
        <v>0</v>
      </c>
      <c r="I65" s="43">
        <f>'19.10'!I65+COUNTIF(I$8:I$38,$C65)</f>
        <v>0</v>
      </c>
    </row>
    <row r="66" spans="1:9" ht="18.75" x14ac:dyDescent="0.3">
      <c r="A66" s="2"/>
      <c r="B66" s="2"/>
      <c r="C66" s="38">
        <f>'01.09'!C65</f>
        <v>0</v>
      </c>
      <c r="D66" s="42">
        <f>'19.10'!D66+COUNTIF(D$8:D$38,$C66)</f>
        <v>0</v>
      </c>
      <c r="E66" s="42">
        <f>'19.10'!E66+COUNTIF(E$8:E$38,$C66)</f>
        <v>0</v>
      </c>
      <c r="F66" s="42">
        <f>'19.10'!F66+COUNTIF(F$8:F$38,$C66)</f>
        <v>0</v>
      </c>
      <c r="G66" s="42">
        <f>'19.10'!G66+COUNTIF(G$8:G$38,$C66)</f>
        <v>0</v>
      </c>
      <c r="H66" s="42">
        <f>'19.10'!H66+COUNTIF(H$8:H$38,$C66)</f>
        <v>0</v>
      </c>
      <c r="I66" s="42">
        <f>'19.10'!I66+COUNTIF(I$8:I$38,$C66)</f>
        <v>0</v>
      </c>
    </row>
    <row r="67" spans="1:9" ht="18.75" x14ac:dyDescent="0.3">
      <c r="A67" s="2"/>
      <c r="B67" s="2"/>
      <c r="C67" s="38">
        <f>'01.09'!C66</f>
        <v>0</v>
      </c>
      <c r="D67" s="43">
        <f>'19.10'!D67+COUNTIF(D$8:D$38,$C67)</f>
        <v>0</v>
      </c>
      <c r="E67" s="43">
        <f>'19.10'!E67+COUNTIF(E$8:E$38,$C67)</f>
        <v>0</v>
      </c>
      <c r="F67" s="42">
        <f>'19.10'!F67+COUNTIF(F$8:F$38,$C67)</f>
        <v>0</v>
      </c>
      <c r="G67" s="43">
        <f>'19.10'!G67+COUNTIF(G$8:G$38,$C67)</f>
        <v>0</v>
      </c>
      <c r="H67" s="43">
        <f>'19.10'!H67+COUNTIF(H$8:H$38,$C67)</f>
        <v>0</v>
      </c>
      <c r="I67" s="43">
        <f>'19.10'!I67+COUNTIF(I$8:I$38,$C67)</f>
        <v>0</v>
      </c>
    </row>
    <row r="68" spans="1:9" ht="18.75" x14ac:dyDescent="0.3">
      <c r="A68" s="2"/>
      <c r="B68" s="2"/>
      <c r="C68" s="38">
        <f>'01.09'!C67</f>
        <v>0</v>
      </c>
      <c r="D68" s="42">
        <f>'19.10'!D68+COUNTIF(D$8:D$38,$C68)</f>
        <v>0</v>
      </c>
      <c r="E68" s="42">
        <f>'19.10'!E68+COUNTIF(E$8:E$38,$C68)</f>
        <v>0</v>
      </c>
      <c r="F68" s="42">
        <f>'19.10'!F68+COUNTIF(F$8:F$38,$C68)</f>
        <v>0</v>
      </c>
      <c r="G68" s="42">
        <f>'19.10'!G68+COUNTIF(G$8:G$38,$C68)</f>
        <v>0</v>
      </c>
      <c r="H68" s="42">
        <f>'19.10'!H68+COUNTIF(H$8:H$38,$C68)</f>
        <v>0</v>
      </c>
      <c r="I68" s="42">
        <f>'19.10'!I68+COUNTIF(I$8:I$38,$C68)</f>
        <v>0</v>
      </c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</sheetData>
  <mergeCells count="20">
    <mergeCell ref="B1:I1"/>
    <mergeCell ref="B2:I2"/>
    <mergeCell ref="B3:I3"/>
    <mergeCell ref="B4:I4"/>
    <mergeCell ref="B8:B12"/>
    <mergeCell ref="C6:C7"/>
    <mergeCell ref="A5:I5"/>
    <mergeCell ref="B13:B18"/>
    <mergeCell ref="A13:A18"/>
    <mergeCell ref="A8:A12"/>
    <mergeCell ref="B6:B7"/>
    <mergeCell ref="A6:A7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6" fitToWidth="0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K72"/>
  <sheetViews>
    <sheetView view="pageBreakPreview" topLeftCell="A4" zoomScale="40" zoomScaleNormal="40" zoomScaleSheetLayoutView="40" zoomScalePageLayoutView="40" workbookViewId="0">
      <selection activeCell="F7" sqref="F7"/>
    </sheetView>
  </sheetViews>
  <sheetFormatPr defaultRowHeight="15" x14ac:dyDescent="0.25"/>
  <cols>
    <col min="1" max="2" width="4.42578125" customWidth="1"/>
    <col min="3" max="3" width="20.42578125" customWidth="1"/>
    <col min="4" max="9" width="54.140625" customWidth="1"/>
  </cols>
  <sheetData>
    <row r="1" spans="1:9" ht="30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9" ht="30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9" ht="37.5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9" ht="30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9" ht="30.75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9" ht="27.75" customHeight="1" thickBot="1" x14ac:dyDescent="0.3">
      <c r="A6" s="875" t="s">
        <v>54</v>
      </c>
      <c r="B6" s="875" t="s">
        <v>14</v>
      </c>
      <c r="C6" s="898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9" ht="93.75" thickBot="1" x14ac:dyDescent="0.3">
      <c r="A7" s="876"/>
      <c r="B7" s="876"/>
      <c r="C7" s="899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9" ht="79.5" customHeight="1" x14ac:dyDescent="0.25">
      <c r="A8" s="906" t="s">
        <v>0</v>
      </c>
      <c r="B8" s="922">
        <v>46328</v>
      </c>
      <c r="C8" s="194" t="s">
        <v>10</v>
      </c>
      <c r="D8" s="298"/>
      <c r="E8" s="282"/>
      <c r="F8" s="282"/>
      <c r="G8" s="282"/>
      <c r="H8" s="519"/>
      <c r="I8" s="344"/>
    </row>
    <row r="9" spans="1:9" ht="79.5" customHeight="1" x14ac:dyDescent="0.25">
      <c r="A9" s="907"/>
      <c r="B9" s="869"/>
      <c r="C9" s="195" t="s">
        <v>11</v>
      </c>
      <c r="D9" s="518"/>
      <c r="E9" s="265"/>
      <c r="F9" s="265"/>
      <c r="G9" s="361"/>
      <c r="H9" s="361"/>
      <c r="I9" s="388"/>
    </row>
    <row r="10" spans="1:9" ht="79.5" customHeight="1" x14ac:dyDescent="0.25">
      <c r="A10" s="907"/>
      <c r="B10" s="869"/>
      <c r="C10" s="195" t="s">
        <v>12</v>
      </c>
      <c r="D10" s="392"/>
      <c r="E10" s="361"/>
      <c r="F10" s="361"/>
      <c r="G10" s="361"/>
      <c r="H10" s="432"/>
      <c r="I10" s="478"/>
    </row>
    <row r="11" spans="1:9" ht="79.5" customHeight="1" x14ac:dyDescent="0.25">
      <c r="A11" s="907"/>
      <c r="B11" s="869"/>
      <c r="C11" s="195" t="s">
        <v>13</v>
      </c>
      <c r="D11" s="392"/>
      <c r="E11" s="361"/>
      <c r="F11" s="361"/>
      <c r="G11" s="361"/>
      <c r="H11" s="432"/>
      <c r="I11" s="388"/>
    </row>
    <row r="12" spans="1:9" ht="79.5" customHeight="1" thickBot="1" x14ac:dyDescent="0.3">
      <c r="A12" s="912"/>
      <c r="B12" s="870"/>
      <c r="C12" s="196" t="s">
        <v>15</v>
      </c>
      <c r="D12" s="586"/>
      <c r="E12" s="312"/>
      <c r="F12" s="312"/>
      <c r="G12" s="312"/>
      <c r="H12" s="312"/>
      <c r="I12" s="335"/>
    </row>
    <row r="13" spans="1:9" ht="79.5" customHeight="1" x14ac:dyDescent="0.25">
      <c r="A13" s="907" t="s">
        <v>1</v>
      </c>
      <c r="B13" s="908">
        <f>B8+1</f>
        <v>46329</v>
      </c>
      <c r="C13" s="484" t="s">
        <v>10</v>
      </c>
      <c r="D13" s="485"/>
      <c r="E13" s="585"/>
      <c r="F13" s="585"/>
      <c r="G13" s="585"/>
      <c r="H13" s="436"/>
      <c r="I13" s="437"/>
    </row>
    <row r="14" spans="1:9" ht="79.5" customHeight="1" x14ac:dyDescent="0.25">
      <c r="A14" s="907"/>
      <c r="B14" s="869"/>
      <c r="C14" s="463" t="s">
        <v>11</v>
      </c>
      <c r="D14" s="392"/>
      <c r="E14" s="361"/>
      <c r="F14" s="361"/>
      <c r="G14" s="361"/>
      <c r="H14" s="265"/>
      <c r="I14" s="266"/>
    </row>
    <row r="15" spans="1:9" ht="79.5" customHeight="1" x14ac:dyDescent="0.25">
      <c r="A15" s="907"/>
      <c r="B15" s="869"/>
      <c r="C15" s="463" t="s">
        <v>12</v>
      </c>
      <c r="D15" s="392"/>
      <c r="E15" s="265"/>
      <c r="F15" s="265"/>
      <c r="G15" s="265"/>
      <c r="H15" s="301"/>
      <c r="I15" s="478"/>
    </row>
    <row r="16" spans="1:9" ht="79.5" customHeight="1" x14ac:dyDescent="0.25">
      <c r="A16" s="907"/>
      <c r="B16" s="869"/>
      <c r="C16" s="455" t="s">
        <v>13</v>
      </c>
      <c r="D16" s="392"/>
      <c r="E16" s="265"/>
      <c r="F16" s="265"/>
      <c r="G16" s="265"/>
      <c r="H16" s="265"/>
      <c r="I16" s="478"/>
    </row>
    <row r="17" spans="1:11" ht="79.5" customHeight="1" x14ac:dyDescent="0.25">
      <c r="A17" s="907"/>
      <c r="B17" s="902"/>
      <c r="C17" s="459" t="s">
        <v>15</v>
      </c>
      <c r="D17" s="511"/>
      <c r="E17" s="510"/>
      <c r="F17" s="510"/>
      <c r="G17" s="509"/>
      <c r="H17" s="509"/>
      <c r="I17" s="183"/>
    </row>
    <row r="18" spans="1:11" ht="79.5" customHeight="1" thickBot="1" x14ac:dyDescent="0.3">
      <c r="A18" s="907"/>
      <c r="B18" s="902"/>
      <c r="C18" s="457" t="s">
        <v>64</v>
      </c>
      <c r="D18" s="576"/>
      <c r="E18" s="404"/>
      <c r="F18" s="404"/>
      <c r="G18" s="577"/>
      <c r="H18" s="577"/>
      <c r="I18" s="578"/>
    </row>
    <row r="19" spans="1:11" ht="87" customHeight="1" x14ac:dyDescent="0.25">
      <c r="A19" s="906" t="s">
        <v>2</v>
      </c>
      <c r="B19" s="922">
        <f>B13+1</f>
        <v>46330</v>
      </c>
      <c r="C19" s="194" t="s">
        <v>10</v>
      </c>
      <c r="D19" s="600"/>
      <c r="E19" s="601"/>
      <c r="F19" s="601"/>
      <c r="G19" s="601"/>
      <c r="H19" s="601"/>
      <c r="I19" s="602"/>
    </row>
    <row r="20" spans="1:11" ht="87" customHeight="1" x14ac:dyDescent="0.25">
      <c r="A20" s="907"/>
      <c r="B20" s="869"/>
      <c r="C20" s="195" t="s">
        <v>11</v>
      </c>
      <c r="D20" s="603"/>
      <c r="E20" s="494"/>
      <c r="F20" s="494"/>
      <c r="G20" s="494"/>
      <c r="H20" s="494"/>
      <c r="I20" s="604"/>
    </row>
    <row r="21" spans="1:11" ht="87" customHeight="1" x14ac:dyDescent="0.25">
      <c r="A21" s="907"/>
      <c r="B21" s="869"/>
      <c r="C21" s="195" t="s">
        <v>12</v>
      </c>
      <c r="D21" s="504"/>
      <c r="E21" s="605"/>
      <c r="F21" s="605"/>
      <c r="G21" s="494"/>
      <c r="H21" s="494"/>
      <c r="I21" s="507"/>
      <c r="K21" s="3"/>
    </row>
    <row r="22" spans="1:11" ht="87" customHeight="1" x14ac:dyDescent="0.25">
      <c r="A22" s="907"/>
      <c r="B22" s="869"/>
      <c r="C22" s="195" t="s">
        <v>13</v>
      </c>
      <c r="D22" s="504"/>
      <c r="E22" s="505"/>
      <c r="F22" s="505"/>
      <c r="G22" s="494"/>
      <c r="H22" s="494"/>
      <c r="I22" s="507"/>
    </row>
    <row r="23" spans="1:11" ht="87" customHeight="1" thickBot="1" x14ac:dyDescent="0.3">
      <c r="A23" s="912"/>
      <c r="B23" s="870"/>
      <c r="C23" s="196" t="s">
        <v>15</v>
      </c>
      <c r="D23" s="606"/>
      <c r="E23" s="607"/>
      <c r="F23" s="607"/>
      <c r="G23" s="608"/>
      <c r="H23" s="608"/>
      <c r="I23" s="609"/>
    </row>
    <row r="24" spans="1:11" ht="90" customHeight="1" x14ac:dyDescent="0.25">
      <c r="A24" s="906" t="s">
        <v>3</v>
      </c>
      <c r="B24" s="922">
        <f>B19+1</f>
        <v>46331</v>
      </c>
      <c r="C24" s="440" t="s">
        <v>10</v>
      </c>
      <c r="D24" s="285"/>
      <c r="E24" s="286"/>
      <c r="F24" s="286"/>
      <c r="G24" s="286"/>
      <c r="H24" s="286"/>
      <c r="I24" s="303"/>
    </row>
    <row r="25" spans="1:11" ht="90" customHeight="1" x14ac:dyDescent="0.25">
      <c r="A25" s="919"/>
      <c r="B25" s="869"/>
      <c r="C25" s="441" t="s">
        <v>11</v>
      </c>
      <c r="D25" s="267"/>
      <c r="E25" s="234"/>
      <c r="F25" s="234"/>
      <c r="G25" s="301"/>
      <c r="H25" s="234"/>
      <c r="I25" s="268"/>
    </row>
    <row r="26" spans="1:11" ht="90" customHeight="1" x14ac:dyDescent="0.25">
      <c r="A26" s="919"/>
      <c r="B26" s="869"/>
      <c r="C26" s="441" t="s">
        <v>12</v>
      </c>
      <c r="D26" s="392"/>
      <c r="E26" s="361"/>
      <c r="F26" s="416"/>
      <c r="G26" s="416"/>
      <c r="H26" s="384"/>
      <c r="I26" s="443"/>
    </row>
    <row r="27" spans="1:11" ht="90" customHeight="1" x14ac:dyDescent="0.25">
      <c r="A27" s="919"/>
      <c r="B27" s="869"/>
      <c r="C27" s="441" t="s">
        <v>13</v>
      </c>
      <c r="D27" s="485"/>
      <c r="E27" s="361"/>
      <c r="F27" s="361"/>
      <c r="G27" s="361"/>
      <c r="H27" s="384"/>
      <c r="I27" s="443"/>
    </row>
    <row r="28" spans="1:11" ht="90" customHeight="1" thickBot="1" x14ac:dyDescent="0.3">
      <c r="A28" s="920"/>
      <c r="B28" s="870"/>
      <c r="C28" s="442" t="s">
        <v>15</v>
      </c>
      <c r="D28" s="206"/>
      <c r="E28" s="438"/>
      <c r="F28" s="438"/>
      <c r="G28" s="429"/>
      <c r="H28" s="429"/>
      <c r="I28" s="431"/>
    </row>
    <row r="29" spans="1:11" ht="90" customHeight="1" x14ac:dyDescent="0.25">
      <c r="A29" s="907" t="s">
        <v>4</v>
      </c>
      <c r="B29" s="908">
        <f>B24+1</f>
        <v>46332</v>
      </c>
      <c r="C29" s="440" t="s">
        <v>10</v>
      </c>
      <c r="D29" s="276"/>
      <c r="E29" s="277"/>
      <c r="F29" s="277"/>
      <c r="G29" s="277"/>
      <c r="H29" s="360"/>
      <c r="I29" s="278"/>
    </row>
    <row r="30" spans="1:11" ht="90" customHeight="1" x14ac:dyDescent="0.25">
      <c r="A30" s="907"/>
      <c r="B30" s="869"/>
      <c r="C30" s="441" t="s">
        <v>11</v>
      </c>
      <c r="D30" s="269"/>
      <c r="E30" s="301"/>
      <c r="F30" s="301"/>
      <c r="G30" s="233"/>
      <c r="H30" s="432"/>
      <c r="I30" s="300"/>
    </row>
    <row r="31" spans="1:11" ht="90" customHeight="1" x14ac:dyDescent="0.25">
      <c r="A31" s="907"/>
      <c r="B31" s="869"/>
      <c r="C31" s="441" t="s">
        <v>12</v>
      </c>
      <c r="D31" s="299"/>
      <c r="E31" s="301"/>
      <c r="F31" s="301"/>
      <c r="G31" s="234"/>
      <c r="H31" s="301"/>
      <c r="I31" s="300"/>
    </row>
    <row r="32" spans="1:11" ht="90" customHeight="1" x14ac:dyDescent="0.25">
      <c r="A32" s="907"/>
      <c r="B32" s="869"/>
      <c r="C32" s="441" t="s">
        <v>13</v>
      </c>
      <c r="D32" s="299"/>
      <c r="E32" s="301"/>
      <c r="F32" s="301"/>
      <c r="G32" s="234"/>
      <c r="H32" s="301"/>
      <c r="I32" s="268"/>
    </row>
    <row r="33" spans="1:9" ht="90" customHeight="1" thickBot="1" x14ac:dyDescent="0.3">
      <c r="A33" s="912"/>
      <c r="B33" s="869"/>
      <c r="C33" s="442" t="s">
        <v>15</v>
      </c>
      <c r="D33" s="271"/>
      <c r="E33" s="272"/>
      <c r="F33" s="272"/>
      <c r="G33" s="272"/>
      <c r="H33" s="272"/>
      <c r="I33" s="273"/>
    </row>
    <row r="34" spans="1:9" ht="40.5" customHeight="1" x14ac:dyDescent="0.25">
      <c r="A34" s="869" t="s">
        <v>47</v>
      </c>
      <c r="B34" s="903">
        <f>B29+1</f>
        <v>46333</v>
      </c>
      <c r="C34" s="194" t="s">
        <v>10</v>
      </c>
      <c r="D34" s="138"/>
      <c r="E34" s="139"/>
      <c r="F34" s="139"/>
      <c r="G34" s="139"/>
      <c r="H34" s="139"/>
      <c r="I34" s="140"/>
    </row>
    <row r="35" spans="1:9" ht="40.5" customHeight="1" x14ac:dyDescent="0.25">
      <c r="A35" s="869"/>
      <c r="B35" s="869"/>
      <c r="C35" s="195" t="s">
        <v>11</v>
      </c>
      <c r="D35" s="248"/>
      <c r="E35" s="233"/>
      <c r="F35" s="233"/>
      <c r="G35" s="135"/>
      <c r="H35" s="136"/>
      <c r="I35" s="249"/>
    </row>
    <row r="36" spans="1:9" ht="40.5" customHeight="1" x14ac:dyDescent="0.25">
      <c r="A36" s="869"/>
      <c r="B36" s="869"/>
      <c r="C36" s="195" t="s">
        <v>12</v>
      </c>
      <c r="D36" s="197"/>
      <c r="E36" s="250"/>
      <c r="F36" s="250"/>
      <c r="G36" s="250"/>
      <c r="H36" s="250"/>
      <c r="I36" s="251"/>
    </row>
    <row r="37" spans="1:9" ht="40.5" customHeight="1" x14ac:dyDescent="0.25">
      <c r="A37" s="869"/>
      <c r="B37" s="869"/>
      <c r="C37" s="195" t="s">
        <v>13</v>
      </c>
      <c r="D37" s="141"/>
      <c r="E37" s="136"/>
      <c r="F37" s="136"/>
      <c r="G37" s="136"/>
      <c r="H37" s="135"/>
      <c r="I37" s="142"/>
    </row>
    <row r="38" spans="1:9" ht="40.5" customHeight="1" thickBot="1" x14ac:dyDescent="0.3">
      <c r="A38" s="870"/>
      <c r="B38" s="870"/>
      <c r="C38" s="196" t="s">
        <v>15</v>
      </c>
      <c r="D38" s="143"/>
      <c r="E38" s="96"/>
      <c r="F38" s="96"/>
      <c r="G38" s="96"/>
      <c r="H38" s="96"/>
      <c r="I38" s="108"/>
    </row>
    <row r="39" spans="1:9" ht="37.5" customHeight="1" x14ac:dyDescent="0.3">
      <c r="A39" s="2"/>
      <c r="B39" s="2"/>
      <c r="C39" s="44"/>
      <c r="D39" s="170" t="s">
        <v>86</v>
      </c>
      <c r="E39" s="2"/>
      <c r="F39" s="2"/>
      <c r="G39" s="2"/>
      <c r="H39" s="2"/>
      <c r="I39" s="2"/>
    </row>
    <row r="40" spans="1:9" s="19" customFormat="1" ht="23.25" x14ac:dyDescent="0.35">
      <c r="A40" s="18"/>
      <c r="B40" s="18"/>
      <c r="C40" s="67" t="str">
        <f>'01.09'!C39</f>
        <v>*Л. Речевое общение в профессиональной деятельности*</v>
      </c>
      <c r="D40" s="68">
        <f>'26.10'!D40+COUNTIF(D$8:D$38,$C40)</f>
        <v>5</v>
      </c>
      <c r="E40" s="68">
        <f>'26.10'!E40+COUNTIF(E$8:E$38,$C40)</f>
        <v>5</v>
      </c>
      <c r="F40" s="68">
        <f>'26.10'!F40+COUNTIF(F$8:F$38,$C40)</f>
        <v>5</v>
      </c>
      <c r="G40" s="68">
        <f>'26.10'!G40+COUNTIF(G$8:G$38,$C40)</f>
        <v>5</v>
      </c>
      <c r="H40" s="68">
        <f>'26.10'!H40+COUNTIF(H$8:H$38,$C40)</f>
        <v>5</v>
      </c>
      <c r="I40" s="68">
        <f>'26.10'!I40+COUNTIF(I$8:I$38,$C40)</f>
        <v>5</v>
      </c>
    </row>
    <row r="41" spans="1:9" s="19" customFormat="1" ht="23.25" x14ac:dyDescent="0.35">
      <c r="A41" s="18"/>
      <c r="B41" s="18"/>
      <c r="C41" s="67" t="str">
        <f>'01.09'!C40</f>
        <v>*Пр. Речевое общение в профессиональной деятельности*</v>
      </c>
      <c r="D41" s="69">
        <f>'26.10'!D41+COUNTIF(D$8:D$38,$C41)</f>
        <v>4</v>
      </c>
      <c r="E41" s="69">
        <f>'26.10'!E41+COUNTIF(E$8:E$38,$C41)</f>
        <v>4</v>
      </c>
      <c r="F41" s="68">
        <f>'26.10'!F41+COUNTIF(F$8:F$38,$C41)</f>
        <v>4</v>
      </c>
      <c r="G41" s="69">
        <f>'26.10'!G41+COUNTIF(G$8:G$38,$C41)</f>
        <v>4</v>
      </c>
      <c r="H41" s="69">
        <f>'26.10'!H41+COUNTIF(H$8:H$38,$C41)</f>
        <v>4</v>
      </c>
      <c r="I41" s="69">
        <f>'26.10'!I41+COUNTIF(I$8:I$38,$C41)</f>
        <v>4</v>
      </c>
    </row>
    <row r="42" spans="1:9" s="19" customFormat="1" ht="23.25" x14ac:dyDescent="0.35">
      <c r="A42" s="18"/>
      <c r="B42" s="18"/>
      <c r="C42" s="67" t="str">
        <f>'01.09'!C41</f>
        <v>*Л. Элективные дисциплины по ФКиС: Силовая подготовка*</v>
      </c>
      <c r="D42" s="68">
        <f>'26.10'!D42+COUNTIF(D$8:D$38,$C42)</f>
        <v>1</v>
      </c>
      <c r="E42" s="68">
        <f>'26.10'!E42+COUNTIF(E$8:E$38,$C42)</f>
        <v>1</v>
      </c>
      <c r="F42" s="68">
        <f>'26.10'!F42+COUNTIF(F$8:F$38,$C42)</f>
        <v>1</v>
      </c>
      <c r="G42" s="68">
        <f>'26.10'!G42+COUNTIF(G$8:G$38,$C42)</f>
        <v>1</v>
      </c>
      <c r="H42" s="68">
        <f>'26.10'!H42+COUNTIF(H$8:H$38,$C42)</f>
        <v>1</v>
      </c>
      <c r="I42" s="68">
        <f>'26.10'!I42+COUNTIF(I$8:I$38,$C42)</f>
        <v>1</v>
      </c>
    </row>
    <row r="43" spans="1:9" s="19" customFormat="1" ht="23.25" x14ac:dyDescent="0.35">
      <c r="A43" s="18"/>
      <c r="B43" s="18"/>
      <c r="C43" s="67" t="str">
        <f>'01.09'!C42</f>
        <v>*Пр. Элективные дисциплины по ФКиС: Силовая подготовка*</v>
      </c>
      <c r="D43" s="69">
        <f>'26.10'!D43+COUNTIF(D$8:D$38,$C43)</f>
        <v>8</v>
      </c>
      <c r="E43" s="69">
        <f>'26.10'!E43+COUNTIF(E$8:E$38,$C43)</f>
        <v>9</v>
      </c>
      <c r="F43" s="68">
        <f>'26.10'!F43+COUNTIF(F$8:F$38,$C43)</f>
        <v>9</v>
      </c>
      <c r="G43" s="69">
        <f>'26.10'!G43+COUNTIF(G$8:G$38,$C43)</f>
        <v>9</v>
      </c>
      <c r="H43" s="69">
        <f>'26.10'!H43+COUNTIF(H$8:H$38,$C43)</f>
        <v>9</v>
      </c>
      <c r="I43" s="69">
        <f>'26.10'!I43+COUNTIF(I$8:I$38,$C43)</f>
        <v>8</v>
      </c>
    </row>
    <row r="44" spans="1:9" s="19" customFormat="1" ht="23.25" x14ac:dyDescent="0.35">
      <c r="A44" s="18"/>
      <c r="B44" s="18"/>
      <c r="C44" s="67" t="str">
        <f>'01.09'!C43</f>
        <v>*Л. Анатомия*</v>
      </c>
      <c r="D44" s="68">
        <f>'26.10'!D44+COUNTIF(D$8:D$38,$C44)</f>
        <v>4</v>
      </c>
      <c r="E44" s="68">
        <f>'26.10'!E44+COUNTIF(E$8:E$38,$C44)</f>
        <v>4</v>
      </c>
      <c r="F44" s="68">
        <f>'26.10'!F44+COUNTIF(F$8:F$38,$C44)</f>
        <v>4</v>
      </c>
      <c r="G44" s="68">
        <f>'26.10'!G44+COUNTIF(G$8:G$38,$C44)</f>
        <v>4</v>
      </c>
      <c r="H44" s="68">
        <f>'26.10'!H44+COUNTIF(H$8:H$38,$C44)</f>
        <v>4</v>
      </c>
      <c r="I44" s="68">
        <f>'26.10'!I44+COUNTIF(I$8:I$38,$C44)</f>
        <v>4</v>
      </c>
    </row>
    <row r="45" spans="1:9" s="19" customFormat="1" ht="23.25" x14ac:dyDescent="0.35">
      <c r="A45" s="18"/>
      <c r="B45" s="18"/>
      <c r="C45" s="67" t="str">
        <f>'01.09'!C44</f>
        <v>*Пр. Анатомия*</v>
      </c>
      <c r="D45" s="69">
        <f>'26.10'!D45+COUNTIF(D$8:D$38,$C45)</f>
        <v>4</v>
      </c>
      <c r="E45" s="69">
        <f>'26.10'!E45+COUNTIF(E$8:E$38,$C45)</f>
        <v>4</v>
      </c>
      <c r="F45" s="68">
        <f>'26.10'!F45+COUNTIF(F$8:F$38,$C45)</f>
        <v>4</v>
      </c>
      <c r="G45" s="69">
        <f>'26.10'!G45+COUNTIF(G$8:G$38,$C45)</f>
        <v>4</v>
      </c>
      <c r="H45" s="69">
        <f>'26.10'!H45+COUNTIF(H$8:H$38,$C45)</f>
        <v>4</v>
      </c>
      <c r="I45" s="69">
        <f>'26.10'!I45+COUNTIF(I$8:I$38,$C45)</f>
        <v>4</v>
      </c>
    </row>
    <row r="46" spans="1:9" s="19" customFormat="1" ht="23.25" x14ac:dyDescent="0.35">
      <c r="A46" s="18"/>
      <c r="B46" s="18"/>
      <c r="C46" s="67" t="str">
        <f>'01.09'!C45</f>
        <v>*Л. Теория и методика*</v>
      </c>
      <c r="D46" s="68">
        <f>'26.10'!D46+COUNTIF(D$8:D$38,$C46)</f>
        <v>5</v>
      </c>
      <c r="E46" s="68">
        <f>'26.10'!E46+COUNTIF(E$8:E$38,$C46)</f>
        <v>4</v>
      </c>
      <c r="F46" s="68">
        <f>'26.10'!F46+COUNTIF(F$8:F$38,$C46)</f>
        <v>4</v>
      </c>
      <c r="G46" s="68">
        <f>'26.10'!G46+COUNTIF(G$8:G$38,$C46)</f>
        <v>4</v>
      </c>
      <c r="H46" s="68">
        <f>'26.10'!H46+COUNTIF(H$8:H$38,$C46)</f>
        <v>5</v>
      </c>
      <c r="I46" s="68">
        <f>'26.10'!I46+COUNTIF(I$8:I$38,$C46)</f>
        <v>3</v>
      </c>
    </row>
    <row r="47" spans="1:9" s="19" customFormat="1" ht="23.25" x14ac:dyDescent="0.35">
      <c r="A47" s="18"/>
      <c r="B47" s="18"/>
      <c r="C47" s="67" t="str">
        <f>'01.09'!C46</f>
        <v>*Пр. Теория и методика*</v>
      </c>
      <c r="D47" s="69">
        <f>'26.10'!D47+COUNTIF(D$8:D$38,$C47)</f>
        <v>24</v>
      </c>
      <c r="E47" s="69">
        <f>'26.10'!E47+COUNTIF(E$8:E$38,$C47)</f>
        <v>23</v>
      </c>
      <c r="F47" s="68">
        <f>'26.10'!F47+COUNTIF(F$8:F$38,$C47)</f>
        <v>23</v>
      </c>
      <c r="G47" s="69">
        <f>'26.10'!G47+COUNTIF(G$8:G$38,$C47)</f>
        <v>23</v>
      </c>
      <c r="H47" s="69">
        <f>'26.10'!H47+COUNTIF(H$8:H$38,$C47)</f>
        <v>26</v>
      </c>
      <c r="I47" s="69">
        <f>'26.10'!I47+COUNTIF(I$8:I$38,$C47)</f>
        <v>20</v>
      </c>
    </row>
    <row r="48" spans="1:9" s="19" customFormat="1" ht="23.25" x14ac:dyDescent="0.35">
      <c r="A48" s="18"/>
      <c r="B48" s="18"/>
      <c r="C48" s="67" t="str">
        <f>'01.09'!C47</f>
        <v>*Л. Физическая культура и спорт*</v>
      </c>
      <c r="D48" s="68">
        <f>'26.10'!D48+COUNTIF(D$8:D$38,$C48)</f>
        <v>5</v>
      </c>
      <c r="E48" s="68">
        <f>'26.10'!E48+COUNTIF(E$8:E$38,$C48)</f>
        <v>5</v>
      </c>
      <c r="F48" s="68">
        <f>'26.10'!F48+COUNTIF(F$8:F$38,$C48)</f>
        <v>5</v>
      </c>
      <c r="G48" s="68">
        <f>'26.10'!G48+COUNTIF(G$8:G$38,$C48)</f>
        <v>5</v>
      </c>
      <c r="H48" s="68">
        <f>'26.10'!H48+COUNTIF(H$8:H$38,$C48)</f>
        <v>5</v>
      </c>
      <c r="I48" s="68">
        <f>'26.10'!I48+COUNTIF(I$8:I$38,$C48)</f>
        <v>5</v>
      </c>
    </row>
    <row r="49" spans="1:9" s="19" customFormat="1" ht="23.25" x14ac:dyDescent="0.35">
      <c r="A49" s="18"/>
      <c r="B49" s="18"/>
      <c r="C49" s="67" t="str">
        <f>'01.09'!C48</f>
        <v>*Пр. Физическая культура и спорт*</v>
      </c>
      <c r="D49" s="69">
        <f>'26.10'!D49+COUNTIF(D$8:D$38,$C49)</f>
        <v>5</v>
      </c>
      <c r="E49" s="69">
        <f>'26.10'!E49+COUNTIF(E$8:E$38,$C49)</f>
        <v>5</v>
      </c>
      <c r="F49" s="68">
        <f>'26.10'!F49+COUNTIF(F$8:F$38,$C49)</f>
        <v>5</v>
      </c>
      <c r="G49" s="69">
        <f>'26.10'!G49+COUNTIF(G$8:G$38,$C49)</f>
        <v>5</v>
      </c>
      <c r="H49" s="69">
        <f>'26.10'!H49+COUNTIF(H$8:H$38,$C49)</f>
        <v>5</v>
      </c>
      <c r="I49" s="69">
        <f>'26.10'!I49+COUNTIF(I$8:I$38,$C49)</f>
        <v>5</v>
      </c>
    </row>
    <row r="50" spans="1:9" s="19" customFormat="1" ht="23.25" x14ac:dyDescent="0.35">
      <c r="A50" s="18"/>
      <c r="B50" s="18"/>
      <c r="C50" s="67" t="str">
        <f>'01.09'!C49</f>
        <v>*Л. Информационные технологии*</v>
      </c>
      <c r="D50" s="68">
        <f>'26.10'!D50+COUNTIF(D$8:D$38,$C50)</f>
        <v>2</v>
      </c>
      <c r="E50" s="68">
        <f>'26.10'!E50+COUNTIF(E$8:E$38,$C50)</f>
        <v>2</v>
      </c>
      <c r="F50" s="68">
        <f>'26.10'!F50+COUNTIF(F$8:F$38,$C50)</f>
        <v>2</v>
      </c>
      <c r="G50" s="68">
        <f>'26.10'!G50+COUNTIF(G$8:G$38,$C50)</f>
        <v>2</v>
      </c>
      <c r="H50" s="68">
        <f>'26.10'!H50+COUNTIF(H$8:H$38,$C50)</f>
        <v>2</v>
      </c>
      <c r="I50" s="68">
        <f>'26.10'!I50+COUNTIF(I$8:I$38,$C50)</f>
        <v>2</v>
      </c>
    </row>
    <row r="51" spans="1:9" s="19" customFormat="1" ht="23.25" x14ac:dyDescent="0.35">
      <c r="A51" s="18"/>
      <c r="B51" s="18"/>
      <c r="C51" s="67" t="str">
        <f>'01.09'!C50</f>
        <v>*Пр. Информационные технологии*</v>
      </c>
      <c r="D51" s="69">
        <f>'26.10'!D51+COUNTIF(D$8:D$38,$C51)</f>
        <v>8</v>
      </c>
      <c r="E51" s="69">
        <f>'26.10'!E51+COUNTIF(E$8:E$38,$C51)</f>
        <v>8</v>
      </c>
      <c r="F51" s="68">
        <f>'26.10'!F51+COUNTIF(F$8:F$38,$C51)</f>
        <v>8</v>
      </c>
      <c r="G51" s="69">
        <f>'26.10'!G51+COUNTIF(G$8:G$38,$C51)</f>
        <v>8</v>
      </c>
      <c r="H51" s="69">
        <f>'26.10'!H51+COUNTIF(H$8:H$38,$C51)</f>
        <v>8</v>
      </c>
      <c r="I51" s="69">
        <f>'26.10'!I51+COUNTIF(I$8:I$38,$C51)</f>
        <v>8</v>
      </c>
    </row>
    <row r="52" spans="1:9" s="19" customFormat="1" ht="23.25" x14ac:dyDescent="0.35">
      <c r="A52" s="18"/>
      <c r="B52" s="18"/>
      <c r="C52" s="67" t="str">
        <f>'01.09'!C51</f>
        <v>*Л. Гимнастика*</v>
      </c>
      <c r="D52" s="68">
        <f>'26.10'!D52+COUNTIF(D$8:D$38,$C52)</f>
        <v>3</v>
      </c>
      <c r="E52" s="68">
        <f>'26.10'!E52+COUNTIF(E$8:E$38,$C52)</f>
        <v>3</v>
      </c>
      <c r="F52" s="68">
        <f>'26.10'!F52+COUNTIF(F$8:F$38,$C52)</f>
        <v>3</v>
      </c>
      <c r="G52" s="68">
        <f>'26.10'!G52+COUNTIF(G$8:G$38,$C52)</f>
        <v>3</v>
      </c>
      <c r="H52" s="68">
        <f>'26.10'!H52+COUNTIF(H$8:H$38,$C52)</f>
        <v>3</v>
      </c>
      <c r="I52" s="68">
        <f>'26.10'!I52+COUNTIF(I$8:I$38,$C52)</f>
        <v>3</v>
      </c>
    </row>
    <row r="53" spans="1:9" s="19" customFormat="1" ht="23.25" x14ac:dyDescent="0.35">
      <c r="A53" s="18"/>
      <c r="B53" s="18"/>
      <c r="C53" s="67" t="str">
        <f>'01.09'!C52</f>
        <v>*Пр. Гимнастика*</v>
      </c>
      <c r="D53" s="69">
        <f>'26.10'!D53+COUNTIF(D$8:D$38,$C53)</f>
        <v>8</v>
      </c>
      <c r="E53" s="69">
        <f>'26.10'!E53+COUNTIF(E$8:E$38,$C53)</f>
        <v>13</v>
      </c>
      <c r="F53" s="68">
        <f>'26.10'!F53+COUNTIF(F$8:F$38,$C53)</f>
        <v>13</v>
      </c>
      <c r="G53" s="69">
        <f>'26.10'!G53+COUNTIF(G$8:G$38,$C53)</f>
        <v>12</v>
      </c>
      <c r="H53" s="69">
        <f>'26.10'!H53+COUNTIF(H$8:H$38,$C53)</f>
        <v>13</v>
      </c>
      <c r="I53" s="69">
        <f>'26.10'!I53+COUNTIF(I$8:I$38,$C53)</f>
        <v>12</v>
      </c>
    </row>
    <row r="54" spans="1:9" s="19" customFormat="1" ht="23.25" x14ac:dyDescent="0.35">
      <c r="A54" s="18"/>
      <c r="B54" s="18"/>
      <c r="C54" s="67" t="str">
        <f>'01.09'!C53</f>
        <v>*Л. Волейбол*</v>
      </c>
      <c r="D54" s="68">
        <f>'26.10'!D54+COUNTIF(D$8:D$38,$C54)</f>
        <v>1</v>
      </c>
      <c r="E54" s="68">
        <f>'26.10'!E54+COUNTIF(E$8:E$38,$C54)</f>
        <v>1</v>
      </c>
      <c r="F54" s="68">
        <f>'26.10'!F54+COUNTIF(F$8:F$38,$C54)</f>
        <v>1</v>
      </c>
      <c r="G54" s="68">
        <f>'26.10'!G54+COUNTIF(G$8:G$38,$C54)</f>
        <v>1</v>
      </c>
      <c r="H54" s="68">
        <f>'26.10'!H54+COUNTIF(H$8:H$38,$C54)</f>
        <v>1</v>
      </c>
      <c r="I54" s="68">
        <f>'26.10'!I54+COUNTIF(I$8:I$38,$C54)</f>
        <v>1</v>
      </c>
    </row>
    <row r="55" spans="1:9" s="19" customFormat="1" ht="23.25" x14ac:dyDescent="0.35">
      <c r="A55" s="18"/>
      <c r="B55" s="18"/>
      <c r="C55" s="67" t="str">
        <f>'01.09'!C54</f>
        <v>*Пр. Волейбол*</v>
      </c>
      <c r="D55" s="69">
        <f>'26.10'!D55+COUNTIF(D$8:D$38,$C55)</f>
        <v>16</v>
      </c>
      <c r="E55" s="69">
        <f>'26.10'!E55+COUNTIF(E$8:E$38,$C55)</f>
        <v>16</v>
      </c>
      <c r="F55" s="68">
        <f>'26.10'!F55+COUNTIF(F$8:F$38,$C55)</f>
        <v>8</v>
      </c>
      <c r="G55" s="69">
        <f>'26.10'!G55+COUNTIF(G$8:G$38,$C55)</f>
        <v>8</v>
      </c>
      <c r="H55" s="69">
        <f>'26.10'!H55+COUNTIF(H$8:H$38,$C55)</f>
        <v>16</v>
      </c>
      <c r="I55" s="69">
        <f>'26.10'!I55+COUNTIF(I$8:I$38,$C55)</f>
        <v>16</v>
      </c>
    </row>
    <row r="56" spans="1:9" s="19" customFormat="1" ht="23.25" x14ac:dyDescent="0.35">
      <c r="A56" s="18"/>
      <c r="B56" s="18"/>
      <c r="C56" s="67" t="str">
        <f>'01.09'!C55</f>
        <v>*Л. Лыжные гонки*</v>
      </c>
      <c r="D56" s="68">
        <f>'26.10'!D56+COUNTIF(D$8:D$38,$C56)</f>
        <v>0</v>
      </c>
      <c r="E56" s="68">
        <f>'26.10'!E56+COUNTIF(E$8:E$38,$C56)</f>
        <v>0</v>
      </c>
      <c r="F56" s="68">
        <f>'26.10'!F56+COUNTIF(F$8:F$38,$C56)</f>
        <v>0</v>
      </c>
      <c r="G56" s="68">
        <f>'26.10'!G56+COUNTIF(G$8:G$38,$C56)</f>
        <v>0</v>
      </c>
      <c r="H56" s="68">
        <f>'26.10'!H56+COUNTIF(H$8:H$38,$C56)</f>
        <v>0</v>
      </c>
      <c r="I56" s="68">
        <f>'26.10'!I56+COUNTIF(I$8:I$38,$C56)</f>
        <v>0</v>
      </c>
    </row>
    <row r="57" spans="1:9" s="19" customFormat="1" ht="23.25" x14ac:dyDescent="0.35">
      <c r="A57" s="18"/>
      <c r="B57" s="18"/>
      <c r="C57" s="67" t="str">
        <f>'01.09'!C56</f>
        <v>*Пр. Лыжные гонки*</v>
      </c>
      <c r="D57" s="69">
        <f>'26.10'!D57+COUNTIF(D$8:D$38,$C57)</f>
        <v>0</v>
      </c>
      <c r="E57" s="69">
        <f>'26.10'!E57+COUNTIF(E$8:E$38,$C57)</f>
        <v>0</v>
      </c>
      <c r="F57" s="68">
        <f>'26.10'!F57+COUNTIF(F$8:F$38,$C57)</f>
        <v>0</v>
      </c>
      <c r="G57" s="69">
        <f>'26.10'!G57+COUNTIF(G$8:G$38,$C57)</f>
        <v>0</v>
      </c>
      <c r="H57" s="69">
        <f>'26.10'!H57+COUNTIF(H$8:H$38,$C57)</f>
        <v>0</v>
      </c>
      <c r="I57" s="69">
        <f>'26.10'!I57+COUNTIF(I$8:I$38,$C57)</f>
        <v>0</v>
      </c>
    </row>
    <row r="58" spans="1:9" s="19" customFormat="1" ht="23.25" x14ac:dyDescent="0.35">
      <c r="A58" s="18"/>
      <c r="B58" s="18"/>
      <c r="C58" s="67" t="str">
        <f>'01.09'!C57</f>
        <v>*Л. Использование электронной*</v>
      </c>
      <c r="D58" s="68">
        <f>'26.10'!D58+COUNTIF(D$8:D$38,$C58)</f>
        <v>1</v>
      </c>
      <c r="E58" s="68">
        <f>'26.10'!E58+COUNTIF(E$8:E$38,$C58)</f>
        <v>0</v>
      </c>
      <c r="F58" s="68">
        <f>'26.10'!F58+COUNTIF(F$8:F$38,$C58)</f>
        <v>0</v>
      </c>
      <c r="G58" s="68">
        <f>'26.10'!G58+COUNTIF(G$8:G$38,$C58)</f>
        <v>0</v>
      </c>
      <c r="H58" s="68">
        <f>'26.10'!H58+COUNTIF(H$8:H$38,$C58)</f>
        <v>0</v>
      </c>
      <c r="I58" s="68">
        <f>'26.10'!I58+COUNTIF(I$8:I$38,$C58)</f>
        <v>0</v>
      </c>
    </row>
    <row r="59" spans="1:9" s="19" customFormat="1" ht="23.25" x14ac:dyDescent="0.35">
      <c r="A59" s="18"/>
      <c r="B59" s="18"/>
      <c r="C59" s="67" t="str">
        <f>'01.09'!C58</f>
        <v>*Пр. Использование электронной*</v>
      </c>
      <c r="D59" s="69">
        <f>'26.10'!D59+COUNTIF(D$8:D$38,$C59)</f>
        <v>2</v>
      </c>
      <c r="E59" s="69">
        <f>'26.10'!E59+COUNTIF(E$8:E$38,$C59)</f>
        <v>2</v>
      </c>
      <c r="F59" s="68">
        <f>'26.10'!F59+COUNTIF(F$8:F$38,$C59)</f>
        <v>2</v>
      </c>
      <c r="G59" s="69">
        <f>'26.10'!G59+COUNTIF(G$8:G$38,$C59)</f>
        <v>2</v>
      </c>
      <c r="H59" s="69">
        <f>'26.10'!H59+COUNTIF(H$8:H$38,$C59)</f>
        <v>2</v>
      </c>
      <c r="I59" s="69">
        <f>'26.10'!I59+COUNTIF(I$8:I$38,$C59)</f>
        <v>2</v>
      </c>
    </row>
    <row r="60" spans="1:9" s="19" customFormat="1" ht="23.25" x14ac:dyDescent="0.35">
      <c r="A60" s="18"/>
      <c r="B60" s="18"/>
      <c r="C60" s="67" t="str">
        <f>'01.09'!C59</f>
        <v>*Пр. Иностранный язык*</v>
      </c>
      <c r="D60" s="68">
        <f>'26.10'!D60+COUNTIF(D$8:D$38,$C60)</f>
        <v>8</v>
      </c>
      <c r="E60" s="68">
        <f>'26.10'!E60+COUNTIF(E$8:E$38,$C60)</f>
        <v>8</v>
      </c>
      <c r="F60" s="68">
        <f>'26.10'!F60+COUNTIF(F$8:F$38,$C60)</f>
        <v>8</v>
      </c>
      <c r="G60" s="68">
        <f>'26.10'!G60+COUNTIF(G$8:G$38,$C60)</f>
        <v>8</v>
      </c>
      <c r="H60" s="68">
        <f>'26.10'!H60+COUNTIF(H$8:H$38,$C60)</f>
        <v>8</v>
      </c>
      <c r="I60" s="68">
        <f>'26.10'!I60+COUNTIF(I$8:I$38,$C60)</f>
        <v>8</v>
      </c>
    </row>
    <row r="61" spans="1:9" s="19" customFormat="1" ht="23.25" x14ac:dyDescent="0.35">
      <c r="A61" s="18"/>
      <c r="B61" s="18"/>
      <c r="C61" s="67" t="str">
        <f>'01.09'!C60</f>
        <v>*С1-04А-26*</v>
      </c>
      <c r="D61" s="69">
        <f>'26.10'!D61+COUNTIF(D$8:D$38,$C61)</f>
        <v>0</v>
      </c>
      <c r="E61" s="69">
        <f>'26.10'!E61+COUNTIF(E$8:E$38,$C61)</f>
        <v>0</v>
      </c>
      <c r="F61" s="68">
        <f>'26.10'!F61+COUNTIF(F$8:F$38,$C61)</f>
        <v>0</v>
      </c>
      <c r="G61" s="69">
        <f>'26.10'!G61+COUNTIF(G$8:G$38,$C61)</f>
        <v>17</v>
      </c>
      <c r="H61" s="69">
        <f>'26.10'!H61+COUNTIF(H$8:H$38,$C61)</f>
        <v>0</v>
      </c>
      <c r="I61" s="69">
        <f>'26.10'!I61+COUNTIF(I$8:I$38,$C61)</f>
        <v>0</v>
      </c>
    </row>
    <row r="62" spans="1:9" ht="23.25" x14ac:dyDescent="0.35">
      <c r="A62" s="2"/>
      <c r="B62" s="2"/>
      <c r="C62" s="67" t="str">
        <f>'01.09'!C61</f>
        <v>*С1-04Б-26*</v>
      </c>
      <c r="D62" s="68">
        <f>'26.10'!D62+COUNTIF(D$8:D$38,$C62)</f>
        <v>0</v>
      </c>
      <c r="E62" s="68">
        <f>'26.10'!E62+COUNTIF(E$8:E$38,$C62)</f>
        <v>0</v>
      </c>
      <c r="F62" s="68">
        <f>'26.10'!F62+COUNTIF(F$8:F$38,$C62)</f>
        <v>0</v>
      </c>
      <c r="G62" s="68">
        <f>'26.10'!G62+COUNTIF(G$8:G$38,$C62)</f>
        <v>17</v>
      </c>
      <c r="H62" s="68">
        <f>'26.10'!H62+COUNTIF(H$8:H$38,$C62)</f>
        <v>0</v>
      </c>
      <c r="I62" s="68">
        <f>'26.10'!I62+COUNTIF(I$8:I$38,$C62)</f>
        <v>0</v>
      </c>
    </row>
    <row r="63" spans="1:9" ht="23.25" x14ac:dyDescent="0.35">
      <c r="A63" s="2"/>
      <c r="B63" s="2"/>
      <c r="C63" s="67" t="str">
        <f>'01.09'!C62</f>
        <v>*С1-05А-26*</v>
      </c>
      <c r="D63" s="69">
        <f>'26.10'!D63+COUNTIF(D$8:D$38,$C63)</f>
        <v>0</v>
      </c>
      <c r="E63" s="69">
        <f>'26.10'!E63+COUNTIF(E$8:E$38,$C63)</f>
        <v>0</v>
      </c>
      <c r="F63" s="68">
        <f>'26.10'!F63+COUNTIF(F$8:F$38,$C63)</f>
        <v>0</v>
      </c>
      <c r="G63" s="69">
        <f>'26.10'!G63+COUNTIF(G$8:G$38,$C63)</f>
        <v>0</v>
      </c>
      <c r="H63" s="69">
        <f>'26.10'!H63+COUNTIF(H$8:H$38,$C63)</f>
        <v>8</v>
      </c>
      <c r="I63" s="69">
        <f>'26.10'!I63+COUNTIF(I$8:I$38,$C63)</f>
        <v>0</v>
      </c>
    </row>
    <row r="64" spans="1:9" ht="23.25" x14ac:dyDescent="0.35">
      <c r="A64" s="2"/>
      <c r="B64" s="2"/>
      <c r="C64" s="67" t="str">
        <f>'01.09'!C63</f>
        <v>*С1-05Б-26*</v>
      </c>
      <c r="D64" s="68">
        <f>'26.10'!D64+COUNTIF(D$8:D$38,$C64)</f>
        <v>0</v>
      </c>
      <c r="E64" s="68">
        <f>'26.10'!E64+COUNTIF(E$8:E$38,$C64)</f>
        <v>0</v>
      </c>
      <c r="F64" s="68">
        <f>'26.10'!F64+COUNTIF(F$8:F$38,$C64)</f>
        <v>0</v>
      </c>
      <c r="G64" s="68">
        <f>'26.10'!G64+COUNTIF(G$8:G$38,$C64)</f>
        <v>0</v>
      </c>
      <c r="H64" s="68">
        <f>'26.10'!H64+COUNTIF(H$8:H$38,$C64)</f>
        <v>8</v>
      </c>
      <c r="I64" s="68">
        <f>'26.10'!I64+COUNTIF(I$8:I$38,$C64)</f>
        <v>0</v>
      </c>
    </row>
    <row r="65" spans="1:9" ht="23.25" x14ac:dyDescent="0.35">
      <c r="A65" s="2"/>
      <c r="B65" s="2"/>
      <c r="C65" s="67">
        <f>'01.09'!C64</f>
        <v>0</v>
      </c>
      <c r="D65" s="69">
        <f>'26.10'!D65+COUNTIF(D$8:D$38,$C65)</f>
        <v>0</v>
      </c>
      <c r="E65" s="69">
        <f>'26.10'!E65+COUNTIF(E$8:E$38,$C65)</f>
        <v>0</v>
      </c>
      <c r="F65" s="68">
        <f>'26.10'!F65+COUNTIF(F$8:F$38,$C65)</f>
        <v>0</v>
      </c>
      <c r="G65" s="69">
        <f>'26.10'!G65+COUNTIF(G$8:G$38,$C65)</f>
        <v>0</v>
      </c>
      <c r="H65" s="69">
        <f>'26.10'!H65+COUNTIF(H$8:H$38,$C65)</f>
        <v>0</v>
      </c>
      <c r="I65" s="69">
        <f>'26.10'!I65+COUNTIF(I$8:I$38,$C65)</f>
        <v>0</v>
      </c>
    </row>
    <row r="66" spans="1:9" ht="23.25" x14ac:dyDescent="0.35">
      <c r="A66" s="2"/>
      <c r="B66" s="2"/>
      <c r="C66" s="67">
        <f>'01.09'!C65</f>
        <v>0</v>
      </c>
      <c r="D66" s="68">
        <f>'26.10'!D66+COUNTIF(D$8:D$38,$C66)</f>
        <v>0</v>
      </c>
      <c r="E66" s="68">
        <f>'26.10'!E66+COUNTIF(E$8:E$38,$C66)</f>
        <v>0</v>
      </c>
      <c r="F66" s="68">
        <f>'26.10'!F66+COUNTIF(F$8:F$38,$C66)</f>
        <v>0</v>
      </c>
      <c r="G66" s="68">
        <f>'26.10'!G66+COUNTIF(G$8:G$38,$C66)</f>
        <v>0</v>
      </c>
      <c r="H66" s="68">
        <f>'26.10'!H66+COUNTIF(H$8:H$38,$C66)</f>
        <v>0</v>
      </c>
      <c r="I66" s="68">
        <f>'26.10'!I66+COUNTIF(I$8:I$38,$C66)</f>
        <v>0</v>
      </c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</sheetData>
  <mergeCells count="20">
    <mergeCell ref="B1:I1"/>
    <mergeCell ref="B2:I2"/>
    <mergeCell ref="B3:I3"/>
    <mergeCell ref="B4:I4"/>
    <mergeCell ref="A5:I5"/>
    <mergeCell ref="A34:A38"/>
    <mergeCell ref="B34:B38"/>
    <mergeCell ref="A29:A33"/>
    <mergeCell ref="B29:B33"/>
    <mergeCell ref="C6:C7"/>
    <mergeCell ref="B8:B12"/>
    <mergeCell ref="B13:B18"/>
    <mergeCell ref="A13:A18"/>
    <mergeCell ref="A24:A28"/>
    <mergeCell ref="B19:B23"/>
    <mergeCell ref="B24:B28"/>
    <mergeCell ref="A19:A23"/>
    <mergeCell ref="A8:A12"/>
    <mergeCell ref="A6:A7"/>
    <mergeCell ref="B6:B7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K72"/>
  <sheetViews>
    <sheetView view="pageBreakPreview" topLeftCell="A4" zoomScale="40" zoomScaleNormal="40" zoomScaleSheetLayoutView="40" zoomScalePageLayoutView="40" workbookViewId="0">
      <selection activeCell="F7" sqref="F7"/>
    </sheetView>
  </sheetViews>
  <sheetFormatPr defaultRowHeight="15" x14ac:dyDescent="0.25"/>
  <cols>
    <col min="1" max="2" width="4.42578125" customWidth="1"/>
    <col min="3" max="3" width="19.7109375" customWidth="1"/>
    <col min="4" max="9" width="64.85546875" customWidth="1"/>
  </cols>
  <sheetData>
    <row r="1" spans="1:9" ht="30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9" ht="30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9" ht="41.25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9" ht="30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9" ht="30.75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9" ht="36.75" customHeight="1" thickBot="1" x14ac:dyDescent="0.3">
      <c r="A6" s="875" t="s">
        <v>54</v>
      </c>
      <c r="B6" s="875" t="s">
        <v>14</v>
      </c>
      <c r="C6" s="898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9" ht="70.5" thickBot="1" x14ac:dyDescent="0.3">
      <c r="A7" s="876"/>
      <c r="B7" s="876"/>
      <c r="C7" s="899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9" ht="94.5" customHeight="1" x14ac:dyDescent="0.25">
      <c r="A8" s="909" t="s">
        <v>0</v>
      </c>
      <c r="B8" s="897">
        <v>46335</v>
      </c>
      <c r="C8" s="448" t="s">
        <v>10</v>
      </c>
      <c r="D8" s="298"/>
      <c r="E8" s="282"/>
      <c r="F8" s="282"/>
      <c r="G8" s="282"/>
      <c r="H8" s="519"/>
      <c r="I8" s="344"/>
    </row>
    <row r="9" spans="1:9" ht="94.5" customHeight="1" x14ac:dyDescent="0.25">
      <c r="A9" s="913"/>
      <c r="B9" s="862"/>
      <c r="C9" s="458" t="s">
        <v>11</v>
      </c>
      <c r="D9" s="518"/>
      <c r="E9" s="265"/>
      <c r="F9" s="265"/>
      <c r="G9" s="361"/>
      <c r="H9" s="361"/>
      <c r="I9" s="388"/>
    </row>
    <row r="10" spans="1:9" ht="94.5" customHeight="1" x14ac:dyDescent="0.25">
      <c r="A10" s="913"/>
      <c r="B10" s="862"/>
      <c r="C10" s="458" t="s">
        <v>12</v>
      </c>
      <c r="D10" s="392"/>
      <c r="E10" s="361"/>
      <c r="F10" s="361"/>
      <c r="G10" s="361"/>
      <c r="H10" s="432"/>
      <c r="I10" s="478"/>
    </row>
    <row r="11" spans="1:9" ht="94.5" customHeight="1" x14ac:dyDescent="0.25">
      <c r="A11" s="913"/>
      <c r="B11" s="862"/>
      <c r="C11" s="458" t="s">
        <v>13</v>
      </c>
      <c r="D11" s="392"/>
      <c r="E11" s="361"/>
      <c r="F11" s="361"/>
      <c r="G11" s="361"/>
      <c r="H11" s="432"/>
      <c r="I11" s="388"/>
    </row>
    <row r="12" spans="1:9" ht="94.5" customHeight="1" thickBot="1" x14ac:dyDescent="0.3">
      <c r="A12" s="913"/>
      <c r="B12" s="862"/>
      <c r="C12" s="449" t="s">
        <v>15</v>
      </c>
      <c r="D12" s="586"/>
      <c r="E12" s="312"/>
      <c r="F12" s="312"/>
      <c r="G12" s="312"/>
      <c r="H12" s="312"/>
      <c r="I12" s="335"/>
    </row>
    <row r="13" spans="1:9" ht="94.5" customHeight="1" x14ac:dyDescent="0.25">
      <c r="A13" s="909" t="s">
        <v>1</v>
      </c>
      <c r="B13" s="861">
        <f>B8+1</f>
        <v>46336</v>
      </c>
      <c r="C13" s="472" t="s">
        <v>10</v>
      </c>
      <c r="D13" s="485"/>
      <c r="E13" s="585"/>
      <c r="F13" s="585"/>
      <c r="G13" s="585"/>
      <c r="H13" s="436"/>
      <c r="I13" s="437"/>
    </row>
    <row r="14" spans="1:9" ht="94.5" customHeight="1" x14ac:dyDescent="0.25">
      <c r="A14" s="913"/>
      <c r="B14" s="862"/>
      <c r="C14" s="473" t="s">
        <v>11</v>
      </c>
      <c r="D14" s="392"/>
      <c r="E14" s="361"/>
      <c r="F14" s="361"/>
      <c r="G14" s="361"/>
      <c r="H14" s="265"/>
      <c r="I14" s="266"/>
    </row>
    <row r="15" spans="1:9" ht="94.5" customHeight="1" x14ac:dyDescent="0.25">
      <c r="A15" s="913"/>
      <c r="B15" s="862"/>
      <c r="C15" s="473" t="s">
        <v>12</v>
      </c>
      <c r="D15" s="392"/>
      <c r="E15" s="265"/>
      <c r="F15" s="265"/>
      <c r="G15" s="265"/>
      <c r="H15" s="301"/>
      <c r="I15" s="478"/>
    </row>
    <row r="16" spans="1:9" ht="94.5" customHeight="1" x14ac:dyDescent="0.25">
      <c r="A16" s="913"/>
      <c r="B16" s="862"/>
      <c r="C16" s="473" t="s">
        <v>13</v>
      </c>
      <c r="D16" s="392"/>
      <c r="E16" s="265"/>
      <c r="F16" s="265"/>
      <c r="G16" s="265"/>
      <c r="H16" s="265"/>
      <c r="I16" s="478"/>
    </row>
    <row r="17" spans="1:11" ht="94.5" customHeight="1" x14ac:dyDescent="0.25">
      <c r="A17" s="913"/>
      <c r="B17" s="862"/>
      <c r="C17" s="456" t="s">
        <v>15</v>
      </c>
      <c r="D17" s="511"/>
      <c r="E17" s="510"/>
      <c r="F17" s="510"/>
      <c r="G17" s="509"/>
      <c r="H17" s="509"/>
      <c r="I17" s="183"/>
    </row>
    <row r="18" spans="1:11" ht="94.5" customHeight="1" thickBot="1" x14ac:dyDescent="0.3">
      <c r="A18" s="913"/>
      <c r="B18" s="862"/>
      <c r="C18" s="474" t="s">
        <v>64</v>
      </c>
      <c r="D18" s="576"/>
      <c r="E18" s="404"/>
      <c r="F18" s="404"/>
      <c r="G18" s="577"/>
      <c r="H18" s="577"/>
      <c r="I18" s="578"/>
    </row>
    <row r="19" spans="1:11" ht="94.5" customHeight="1" x14ac:dyDescent="0.25">
      <c r="A19" s="909" t="s">
        <v>2</v>
      </c>
      <c r="B19" s="861">
        <f>B13+1</f>
        <v>46337</v>
      </c>
      <c r="C19" s="448" t="s">
        <v>10</v>
      </c>
      <c r="D19" s="508"/>
      <c r="E19" s="436"/>
      <c r="F19" s="436"/>
      <c r="G19" s="436"/>
      <c r="H19" s="436"/>
      <c r="I19" s="437"/>
    </row>
    <row r="20" spans="1:11" ht="94.5" customHeight="1" x14ac:dyDescent="0.25">
      <c r="A20" s="913"/>
      <c r="B20" s="862"/>
      <c r="C20" s="458" t="s">
        <v>11</v>
      </c>
      <c r="D20" s="264"/>
      <c r="E20" s="265"/>
      <c r="F20" s="265"/>
      <c r="G20" s="265"/>
      <c r="H20" s="265"/>
      <c r="I20" s="266"/>
    </row>
    <row r="21" spans="1:11" ht="94.5" customHeight="1" x14ac:dyDescent="0.25">
      <c r="A21" s="913"/>
      <c r="B21" s="862"/>
      <c r="C21" s="458" t="s">
        <v>12</v>
      </c>
      <c r="D21" s="392"/>
      <c r="E21" s="384"/>
      <c r="F21" s="384"/>
      <c r="G21" s="265"/>
      <c r="H21" s="265"/>
      <c r="I21" s="478"/>
      <c r="K21" s="3"/>
    </row>
    <row r="22" spans="1:11" ht="94.5" customHeight="1" x14ac:dyDescent="0.25">
      <c r="A22" s="913"/>
      <c r="B22" s="862"/>
      <c r="C22" s="458" t="s">
        <v>13</v>
      </c>
      <c r="D22" s="392"/>
      <c r="E22" s="361"/>
      <c r="F22" s="361"/>
      <c r="G22" s="265"/>
      <c r="H22" s="265"/>
      <c r="I22" s="478"/>
    </row>
    <row r="23" spans="1:11" ht="94.5" customHeight="1" thickBot="1" x14ac:dyDescent="0.3">
      <c r="A23" s="915"/>
      <c r="B23" s="862"/>
      <c r="C23" s="449" t="s">
        <v>15</v>
      </c>
      <c r="D23" s="206"/>
      <c r="E23" s="429"/>
      <c r="F23" s="429"/>
      <c r="G23" s="207"/>
      <c r="H23" s="207"/>
      <c r="I23" s="208"/>
    </row>
    <row r="24" spans="1:11" ht="94.5" customHeight="1" x14ac:dyDescent="0.25">
      <c r="A24" s="909" t="s">
        <v>3</v>
      </c>
      <c r="B24" s="861">
        <f>B19+1</f>
        <v>46338</v>
      </c>
      <c r="C24" s="454" t="s">
        <v>10</v>
      </c>
      <c r="D24" s="285"/>
      <c r="E24" s="286"/>
      <c r="F24" s="286"/>
      <c r="G24" s="286"/>
      <c r="H24" s="286"/>
      <c r="I24" s="303"/>
    </row>
    <row r="25" spans="1:11" ht="94.5" customHeight="1" x14ac:dyDescent="0.25">
      <c r="A25" s="910"/>
      <c r="B25" s="862"/>
      <c r="C25" s="455" t="s">
        <v>11</v>
      </c>
      <c r="D25" s="267"/>
      <c r="E25" s="234"/>
      <c r="F25" s="234"/>
      <c r="G25" s="301"/>
      <c r="H25" s="234"/>
      <c r="I25" s="268"/>
    </row>
    <row r="26" spans="1:11" ht="94.5" customHeight="1" x14ac:dyDescent="0.25">
      <c r="A26" s="910"/>
      <c r="B26" s="862"/>
      <c r="C26" s="455" t="s">
        <v>12</v>
      </c>
      <c r="D26" s="392"/>
      <c r="E26" s="361"/>
      <c r="F26" s="416"/>
      <c r="G26" s="416"/>
      <c r="H26" s="384"/>
      <c r="I26" s="443"/>
    </row>
    <row r="27" spans="1:11" ht="94.5" customHeight="1" x14ac:dyDescent="0.25">
      <c r="A27" s="910"/>
      <c r="B27" s="862"/>
      <c r="C27" s="455" t="s">
        <v>13</v>
      </c>
      <c r="D27" s="485"/>
      <c r="E27" s="361"/>
      <c r="F27" s="361"/>
      <c r="G27" s="361"/>
      <c r="H27" s="384"/>
      <c r="I27" s="443"/>
    </row>
    <row r="28" spans="1:11" ht="94.5" customHeight="1" thickBot="1" x14ac:dyDescent="0.3">
      <c r="A28" s="910"/>
      <c r="B28" s="862"/>
      <c r="C28" s="457" t="s">
        <v>15</v>
      </c>
      <c r="D28" s="206"/>
      <c r="E28" s="438"/>
      <c r="F28" s="438"/>
      <c r="G28" s="429"/>
      <c r="H28" s="429"/>
      <c r="I28" s="431"/>
    </row>
    <row r="29" spans="1:11" ht="94.5" customHeight="1" x14ac:dyDescent="0.25">
      <c r="A29" s="909" t="s">
        <v>4</v>
      </c>
      <c r="B29" s="861">
        <f>B24+1</f>
        <v>46339</v>
      </c>
      <c r="C29" s="448" t="s">
        <v>10</v>
      </c>
      <c r="D29" s="276"/>
      <c r="E29" s="277"/>
      <c r="F29" s="277"/>
      <c r="G29" s="277"/>
      <c r="H29" s="360"/>
      <c r="I29" s="278"/>
    </row>
    <row r="30" spans="1:11" ht="94.5" customHeight="1" x14ac:dyDescent="0.25">
      <c r="A30" s="913"/>
      <c r="B30" s="862"/>
      <c r="C30" s="458" t="s">
        <v>11</v>
      </c>
      <c r="D30" s="269"/>
      <c r="E30" s="301"/>
      <c r="F30" s="301"/>
      <c r="G30" s="233"/>
      <c r="H30" s="432"/>
      <c r="I30" s="300"/>
    </row>
    <row r="31" spans="1:11" ht="94.5" customHeight="1" x14ac:dyDescent="0.25">
      <c r="A31" s="913"/>
      <c r="B31" s="862"/>
      <c r="C31" s="458" t="s">
        <v>12</v>
      </c>
      <c r="D31" s="299"/>
      <c r="E31" s="301"/>
      <c r="F31" s="301"/>
      <c r="G31" s="234"/>
      <c r="H31" s="301"/>
      <c r="I31" s="300"/>
    </row>
    <row r="32" spans="1:11" ht="94.5" customHeight="1" x14ac:dyDescent="0.25">
      <c r="A32" s="913"/>
      <c r="B32" s="862"/>
      <c r="C32" s="458" t="s">
        <v>13</v>
      </c>
      <c r="D32" s="299"/>
      <c r="E32" s="301"/>
      <c r="F32" s="301"/>
      <c r="G32" s="234"/>
      <c r="H32" s="301"/>
      <c r="I32" s="268"/>
    </row>
    <row r="33" spans="1:9" ht="94.5" customHeight="1" thickBot="1" x14ac:dyDescent="0.3">
      <c r="A33" s="915"/>
      <c r="B33" s="862"/>
      <c r="C33" s="449" t="s">
        <v>15</v>
      </c>
      <c r="D33" s="271"/>
      <c r="E33" s="272"/>
      <c r="F33" s="272"/>
      <c r="G33" s="272"/>
      <c r="H33" s="272"/>
      <c r="I33" s="273"/>
    </row>
    <row r="34" spans="1:9" ht="30.75" customHeight="1" x14ac:dyDescent="0.25">
      <c r="A34" s="862" t="s">
        <v>47</v>
      </c>
      <c r="B34" s="861">
        <f>B29+1</f>
        <v>46340</v>
      </c>
      <c r="C34" s="475" t="s">
        <v>10</v>
      </c>
      <c r="D34" s="362"/>
      <c r="E34" s="363"/>
      <c r="F34" s="363"/>
      <c r="G34" s="363"/>
      <c r="H34" s="363"/>
      <c r="I34" s="364"/>
    </row>
    <row r="35" spans="1:9" ht="30.75" customHeight="1" x14ac:dyDescent="0.25">
      <c r="A35" s="862"/>
      <c r="B35" s="862"/>
      <c r="C35" s="476" t="s">
        <v>11</v>
      </c>
      <c r="D35" s="248"/>
      <c r="E35" s="305"/>
      <c r="F35" s="305"/>
      <c r="G35" s="135"/>
      <c r="H35" s="136"/>
      <c r="I35" s="249"/>
    </row>
    <row r="36" spans="1:9" ht="30.75" customHeight="1" x14ac:dyDescent="0.25">
      <c r="A36" s="862"/>
      <c r="B36" s="862"/>
      <c r="C36" s="476" t="s">
        <v>12</v>
      </c>
      <c r="D36" s="197"/>
      <c r="E36" s="250"/>
      <c r="F36" s="250"/>
      <c r="G36" s="250"/>
      <c r="H36" s="250"/>
      <c r="I36" s="251"/>
    </row>
    <row r="37" spans="1:9" ht="30.75" customHeight="1" x14ac:dyDescent="0.25">
      <c r="A37" s="862"/>
      <c r="B37" s="862"/>
      <c r="C37" s="476" t="s">
        <v>13</v>
      </c>
      <c r="D37" s="141"/>
      <c r="E37" s="136"/>
      <c r="F37" s="136"/>
      <c r="G37" s="136"/>
      <c r="H37" s="135"/>
      <c r="I37" s="142"/>
    </row>
    <row r="38" spans="1:9" ht="30.75" customHeight="1" thickBot="1" x14ac:dyDescent="0.3">
      <c r="A38" s="863"/>
      <c r="B38" s="863"/>
      <c r="C38" s="477" t="s">
        <v>15</v>
      </c>
      <c r="D38" s="143"/>
      <c r="E38" s="96"/>
      <c r="F38" s="96"/>
      <c r="G38" s="96"/>
      <c r="H38" s="96"/>
      <c r="I38" s="108"/>
    </row>
    <row r="39" spans="1:9" ht="28.5" customHeight="1" x14ac:dyDescent="0.3">
      <c r="A39" s="2"/>
      <c r="B39" s="2"/>
      <c r="C39" s="44"/>
      <c r="D39" s="170" t="s">
        <v>86</v>
      </c>
      <c r="E39" s="2"/>
      <c r="F39" s="2"/>
      <c r="G39" s="2"/>
      <c r="H39" s="2"/>
      <c r="I39" s="2"/>
    </row>
    <row r="40" spans="1:9" s="19" customFormat="1" ht="26.25" x14ac:dyDescent="0.4">
      <c r="A40" s="18"/>
      <c r="B40" s="18"/>
      <c r="C40" s="104" t="str">
        <f>'01.09'!C39</f>
        <v>*Л. Речевое общение в профессиональной деятельности*</v>
      </c>
      <c r="D40" s="105">
        <f>'02.11'!D40+COUNTIF(D$8:D$38,$C40)</f>
        <v>5</v>
      </c>
      <c r="E40" s="105">
        <f>'02.11'!E40+COUNTIF(E$8:E$38,$C40)</f>
        <v>5</v>
      </c>
      <c r="F40" s="105">
        <f>'02.11'!F40+COUNTIF(F$8:F$38,$C40)</f>
        <v>5</v>
      </c>
      <c r="G40" s="105">
        <f>'02.11'!G40+COUNTIF(G$8:G$38,$C40)</f>
        <v>5</v>
      </c>
      <c r="H40" s="105">
        <f>'02.11'!H40+COUNTIF(H$8:H$38,$C40)</f>
        <v>5</v>
      </c>
      <c r="I40" s="105">
        <f>'02.11'!I40+COUNTIF(I$8:I$38,$C40)</f>
        <v>5</v>
      </c>
    </row>
    <row r="41" spans="1:9" s="19" customFormat="1" ht="26.25" x14ac:dyDescent="0.4">
      <c r="A41" s="18"/>
      <c r="B41" s="18"/>
      <c r="C41" s="104" t="str">
        <f>'01.09'!C40</f>
        <v>*Пр. Речевое общение в профессиональной деятельности*</v>
      </c>
      <c r="D41" s="106">
        <f>'02.11'!D41+COUNTIF(D$8:D$38,$C41)</f>
        <v>4</v>
      </c>
      <c r="E41" s="106">
        <f>'02.11'!E41+COUNTIF(E$8:E$38,$C41)</f>
        <v>4</v>
      </c>
      <c r="F41" s="105">
        <f>'02.11'!F41+COUNTIF(F$8:F$38,$C41)</f>
        <v>4</v>
      </c>
      <c r="G41" s="106">
        <f>'02.11'!G41+COUNTIF(G$8:G$38,$C41)</f>
        <v>4</v>
      </c>
      <c r="H41" s="106">
        <f>'02.11'!H41+COUNTIF(H$8:H$38,$C41)</f>
        <v>4</v>
      </c>
      <c r="I41" s="106">
        <f>'02.11'!I41+COUNTIF(I$8:I$38,$C41)</f>
        <v>4</v>
      </c>
    </row>
    <row r="42" spans="1:9" s="19" customFormat="1" ht="26.25" x14ac:dyDescent="0.4">
      <c r="A42" s="18"/>
      <c r="B42" s="18"/>
      <c r="C42" s="104" t="str">
        <f>'01.09'!C41</f>
        <v>*Л. Элективные дисциплины по ФКиС: Силовая подготовка*</v>
      </c>
      <c r="D42" s="105">
        <f>'02.11'!D42+COUNTIF(D$8:D$38,$C42)</f>
        <v>1</v>
      </c>
      <c r="E42" s="105">
        <f>'02.11'!E42+COUNTIF(E$8:E$38,$C42)</f>
        <v>1</v>
      </c>
      <c r="F42" s="105">
        <f>'02.11'!F42+COUNTIF(F$8:F$38,$C42)</f>
        <v>1</v>
      </c>
      <c r="G42" s="105">
        <f>'02.11'!G42+COUNTIF(G$8:G$38,$C42)</f>
        <v>1</v>
      </c>
      <c r="H42" s="105">
        <f>'02.11'!H42+COUNTIF(H$8:H$38,$C42)</f>
        <v>1</v>
      </c>
      <c r="I42" s="105">
        <f>'02.11'!I42+COUNTIF(I$8:I$38,$C42)</f>
        <v>1</v>
      </c>
    </row>
    <row r="43" spans="1:9" s="19" customFormat="1" ht="26.25" x14ac:dyDescent="0.4">
      <c r="A43" s="18"/>
      <c r="B43" s="18"/>
      <c r="C43" s="104" t="str">
        <f>'01.09'!C42</f>
        <v>*Пр. Элективные дисциплины по ФКиС: Силовая подготовка*</v>
      </c>
      <c r="D43" s="106">
        <f>'02.11'!D43+COUNTIF(D$8:D$38,$C43)</f>
        <v>8</v>
      </c>
      <c r="E43" s="106">
        <f>'02.11'!E43+COUNTIF(E$8:E$38,$C43)</f>
        <v>9</v>
      </c>
      <c r="F43" s="105">
        <f>'02.11'!F43+COUNTIF(F$8:F$38,$C43)</f>
        <v>9</v>
      </c>
      <c r="G43" s="106">
        <f>'02.11'!G43+COUNTIF(G$8:G$38,$C43)</f>
        <v>9</v>
      </c>
      <c r="H43" s="106">
        <f>'02.11'!H43+COUNTIF(H$8:H$38,$C43)</f>
        <v>9</v>
      </c>
      <c r="I43" s="106">
        <f>'02.11'!I43+COUNTIF(I$8:I$38,$C43)</f>
        <v>8</v>
      </c>
    </row>
    <row r="44" spans="1:9" s="19" customFormat="1" ht="26.25" x14ac:dyDescent="0.4">
      <c r="A44" s="18"/>
      <c r="B44" s="18"/>
      <c r="C44" s="104" t="str">
        <f>'01.09'!C43</f>
        <v>*Л. Анатомия*</v>
      </c>
      <c r="D44" s="105">
        <f>'02.11'!D44+COUNTIF(D$8:D$38,$C44)</f>
        <v>4</v>
      </c>
      <c r="E44" s="105">
        <f>'02.11'!E44+COUNTIF(E$8:E$38,$C44)</f>
        <v>4</v>
      </c>
      <c r="F44" s="105">
        <f>'02.11'!F44+COUNTIF(F$8:F$38,$C44)</f>
        <v>4</v>
      </c>
      <c r="G44" s="105">
        <f>'02.11'!G44+COUNTIF(G$8:G$38,$C44)</f>
        <v>4</v>
      </c>
      <c r="H44" s="105">
        <f>'02.11'!H44+COUNTIF(H$8:H$38,$C44)</f>
        <v>4</v>
      </c>
      <c r="I44" s="105">
        <f>'02.11'!I44+COUNTIF(I$8:I$38,$C44)</f>
        <v>4</v>
      </c>
    </row>
    <row r="45" spans="1:9" s="19" customFormat="1" ht="26.25" x14ac:dyDescent="0.4">
      <c r="A45" s="18"/>
      <c r="B45" s="18"/>
      <c r="C45" s="104" t="str">
        <f>'01.09'!C44</f>
        <v>*Пр. Анатомия*</v>
      </c>
      <c r="D45" s="106">
        <f>'02.11'!D45+COUNTIF(D$8:D$38,$C45)</f>
        <v>4</v>
      </c>
      <c r="E45" s="106">
        <f>'02.11'!E45+COUNTIF(E$8:E$38,$C45)</f>
        <v>4</v>
      </c>
      <c r="F45" s="105">
        <f>'02.11'!F45+COUNTIF(F$8:F$38,$C45)</f>
        <v>4</v>
      </c>
      <c r="G45" s="106">
        <f>'02.11'!G45+COUNTIF(G$8:G$38,$C45)</f>
        <v>4</v>
      </c>
      <c r="H45" s="106">
        <f>'02.11'!H45+COUNTIF(H$8:H$38,$C45)</f>
        <v>4</v>
      </c>
      <c r="I45" s="106">
        <f>'02.11'!I45+COUNTIF(I$8:I$38,$C45)</f>
        <v>4</v>
      </c>
    </row>
    <row r="46" spans="1:9" s="19" customFormat="1" ht="26.25" x14ac:dyDescent="0.4">
      <c r="A46" s="18"/>
      <c r="B46" s="18"/>
      <c r="C46" s="104" t="str">
        <f>'01.09'!C45</f>
        <v>*Л. Теория и методика*</v>
      </c>
      <c r="D46" s="105">
        <f>'02.11'!D46+COUNTIF(D$8:D$38,$C46)</f>
        <v>5</v>
      </c>
      <c r="E46" s="105">
        <f>'02.11'!E46+COUNTIF(E$8:E$38,$C46)</f>
        <v>4</v>
      </c>
      <c r="F46" s="105">
        <f>'02.11'!F46+COUNTIF(F$8:F$38,$C46)</f>
        <v>4</v>
      </c>
      <c r="G46" s="105">
        <f>'02.11'!G46+COUNTIF(G$8:G$38,$C46)</f>
        <v>4</v>
      </c>
      <c r="H46" s="105">
        <f>'02.11'!H46+COUNTIF(H$8:H$38,$C46)</f>
        <v>5</v>
      </c>
      <c r="I46" s="105">
        <f>'02.11'!I46+COUNTIF(I$8:I$38,$C46)</f>
        <v>3</v>
      </c>
    </row>
    <row r="47" spans="1:9" s="19" customFormat="1" ht="26.25" x14ac:dyDescent="0.4">
      <c r="A47" s="18"/>
      <c r="B47" s="18"/>
      <c r="C47" s="104" t="str">
        <f>'01.09'!C46</f>
        <v>*Пр. Теория и методика*</v>
      </c>
      <c r="D47" s="106">
        <f>'02.11'!D47+COUNTIF(D$8:D$38,$C47)</f>
        <v>24</v>
      </c>
      <c r="E47" s="106">
        <f>'02.11'!E47+COUNTIF(E$8:E$38,$C47)</f>
        <v>23</v>
      </c>
      <c r="F47" s="105">
        <f>'02.11'!F47+COUNTIF(F$8:F$38,$C47)</f>
        <v>23</v>
      </c>
      <c r="G47" s="106">
        <f>'02.11'!G47+COUNTIF(G$8:G$38,$C47)</f>
        <v>23</v>
      </c>
      <c r="H47" s="106">
        <f>'02.11'!H47+COUNTIF(H$8:H$38,$C47)</f>
        <v>26</v>
      </c>
      <c r="I47" s="106">
        <f>'02.11'!I47+COUNTIF(I$8:I$38,$C47)</f>
        <v>20</v>
      </c>
    </row>
    <row r="48" spans="1:9" s="19" customFormat="1" ht="26.25" x14ac:dyDescent="0.4">
      <c r="A48" s="18"/>
      <c r="B48" s="18"/>
      <c r="C48" s="104" t="str">
        <f>'01.09'!C47</f>
        <v>*Л. Физическая культура и спорт*</v>
      </c>
      <c r="D48" s="105">
        <f>'02.11'!D48+COUNTIF(D$8:D$38,$C48)</f>
        <v>5</v>
      </c>
      <c r="E48" s="105">
        <f>'02.11'!E48+COUNTIF(E$8:E$38,$C48)</f>
        <v>5</v>
      </c>
      <c r="F48" s="105">
        <f>'02.11'!F48+COUNTIF(F$8:F$38,$C48)</f>
        <v>5</v>
      </c>
      <c r="G48" s="105">
        <f>'02.11'!G48+COUNTIF(G$8:G$38,$C48)</f>
        <v>5</v>
      </c>
      <c r="H48" s="105">
        <f>'02.11'!H48+COUNTIF(H$8:H$38,$C48)</f>
        <v>5</v>
      </c>
      <c r="I48" s="105">
        <f>'02.11'!I48+COUNTIF(I$8:I$38,$C48)</f>
        <v>5</v>
      </c>
    </row>
    <row r="49" spans="1:9" s="19" customFormat="1" ht="26.25" x14ac:dyDescent="0.4">
      <c r="A49" s="18"/>
      <c r="B49" s="18"/>
      <c r="C49" s="104" t="str">
        <f>'01.09'!C48</f>
        <v>*Пр. Физическая культура и спорт*</v>
      </c>
      <c r="D49" s="106">
        <f>'02.11'!D49+COUNTIF(D$8:D$38,$C49)</f>
        <v>5</v>
      </c>
      <c r="E49" s="106">
        <f>'02.11'!E49+COUNTIF(E$8:E$38,$C49)</f>
        <v>5</v>
      </c>
      <c r="F49" s="105">
        <f>'02.11'!F49+COUNTIF(F$8:F$38,$C49)</f>
        <v>5</v>
      </c>
      <c r="G49" s="106">
        <f>'02.11'!G49+COUNTIF(G$8:G$38,$C49)</f>
        <v>5</v>
      </c>
      <c r="H49" s="106">
        <f>'02.11'!H49+COUNTIF(H$8:H$38,$C49)</f>
        <v>5</v>
      </c>
      <c r="I49" s="106">
        <f>'02.11'!I49+COUNTIF(I$8:I$38,$C49)</f>
        <v>5</v>
      </c>
    </row>
    <row r="50" spans="1:9" s="19" customFormat="1" ht="26.25" x14ac:dyDescent="0.4">
      <c r="A50" s="18"/>
      <c r="B50" s="18"/>
      <c r="C50" s="104" t="str">
        <f>'01.09'!C49</f>
        <v>*Л. Информационные технологии*</v>
      </c>
      <c r="D50" s="105">
        <f>'02.11'!D50+COUNTIF(D$8:D$38,$C50)</f>
        <v>2</v>
      </c>
      <c r="E50" s="105">
        <f>'02.11'!E50+COUNTIF(E$8:E$38,$C50)</f>
        <v>2</v>
      </c>
      <c r="F50" s="105">
        <f>'02.11'!F50+COUNTIF(F$8:F$38,$C50)</f>
        <v>2</v>
      </c>
      <c r="G50" s="105">
        <f>'02.11'!G50+COUNTIF(G$8:G$38,$C50)</f>
        <v>2</v>
      </c>
      <c r="H50" s="105">
        <f>'02.11'!H50+COUNTIF(H$8:H$38,$C50)</f>
        <v>2</v>
      </c>
      <c r="I50" s="105">
        <f>'02.11'!I50+COUNTIF(I$8:I$38,$C50)</f>
        <v>2</v>
      </c>
    </row>
    <row r="51" spans="1:9" s="19" customFormat="1" ht="26.25" x14ac:dyDescent="0.4">
      <c r="A51" s="18"/>
      <c r="B51" s="18"/>
      <c r="C51" s="104" t="str">
        <f>'01.09'!C50</f>
        <v>*Пр. Информационные технологии*</v>
      </c>
      <c r="D51" s="106">
        <f>'02.11'!D51+COUNTIF(D$8:D$38,$C51)</f>
        <v>8</v>
      </c>
      <c r="E51" s="106">
        <f>'02.11'!E51+COUNTIF(E$8:E$38,$C51)</f>
        <v>8</v>
      </c>
      <c r="F51" s="105">
        <f>'02.11'!F51+COUNTIF(F$8:F$38,$C51)</f>
        <v>8</v>
      </c>
      <c r="G51" s="106">
        <f>'02.11'!G51+COUNTIF(G$8:G$38,$C51)</f>
        <v>8</v>
      </c>
      <c r="H51" s="106">
        <f>'02.11'!H51+COUNTIF(H$8:H$38,$C51)</f>
        <v>8</v>
      </c>
      <c r="I51" s="106">
        <f>'02.11'!I51+COUNTIF(I$8:I$38,$C51)</f>
        <v>8</v>
      </c>
    </row>
    <row r="52" spans="1:9" s="19" customFormat="1" ht="26.25" x14ac:dyDescent="0.4">
      <c r="A52" s="18"/>
      <c r="B52" s="18"/>
      <c r="C52" s="104" t="str">
        <f>'01.09'!C51</f>
        <v>*Л. Гимнастика*</v>
      </c>
      <c r="D52" s="105">
        <f>'02.11'!D52+COUNTIF(D$8:D$38,$C52)</f>
        <v>3</v>
      </c>
      <c r="E52" s="105">
        <f>'02.11'!E52+COUNTIF(E$8:E$38,$C52)</f>
        <v>3</v>
      </c>
      <c r="F52" s="105">
        <f>'02.11'!F52+COUNTIF(F$8:F$38,$C52)</f>
        <v>3</v>
      </c>
      <c r="G52" s="105">
        <f>'02.11'!G52+COUNTIF(G$8:G$38,$C52)</f>
        <v>3</v>
      </c>
      <c r="H52" s="105">
        <f>'02.11'!H52+COUNTIF(H$8:H$38,$C52)</f>
        <v>3</v>
      </c>
      <c r="I52" s="105">
        <f>'02.11'!I52+COUNTIF(I$8:I$38,$C52)</f>
        <v>3</v>
      </c>
    </row>
    <row r="53" spans="1:9" s="19" customFormat="1" ht="26.25" x14ac:dyDescent="0.4">
      <c r="A53" s="18"/>
      <c r="B53" s="18"/>
      <c r="C53" s="104" t="str">
        <f>'01.09'!C52</f>
        <v>*Пр. Гимнастика*</v>
      </c>
      <c r="D53" s="106">
        <f>'02.11'!D53+COUNTIF(D$8:D$38,$C53)</f>
        <v>8</v>
      </c>
      <c r="E53" s="106">
        <f>'02.11'!E53+COUNTIF(E$8:E$38,$C53)</f>
        <v>13</v>
      </c>
      <c r="F53" s="105">
        <f>'02.11'!F53+COUNTIF(F$8:F$38,$C53)</f>
        <v>13</v>
      </c>
      <c r="G53" s="106">
        <f>'02.11'!G53+COUNTIF(G$8:G$38,$C53)</f>
        <v>12</v>
      </c>
      <c r="H53" s="106">
        <f>'02.11'!H53+COUNTIF(H$8:H$38,$C53)</f>
        <v>13</v>
      </c>
      <c r="I53" s="106">
        <f>'02.11'!I53+COUNTIF(I$8:I$38,$C53)</f>
        <v>12</v>
      </c>
    </row>
    <row r="54" spans="1:9" s="19" customFormat="1" ht="26.25" x14ac:dyDescent="0.4">
      <c r="A54" s="18"/>
      <c r="B54" s="18"/>
      <c r="C54" s="104" t="str">
        <f>'01.09'!C53</f>
        <v>*Л. Волейбол*</v>
      </c>
      <c r="D54" s="105">
        <f>'02.11'!D54+COUNTIF(D$8:D$38,$C54)</f>
        <v>1</v>
      </c>
      <c r="E54" s="105">
        <f>'02.11'!E54+COUNTIF(E$8:E$38,$C54)</f>
        <v>1</v>
      </c>
      <c r="F54" s="105">
        <f>'02.11'!F54+COUNTIF(F$8:F$38,$C54)</f>
        <v>1</v>
      </c>
      <c r="G54" s="105">
        <f>'02.11'!G54+COUNTIF(G$8:G$38,$C54)</f>
        <v>1</v>
      </c>
      <c r="H54" s="105">
        <f>'02.11'!H54+COUNTIF(H$8:H$38,$C54)</f>
        <v>1</v>
      </c>
      <c r="I54" s="105">
        <f>'02.11'!I54+COUNTIF(I$8:I$38,$C54)</f>
        <v>1</v>
      </c>
    </row>
    <row r="55" spans="1:9" s="19" customFormat="1" ht="26.25" x14ac:dyDescent="0.4">
      <c r="A55" s="18"/>
      <c r="B55" s="18"/>
      <c r="C55" s="104" t="str">
        <f>'01.09'!C54</f>
        <v>*Пр. Волейбол*</v>
      </c>
      <c r="D55" s="106">
        <f>'02.11'!D55+COUNTIF(D$8:D$38,$C55)</f>
        <v>16</v>
      </c>
      <c r="E55" s="106">
        <f>'02.11'!E55+COUNTIF(E$8:E$38,$C55)</f>
        <v>16</v>
      </c>
      <c r="F55" s="105">
        <f>'02.11'!F55+COUNTIF(F$8:F$38,$C55)</f>
        <v>8</v>
      </c>
      <c r="G55" s="106">
        <f>'02.11'!G55+COUNTIF(G$8:G$38,$C55)</f>
        <v>8</v>
      </c>
      <c r="H55" s="106">
        <f>'02.11'!H55+COUNTIF(H$8:H$38,$C55)</f>
        <v>16</v>
      </c>
      <c r="I55" s="106">
        <f>'02.11'!I55+COUNTIF(I$8:I$38,$C55)</f>
        <v>16</v>
      </c>
    </row>
    <row r="56" spans="1:9" s="19" customFormat="1" ht="26.25" x14ac:dyDescent="0.4">
      <c r="A56" s="18"/>
      <c r="B56" s="18"/>
      <c r="C56" s="104" t="str">
        <f>'01.09'!C55</f>
        <v>*Л. Лыжные гонки*</v>
      </c>
      <c r="D56" s="105">
        <f>'02.11'!D56+COUNTIF(D$8:D$38,$C56)</f>
        <v>0</v>
      </c>
      <c r="E56" s="105">
        <f>'02.11'!E56+COUNTIF(E$8:E$38,$C56)</f>
        <v>0</v>
      </c>
      <c r="F56" s="105">
        <f>'02.11'!F56+COUNTIF(F$8:F$38,$C56)</f>
        <v>0</v>
      </c>
      <c r="G56" s="105">
        <f>'02.11'!G56+COUNTIF(G$8:G$38,$C56)</f>
        <v>0</v>
      </c>
      <c r="H56" s="105">
        <f>'02.11'!H56+COUNTIF(H$8:H$38,$C56)</f>
        <v>0</v>
      </c>
      <c r="I56" s="105">
        <f>'02.11'!I56+COUNTIF(I$8:I$38,$C56)</f>
        <v>0</v>
      </c>
    </row>
    <row r="57" spans="1:9" s="19" customFormat="1" ht="26.25" x14ac:dyDescent="0.4">
      <c r="A57" s="18"/>
      <c r="B57" s="18"/>
      <c r="C57" s="104" t="str">
        <f>'01.09'!C56</f>
        <v>*Пр. Лыжные гонки*</v>
      </c>
      <c r="D57" s="106">
        <f>'02.11'!D57+COUNTIF(D$8:D$38,$C57)</f>
        <v>0</v>
      </c>
      <c r="E57" s="106">
        <f>'02.11'!E57+COUNTIF(E$8:E$38,$C57)</f>
        <v>0</v>
      </c>
      <c r="F57" s="105">
        <f>'02.11'!F57+COUNTIF(F$8:F$38,$C57)</f>
        <v>0</v>
      </c>
      <c r="G57" s="106">
        <f>'02.11'!G57+COUNTIF(G$8:G$38,$C57)</f>
        <v>0</v>
      </c>
      <c r="H57" s="106">
        <f>'02.11'!H57+COUNTIF(H$8:H$38,$C57)</f>
        <v>0</v>
      </c>
      <c r="I57" s="106">
        <f>'02.11'!I57+COUNTIF(I$8:I$38,$C57)</f>
        <v>0</v>
      </c>
    </row>
    <row r="58" spans="1:9" s="19" customFormat="1" ht="26.25" x14ac:dyDescent="0.4">
      <c r="A58" s="18"/>
      <c r="B58" s="18"/>
      <c r="C58" s="104" t="str">
        <f>'01.09'!C57</f>
        <v>*Л. Использование электронной*</v>
      </c>
      <c r="D58" s="105">
        <f>'02.11'!D58+COUNTIF(D$8:D$38,$C58)</f>
        <v>1</v>
      </c>
      <c r="E58" s="105">
        <f>'02.11'!E58+COUNTIF(E$8:E$38,$C58)</f>
        <v>0</v>
      </c>
      <c r="F58" s="105">
        <f>'02.11'!F58+COUNTIF(F$8:F$38,$C58)</f>
        <v>0</v>
      </c>
      <c r="G58" s="105">
        <f>'02.11'!G58+COUNTIF(G$8:G$38,$C58)</f>
        <v>0</v>
      </c>
      <c r="H58" s="105">
        <f>'02.11'!H58+COUNTIF(H$8:H$38,$C58)</f>
        <v>0</v>
      </c>
      <c r="I58" s="105">
        <f>'02.11'!I58+COUNTIF(I$8:I$38,$C58)</f>
        <v>0</v>
      </c>
    </row>
    <row r="59" spans="1:9" s="19" customFormat="1" ht="26.25" x14ac:dyDescent="0.4">
      <c r="A59" s="18"/>
      <c r="B59" s="18"/>
      <c r="C59" s="104" t="str">
        <f>'01.09'!C58</f>
        <v>*Пр. Использование электронной*</v>
      </c>
      <c r="D59" s="106">
        <f>'02.11'!D59+COUNTIF(D$8:D$38,$C59)</f>
        <v>2</v>
      </c>
      <c r="E59" s="106">
        <f>'02.11'!E59+COUNTIF(E$8:E$38,$C59)</f>
        <v>2</v>
      </c>
      <c r="F59" s="105">
        <f>'02.11'!F59+COUNTIF(F$8:F$38,$C59)</f>
        <v>2</v>
      </c>
      <c r="G59" s="106">
        <f>'02.11'!G59+COUNTIF(G$8:G$38,$C59)</f>
        <v>2</v>
      </c>
      <c r="H59" s="106">
        <f>'02.11'!H59+COUNTIF(H$8:H$38,$C59)</f>
        <v>2</v>
      </c>
      <c r="I59" s="106">
        <f>'02.11'!I59+COUNTIF(I$8:I$38,$C59)</f>
        <v>2</v>
      </c>
    </row>
    <row r="60" spans="1:9" s="19" customFormat="1" ht="26.25" x14ac:dyDescent="0.4">
      <c r="A60" s="18"/>
      <c r="B60" s="18"/>
      <c r="C60" s="104" t="str">
        <f>'01.09'!C59</f>
        <v>*Пр. Иностранный язык*</v>
      </c>
      <c r="D60" s="105">
        <f>'02.11'!D60+COUNTIF(D$8:D$38,$C60)</f>
        <v>8</v>
      </c>
      <c r="E60" s="105">
        <f>'02.11'!E60+COUNTIF(E$8:E$38,$C60)</f>
        <v>8</v>
      </c>
      <c r="F60" s="105">
        <f>'02.11'!F60+COUNTIF(F$8:F$38,$C60)</f>
        <v>8</v>
      </c>
      <c r="G60" s="105">
        <f>'02.11'!G60+COUNTIF(G$8:G$38,$C60)</f>
        <v>8</v>
      </c>
      <c r="H60" s="105">
        <f>'02.11'!H60+COUNTIF(H$8:H$38,$C60)</f>
        <v>8</v>
      </c>
      <c r="I60" s="105">
        <f>'02.11'!I60+COUNTIF(I$8:I$38,$C60)</f>
        <v>8</v>
      </c>
    </row>
    <row r="61" spans="1:9" s="19" customFormat="1" ht="26.25" x14ac:dyDescent="0.4">
      <c r="A61" s="18"/>
      <c r="B61" s="18"/>
      <c r="C61" s="104" t="str">
        <f>'01.09'!C60</f>
        <v>*С1-04А-26*</v>
      </c>
      <c r="D61" s="106">
        <f>'02.11'!D61+COUNTIF(D$8:D$38,$C61)</f>
        <v>0</v>
      </c>
      <c r="E61" s="106">
        <f>'02.11'!E61+COUNTIF(E$8:E$38,$C61)</f>
        <v>0</v>
      </c>
      <c r="F61" s="105">
        <f>'02.11'!F61+COUNTIF(F$8:F$38,$C61)</f>
        <v>0</v>
      </c>
      <c r="G61" s="106">
        <f>'02.11'!G61+COUNTIF(G$8:G$38,$C61)</f>
        <v>17</v>
      </c>
      <c r="H61" s="106">
        <f>'02.11'!H61+COUNTIF(H$8:H$38,$C61)</f>
        <v>0</v>
      </c>
      <c r="I61" s="106">
        <f>'02.11'!I61+COUNTIF(I$8:I$38,$C61)</f>
        <v>0</v>
      </c>
    </row>
    <row r="62" spans="1:9" ht="26.25" x14ac:dyDescent="0.4">
      <c r="A62" s="2"/>
      <c r="B62" s="2"/>
      <c r="C62" s="104" t="str">
        <f>'01.09'!C61</f>
        <v>*С1-04Б-26*</v>
      </c>
      <c r="D62" s="105">
        <f>'02.11'!D62+COUNTIF(D$8:D$38,$C62)</f>
        <v>0</v>
      </c>
      <c r="E62" s="105">
        <f>'02.11'!E62+COUNTIF(E$8:E$38,$C62)</f>
        <v>0</v>
      </c>
      <c r="F62" s="105">
        <f>'02.11'!F62+COUNTIF(F$8:F$38,$C62)</f>
        <v>0</v>
      </c>
      <c r="G62" s="105">
        <f>'02.11'!G62+COUNTIF(G$8:G$38,$C62)</f>
        <v>17</v>
      </c>
      <c r="H62" s="105">
        <f>'02.11'!H62+COUNTIF(H$8:H$38,$C62)</f>
        <v>0</v>
      </c>
      <c r="I62" s="105">
        <f>'02.11'!I62+COUNTIF(I$8:I$38,$C62)</f>
        <v>0</v>
      </c>
    </row>
    <row r="63" spans="1:9" ht="26.25" x14ac:dyDescent="0.4">
      <c r="A63" s="2"/>
      <c r="B63" s="2"/>
      <c r="C63" s="104" t="str">
        <f>'01.09'!C62</f>
        <v>*С1-05А-26*</v>
      </c>
      <c r="D63" s="106">
        <f>'02.11'!D63+COUNTIF(D$8:D$38,$C63)</f>
        <v>0</v>
      </c>
      <c r="E63" s="106">
        <f>'02.11'!E63+COUNTIF(E$8:E$38,$C63)</f>
        <v>0</v>
      </c>
      <c r="F63" s="105">
        <f>'02.11'!F63+COUNTIF(F$8:F$38,$C63)</f>
        <v>0</v>
      </c>
      <c r="G63" s="106">
        <f>'02.11'!G63+COUNTIF(G$8:G$38,$C63)</f>
        <v>0</v>
      </c>
      <c r="H63" s="106">
        <f>'02.11'!H63+COUNTIF(H$8:H$38,$C63)</f>
        <v>8</v>
      </c>
      <c r="I63" s="106">
        <f>'02.11'!I63+COUNTIF(I$8:I$38,$C63)</f>
        <v>0</v>
      </c>
    </row>
    <row r="64" spans="1:9" ht="26.25" x14ac:dyDescent="0.4">
      <c r="A64" s="2"/>
      <c r="B64" s="2"/>
      <c r="C64" s="104" t="str">
        <f>'01.09'!C63</f>
        <v>*С1-05Б-26*</v>
      </c>
      <c r="D64" s="105">
        <f>'02.11'!D64+COUNTIF(D$8:D$38,$C64)</f>
        <v>0</v>
      </c>
      <c r="E64" s="105">
        <f>'02.11'!E64+COUNTIF(E$8:E$38,$C64)</f>
        <v>0</v>
      </c>
      <c r="F64" s="105">
        <f>'02.11'!F64+COUNTIF(F$8:F$38,$C64)</f>
        <v>0</v>
      </c>
      <c r="G64" s="105">
        <f>'02.11'!G64+COUNTIF(G$8:G$38,$C64)</f>
        <v>0</v>
      </c>
      <c r="H64" s="105">
        <f>'02.11'!H64+COUNTIF(H$8:H$38,$C64)</f>
        <v>8</v>
      </c>
      <c r="I64" s="105">
        <f>'02.11'!I64+COUNTIF(I$8:I$38,$C64)</f>
        <v>0</v>
      </c>
    </row>
    <row r="65" spans="1:9" ht="26.25" x14ac:dyDescent="0.4">
      <c r="A65" s="2"/>
      <c r="B65" s="2"/>
      <c r="C65" s="104">
        <f>'01.09'!C64</f>
        <v>0</v>
      </c>
      <c r="D65" s="106">
        <f>'02.11'!D65+COUNTIF(D$8:D$38,$C65)</f>
        <v>0</v>
      </c>
      <c r="E65" s="106">
        <f>'02.11'!E65+COUNTIF(E$8:E$38,$C65)</f>
        <v>0</v>
      </c>
      <c r="F65" s="105">
        <f>'02.11'!F65+COUNTIF(F$8:F$38,$C65)</f>
        <v>0</v>
      </c>
      <c r="G65" s="106">
        <f>'02.11'!G65+COUNTIF(G$8:G$38,$C65)</f>
        <v>0</v>
      </c>
      <c r="H65" s="106">
        <f>'02.11'!H65+COUNTIF(H$8:H$38,$C65)</f>
        <v>0</v>
      </c>
      <c r="I65" s="106">
        <f>'02.11'!I65+COUNTIF(I$8:I$38,$C65)</f>
        <v>0</v>
      </c>
    </row>
    <row r="66" spans="1:9" ht="26.25" x14ac:dyDescent="0.3">
      <c r="A66" s="2"/>
      <c r="B66" s="2"/>
      <c r="C66" s="38">
        <f>'01.09'!C65</f>
        <v>0</v>
      </c>
      <c r="D66" s="42">
        <f>'02.11'!D66+COUNTIF(D$8:D$38,$C66)</f>
        <v>0</v>
      </c>
      <c r="E66" s="42">
        <f>'02.11'!E66+COUNTIF(E$8:E$38,$C66)</f>
        <v>0</v>
      </c>
      <c r="F66" s="105">
        <f>'02.11'!F66+COUNTIF(F$8:F$38,$C66)</f>
        <v>0</v>
      </c>
      <c r="G66" s="42">
        <f>'02.11'!G66+COUNTIF(G$8:G$38,$C66)</f>
        <v>0</v>
      </c>
      <c r="H66" s="42">
        <f>'02.11'!H66+COUNTIF(H$8:H$38,$C66)</f>
        <v>0</v>
      </c>
      <c r="I66" s="42">
        <f>'02.11'!I66+COUNTIF(I$8:I$38,$C66)</f>
        <v>0</v>
      </c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</sheetData>
  <mergeCells count="20">
    <mergeCell ref="B1:I1"/>
    <mergeCell ref="B2:I2"/>
    <mergeCell ref="B3:I3"/>
    <mergeCell ref="B4:I4"/>
    <mergeCell ref="B8:B12"/>
    <mergeCell ref="C6:C7"/>
    <mergeCell ref="A5:I5"/>
    <mergeCell ref="B13:B18"/>
    <mergeCell ref="A8:A12"/>
    <mergeCell ref="B6:B7"/>
    <mergeCell ref="A13:A18"/>
    <mergeCell ref="A6:A7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8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K72"/>
  <sheetViews>
    <sheetView view="pageBreakPreview" topLeftCell="A8" zoomScale="40" zoomScaleNormal="40" zoomScaleSheetLayoutView="40" zoomScalePageLayoutView="40" workbookViewId="0">
      <selection activeCell="U21" sqref="U21:U22"/>
    </sheetView>
  </sheetViews>
  <sheetFormatPr defaultRowHeight="15" x14ac:dyDescent="0.25"/>
  <cols>
    <col min="1" max="2" width="4.42578125" customWidth="1"/>
    <col min="3" max="3" width="20.7109375" customWidth="1"/>
    <col min="4" max="9" width="54.140625" customWidth="1"/>
  </cols>
  <sheetData>
    <row r="1" spans="1:9" ht="30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9" ht="30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9" ht="34.5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9" ht="30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9" ht="29.25" customHeight="1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9" ht="29.25" customHeight="1" thickBot="1" x14ac:dyDescent="0.3">
      <c r="A6" s="875" t="s">
        <v>54</v>
      </c>
      <c r="B6" s="875" t="s">
        <v>14</v>
      </c>
      <c r="C6" s="898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9" ht="93.75" thickBot="1" x14ac:dyDescent="0.3">
      <c r="A7" s="876"/>
      <c r="B7" s="876"/>
      <c r="C7" s="899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9" ht="88.5" customHeight="1" x14ac:dyDescent="0.25">
      <c r="A8" s="909" t="s">
        <v>0</v>
      </c>
      <c r="B8" s="897">
        <v>46342</v>
      </c>
      <c r="C8" s="448" t="s">
        <v>10</v>
      </c>
      <c r="D8" s="298"/>
      <c r="E8" s="282"/>
      <c r="F8" s="282"/>
      <c r="G8" s="282"/>
      <c r="H8" s="519"/>
      <c r="I8" s="344"/>
    </row>
    <row r="9" spans="1:9" ht="88.5" customHeight="1" x14ac:dyDescent="0.25">
      <c r="A9" s="913"/>
      <c r="B9" s="862"/>
      <c r="C9" s="458" t="s">
        <v>11</v>
      </c>
      <c r="D9" s="518"/>
      <c r="E9" s="265"/>
      <c r="F9" s="265"/>
      <c r="G9" s="361"/>
      <c r="H9" s="361"/>
      <c r="I9" s="388"/>
    </row>
    <row r="10" spans="1:9" ht="88.5" customHeight="1" x14ac:dyDescent="0.25">
      <c r="A10" s="913"/>
      <c r="B10" s="862"/>
      <c r="C10" s="458" t="s">
        <v>12</v>
      </c>
      <c r="D10" s="392"/>
      <c r="E10" s="361"/>
      <c r="F10" s="361"/>
      <c r="G10" s="361"/>
      <c r="H10" s="432"/>
      <c r="I10" s="478"/>
    </row>
    <row r="11" spans="1:9" ht="88.5" customHeight="1" x14ac:dyDescent="0.25">
      <c r="A11" s="913"/>
      <c r="B11" s="862"/>
      <c r="C11" s="458" t="s">
        <v>13</v>
      </c>
      <c r="D11" s="392"/>
      <c r="E11" s="361"/>
      <c r="F11" s="361"/>
      <c r="G11" s="361"/>
      <c r="H11" s="432"/>
      <c r="I11" s="388"/>
    </row>
    <row r="12" spans="1:9" ht="88.5" customHeight="1" thickBot="1" x14ac:dyDescent="0.3">
      <c r="A12" s="913"/>
      <c r="B12" s="862"/>
      <c r="C12" s="449" t="s">
        <v>15</v>
      </c>
      <c r="D12" s="586"/>
      <c r="E12" s="312"/>
      <c r="F12" s="312"/>
      <c r="G12" s="312"/>
      <c r="H12" s="312"/>
      <c r="I12" s="335"/>
    </row>
    <row r="13" spans="1:9" ht="88.5" customHeight="1" x14ac:dyDescent="0.25">
      <c r="A13" s="909" t="s">
        <v>1</v>
      </c>
      <c r="B13" s="861">
        <f>B8+1</f>
        <v>46343</v>
      </c>
      <c r="C13" s="472" t="s">
        <v>10</v>
      </c>
      <c r="D13" s="485"/>
      <c r="E13" s="585"/>
      <c r="F13" s="585"/>
      <c r="G13" s="585"/>
      <c r="H13" s="436"/>
      <c r="I13" s="437"/>
    </row>
    <row r="14" spans="1:9" ht="88.5" customHeight="1" x14ac:dyDescent="0.25">
      <c r="A14" s="913"/>
      <c r="B14" s="862"/>
      <c r="C14" s="473" t="s">
        <v>11</v>
      </c>
      <c r="D14" s="392"/>
      <c r="E14" s="361"/>
      <c r="F14" s="361"/>
      <c r="G14" s="361"/>
      <c r="H14" s="265"/>
      <c r="I14" s="266"/>
    </row>
    <row r="15" spans="1:9" ht="88.5" customHeight="1" x14ac:dyDescent="0.25">
      <c r="A15" s="913"/>
      <c r="B15" s="862"/>
      <c r="C15" s="473" t="s">
        <v>12</v>
      </c>
      <c r="D15" s="392"/>
      <c r="E15" s="265"/>
      <c r="F15" s="265"/>
      <c r="G15" s="265"/>
      <c r="H15" s="301"/>
      <c r="I15" s="478"/>
    </row>
    <row r="16" spans="1:9" ht="88.5" customHeight="1" x14ac:dyDescent="0.25">
      <c r="A16" s="913"/>
      <c r="B16" s="862"/>
      <c r="C16" s="473" t="s">
        <v>13</v>
      </c>
      <c r="D16" s="392"/>
      <c r="E16" s="265"/>
      <c r="F16" s="265"/>
      <c r="G16" s="265"/>
      <c r="H16" s="265"/>
      <c r="I16" s="478"/>
    </row>
    <row r="17" spans="1:11" ht="88.5" customHeight="1" x14ac:dyDescent="0.25">
      <c r="A17" s="913"/>
      <c r="B17" s="862"/>
      <c r="C17" s="456" t="s">
        <v>15</v>
      </c>
      <c r="D17" s="511"/>
      <c r="E17" s="510"/>
      <c r="F17" s="510"/>
      <c r="G17" s="509"/>
      <c r="H17" s="509"/>
      <c r="I17" s="183"/>
    </row>
    <row r="18" spans="1:11" ht="88.5" customHeight="1" thickBot="1" x14ac:dyDescent="0.3">
      <c r="A18" s="913"/>
      <c r="B18" s="862"/>
      <c r="C18" s="474" t="s">
        <v>64</v>
      </c>
      <c r="D18" s="576"/>
      <c r="E18" s="404"/>
      <c r="F18" s="404"/>
      <c r="G18" s="577"/>
      <c r="H18" s="577"/>
      <c r="I18" s="578"/>
    </row>
    <row r="19" spans="1:11" ht="88.5" customHeight="1" x14ac:dyDescent="0.25">
      <c r="A19" s="925" t="s">
        <v>2</v>
      </c>
      <c r="B19" s="923">
        <f>B13+1</f>
        <v>46344</v>
      </c>
      <c r="C19" s="448" t="s">
        <v>10</v>
      </c>
      <c r="D19" s="508"/>
      <c r="E19" s="436"/>
      <c r="F19" s="436"/>
      <c r="G19" s="436"/>
      <c r="H19" s="436"/>
      <c r="I19" s="437"/>
    </row>
    <row r="20" spans="1:11" ht="88.5" customHeight="1" x14ac:dyDescent="0.25">
      <c r="A20" s="926"/>
      <c r="B20" s="924"/>
      <c r="C20" s="458" t="s">
        <v>11</v>
      </c>
      <c r="D20" s="264"/>
      <c r="E20" s="265"/>
      <c r="F20" s="265"/>
      <c r="G20" s="265"/>
      <c r="H20" s="265"/>
      <c r="I20" s="266"/>
    </row>
    <row r="21" spans="1:11" ht="88.5" customHeight="1" x14ac:dyDescent="0.25">
      <c r="A21" s="926"/>
      <c r="B21" s="924"/>
      <c r="C21" s="458" t="s">
        <v>12</v>
      </c>
      <c r="D21" s="392"/>
      <c r="E21" s="384"/>
      <c r="F21" s="384"/>
      <c r="G21" s="265"/>
      <c r="H21" s="265"/>
      <c r="I21" s="478"/>
      <c r="K21" s="3"/>
    </row>
    <row r="22" spans="1:11" ht="88.5" customHeight="1" x14ac:dyDescent="0.25">
      <c r="A22" s="926"/>
      <c r="B22" s="924"/>
      <c r="C22" s="458" t="s">
        <v>13</v>
      </c>
      <c r="D22" s="392"/>
      <c r="E22" s="361"/>
      <c r="F22" s="361"/>
      <c r="G22" s="265"/>
      <c r="H22" s="265"/>
      <c r="I22" s="478"/>
    </row>
    <row r="23" spans="1:11" ht="88.5" customHeight="1" thickBot="1" x14ac:dyDescent="0.3">
      <c r="A23" s="927"/>
      <c r="B23" s="924"/>
      <c r="C23" s="449" t="s">
        <v>15</v>
      </c>
      <c r="D23" s="206"/>
      <c r="E23" s="429"/>
      <c r="F23" s="429"/>
      <c r="G23" s="207"/>
      <c r="H23" s="207"/>
      <c r="I23" s="208"/>
    </row>
    <row r="24" spans="1:11" ht="88.5" customHeight="1" x14ac:dyDescent="0.25">
      <c r="A24" s="909" t="s">
        <v>3</v>
      </c>
      <c r="B24" s="861">
        <f>B19+1</f>
        <v>46345</v>
      </c>
      <c r="C24" s="472" t="s">
        <v>10</v>
      </c>
      <c r="D24" s="285"/>
      <c r="E24" s="286"/>
      <c r="F24" s="286"/>
      <c r="G24" s="286"/>
      <c r="H24" s="286"/>
      <c r="I24" s="303"/>
    </row>
    <row r="25" spans="1:11" ht="88.5" customHeight="1" x14ac:dyDescent="0.25">
      <c r="A25" s="910"/>
      <c r="B25" s="862"/>
      <c r="C25" s="473" t="s">
        <v>11</v>
      </c>
      <c r="D25" s="267"/>
      <c r="E25" s="234"/>
      <c r="F25" s="234"/>
      <c r="G25" s="301"/>
      <c r="H25" s="234"/>
      <c r="I25" s="268"/>
    </row>
    <row r="26" spans="1:11" ht="88.5" customHeight="1" x14ac:dyDescent="0.25">
      <c r="A26" s="910"/>
      <c r="B26" s="862"/>
      <c r="C26" s="473" t="s">
        <v>12</v>
      </c>
      <c r="D26" s="392"/>
      <c r="E26" s="361"/>
      <c r="F26" s="416"/>
      <c r="G26" s="416"/>
      <c r="H26" s="384"/>
      <c r="I26" s="443"/>
    </row>
    <row r="27" spans="1:11" ht="88.5" customHeight="1" x14ac:dyDescent="0.25">
      <c r="A27" s="910"/>
      <c r="B27" s="862"/>
      <c r="C27" s="473" t="s">
        <v>13</v>
      </c>
      <c r="D27" s="485"/>
      <c r="E27" s="361"/>
      <c r="F27" s="361"/>
      <c r="G27" s="361"/>
      <c r="H27" s="384"/>
      <c r="I27" s="443"/>
    </row>
    <row r="28" spans="1:11" ht="88.5" customHeight="1" thickBot="1" x14ac:dyDescent="0.3">
      <c r="A28" s="910"/>
      <c r="B28" s="862"/>
      <c r="C28" s="474" t="s">
        <v>15</v>
      </c>
      <c r="D28" s="206"/>
      <c r="E28" s="438"/>
      <c r="F28" s="438"/>
      <c r="G28" s="429"/>
      <c r="H28" s="429"/>
      <c r="I28" s="431"/>
    </row>
    <row r="29" spans="1:11" ht="88.5" customHeight="1" x14ac:dyDescent="0.25">
      <c r="A29" s="909" t="s">
        <v>4</v>
      </c>
      <c r="B29" s="861">
        <f>B24+1</f>
        <v>46346</v>
      </c>
      <c r="C29" s="448" t="s">
        <v>10</v>
      </c>
      <c r="D29" s="276"/>
      <c r="E29" s="277"/>
      <c r="F29" s="277"/>
      <c r="G29" s="277"/>
      <c r="H29" s="360"/>
      <c r="I29" s="278"/>
    </row>
    <row r="30" spans="1:11" ht="88.5" customHeight="1" x14ac:dyDescent="0.25">
      <c r="A30" s="913"/>
      <c r="B30" s="862"/>
      <c r="C30" s="458" t="s">
        <v>11</v>
      </c>
      <c r="D30" s="269"/>
      <c r="E30" s="301"/>
      <c r="F30" s="301"/>
      <c r="G30" s="233"/>
      <c r="H30" s="432"/>
      <c r="I30" s="300"/>
    </row>
    <row r="31" spans="1:11" ht="88.5" customHeight="1" x14ac:dyDescent="0.25">
      <c r="A31" s="913"/>
      <c r="B31" s="862"/>
      <c r="C31" s="458" t="s">
        <v>12</v>
      </c>
      <c r="D31" s="299"/>
      <c r="E31" s="301"/>
      <c r="F31" s="301"/>
      <c r="G31" s="234"/>
      <c r="H31" s="301"/>
      <c r="I31" s="300"/>
    </row>
    <row r="32" spans="1:11" ht="88.5" customHeight="1" x14ac:dyDescent="0.25">
      <c r="A32" s="913"/>
      <c r="B32" s="862"/>
      <c r="C32" s="458" t="s">
        <v>13</v>
      </c>
      <c r="D32" s="299"/>
      <c r="E32" s="301"/>
      <c r="F32" s="301"/>
      <c r="G32" s="234"/>
      <c r="H32" s="301"/>
      <c r="I32" s="268"/>
    </row>
    <row r="33" spans="1:10" ht="88.5" customHeight="1" thickBot="1" x14ac:dyDescent="0.3">
      <c r="A33" s="915"/>
      <c r="B33" s="862"/>
      <c r="C33" s="449" t="s">
        <v>15</v>
      </c>
      <c r="D33" s="271"/>
      <c r="E33" s="272"/>
      <c r="F33" s="272"/>
      <c r="G33" s="272"/>
      <c r="H33" s="272"/>
      <c r="I33" s="273"/>
    </row>
    <row r="34" spans="1:10" ht="33.75" customHeight="1" x14ac:dyDescent="0.25">
      <c r="A34" s="862" t="s">
        <v>47</v>
      </c>
      <c r="B34" s="861">
        <f>B29+1</f>
        <v>46347</v>
      </c>
      <c r="C34" s="488" t="s">
        <v>10</v>
      </c>
      <c r="D34" s="138"/>
      <c r="E34" s="139"/>
      <c r="F34" s="139"/>
      <c r="G34" s="139"/>
      <c r="H34" s="139"/>
      <c r="I34" s="140"/>
    </row>
    <row r="35" spans="1:10" ht="33.75" customHeight="1" x14ac:dyDescent="0.25">
      <c r="A35" s="862"/>
      <c r="B35" s="862"/>
      <c r="C35" s="489" t="s">
        <v>11</v>
      </c>
      <c r="D35" s="248"/>
      <c r="E35" s="135"/>
      <c r="F35" s="135"/>
      <c r="G35" s="135"/>
      <c r="H35" s="136"/>
      <c r="I35" s="249"/>
    </row>
    <row r="36" spans="1:10" ht="33.75" customHeight="1" x14ac:dyDescent="0.25">
      <c r="A36" s="862"/>
      <c r="B36" s="862"/>
      <c r="C36" s="489" t="s">
        <v>12</v>
      </c>
      <c r="D36" s="248"/>
      <c r="E36" s="135"/>
      <c r="F36" s="135"/>
      <c r="G36" s="367"/>
      <c r="H36" s="135"/>
      <c r="I36" s="368"/>
    </row>
    <row r="37" spans="1:10" ht="33.75" customHeight="1" x14ac:dyDescent="0.25">
      <c r="A37" s="862"/>
      <c r="B37" s="862"/>
      <c r="C37" s="489" t="s">
        <v>13</v>
      </c>
      <c r="D37" s="141"/>
      <c r="E37" s="136"/>
      <c r="F37" s="136"/>
      <c r="G37" s="136"/>
      <c r="H37" s="135"/>
      <c r="I37" s="142"/>
    </row>
    <row r="38" spans="1:10" ht="33.75" customHeight="1" thickBot="1" x14ac:dyDescent="0.3">
      <c r="A38" s="863"/>
      <c r="B38" s="863"/>
      <c r="C38" s="490" t="s">
        <v>15</v>
      </c>
      <c r="D38" s="143"/>
      <c r="E38" s="96"/>
      <c r="F38" s="96"/>
      <c r="G38" s="96"/>
      <c r="H38" s="96"/>
      <c r="I38" s="108"/>
    </row>
    <row r="39" spans="1:10" ht="32.25" customHeight="1" x14ac:dyDescent="0.3">
      <c r="A39" s="2"/>
      <c r="B39" s="2"/>
      <c r="C39" s="44"/>
      <c r="D39" s="170" t="s">
        <v>86</v>
      </c>
      <c r="E39" s="44"/>
      <c r="F39" s="44"/>
      <c r="G39" s="44"/>
      <c r="H39" s="44"/>
      <c r="I39" s="44"/>
    </row>
    <row r="40" spans="1:10" s="19" customFormat="1" ht="30.75" x14ac:dyDescent="0.45">
      <c r="A40" s="18"/>
      <c r="B40" s="18"/>
      <c r="C40" s="67" t="str">
        <f>'01.09'!C39</f>
        <v>*Л. Речевое общение в профессиональной деятельности*</v>
      </c>
      <c r="D40" s="68">
        <f>'09.11'!D40+COUNTIF(D$8:D$38,$C40)</f>
        <v>5</v>
      </c>
      <c r="E40" s="68">
        <f>'09.11'!E40+COUNTIF(E$8:E$38,$C40)</f>
        <v>5</v>
      </c>
      <c r="F40" s="68">
        <f>'09.11'!F40+COUNTIF(F$8:F$38,$C40)</f>
        <v>5</v>
      </c>
      <c r="G40" s="68">
        <f>'09.11'!G40+COUNTIF(G$8:G$38,$C40)</f>
        <v>5</v>
      </c>
      <c r="H40" s="68">
        <f>'09.11'!H40+COUNTIF(H$8:H$38,$C40)</f>
        <v>5</v>
      </c>
      <c r="I40" s="68">
        <f>'09.11'!I40+COUNTIF(I$8:I$38,$C40)</f>
        <v>5</v>
      </c>
      <c r="J40" s="165"/>
    </row>
    <row r="41" spans="1:10" s="19" customFormat="1" ht="30.75" x14ac:dyDescent="0.45">
      <c r="A41" s="18"/>
      <c r="B41" s="18"/>
      <c r="C41" s="67" t="str">
        <f>'01.09'!C40</f>
        <v>*Пр. Речевое общение в профессиональной деятельности*</v>
      </c>
      <c r="D41" s="69">
        <f>'09.11'!D41+COUNTIF(D$8:D$38,$C41)</f>
        <v>4</v>
      </c>
      <c r="E41" s="69">
        <f>'09.11'!E41+COUNTIF(E$8:E$38,$C41)</f>
        <v>4</v>
      </c>
      <c r="F41" s="68">
        <f>'09.11'!F41+COUNTIF(F$8:F$38,$C41)</f>
        <v>4</v>
      </c>
      <c r="G41" s="69">
        <f>'09.11'!G41+COUNTIF(G$8:G$38,$C41)</f>
        <v>4</v>
      </c>
      <c r="H41" s="69">
        <f>'09.11'!H41+COUNTIF(H$8:H$38,$C41)</f>
        <v>4</v>
      </c>
      <c r="I41" s="69">
        <f>'09.11'!I41+COUNTIF(I$8:I$38,$C41)</f>
        <v>4</v>
      </c>
      <c r="J41" s="165"/>
    </row>
    <row r="42" spans="1:10" s="19" customFormat="1" ht="30.75" x14ac:dyDescent="0.45">
      <c r="A42" s="18"/>
      <c r="B42" s="18"/>
      <c r="C42" s="67" t="str">
        <f>'01.09'!C41</f>
        <v>*Л. Элективные дисциплины по ФКиС: Силовая подготовка*</v>
      </c>
      <c r="D42" s="68">
        <f>'09.11'!D42+COUNTIF(D$8:D$38,$C42)</f>
        <v>1</v>
      </c>
      <c r="E42" s="68">
        <f>'09.11'!E42+COUNTIF(E$8:E$38,$C42)</f>
        <v>1</v>
      </c>
      <c r="F42" s="68">
        <f>'09.11'!F42+COUNTIF(F$8:F$38,$C42)</f>
        <v>1</v>
      </c>
      <c r="G42" s="68">
        <f>'09.11'!G42+COUNTIF(G$8:G$38,$C42)</f>
        <v>1</v>
      </c>
      <c r="H42" s="68">
        <f>'09.11'!H42+COUNTIF(H$8:H$38,$C42)</f>
        <v>1</v>
      </c>
      <c r="I42" s="68">
        <f>'09.11'!I42+COUNTIF(I$8:I$38,$C42)</f>
        <v>1</v>
      </c>
      <c r="J42" s="165"/>
    </row>
    <row r="43" spans="1:10" s="19" customFormat="1" ht="30.75" x14ac:dyDescent="0.45">
      <c r="A43" s="18"/>
      <c r="B43" s="18"/>
      <c r="C43" s="67" t="str">
        <f>'01.09'!C42</f>
        <v>*Пр. Элективные дисциплины по ФКиС: Силовая подготовка*</v>
      </c>
      <c r="D43" s="69">
        <f>'09.11'!D43+COUNTIF(D$8:D$38,$C43)</f>
        <v>8</v>
      </c>
      <c r="E43" s="69">
        <f>'09.11'!E43+COUNTIF(E$8:E$38,$C43)</f>
        <v>9</v>
      </c>
      <c r="F43" s="68">
        <f>'09.11'!F43+COUNTIF(F$8:F$38,$C43)</f>
        <v>9</v>
      </c>
      <c r="G43" s="69">
        <f>'09.11'!G43+COUNTIF(G$8:G$38,$C43)</f>
        <v>9</v>
      </c>
      <c r="H43" s="69">
        <f>'09.11'!H43+COUNTIF(H$8:H$38,$C43)</f>
        <v>9</v>
      </c>
      <c r="I43" s="69">
        <f>'09.11'!I43+COUNTIF(I$8:I$38,$C43)</f>
        <v>8</v>
      </c>
      <c r="J43" s="165"/>
    </row>
    <row r="44" spans="1:10" s="19" customFormat="1" ht="30.75" x14ac:dyDescent="0.45">
      <c r="A44" s="18"/>
      <c r="B44" s="18"/>
      <c r="C44" s="67" t="str">
        <f>'01.09'!C43</f>
        <v>*Л. Анатомия*</v>
      </c>
      <c r="D44" s="68">
        <f>'09.11'!D44+COUNTIF(D$8:D$38,$C44)</f>
        <v>4</v>
      </c>
      <c r="E44" s="68">
        <f>'09.11'!E44+COUNTIF(E$8:E$38,$C44)</f>
        <v>4</v>
      </c>
      <c r="F44" s="68">
        <f>'09.11'!F44+COUNTIF(F$8:F$38,$C44)</f>
        <v>4</v>
      </c>
      <c r="G44" s="68">
        <f>'09.11'!G44+COUNTIF(G$8:G$38,$C44)</f>
        <v>4</v>
      </c>
      <c r="H44" s="68">
        <f>'09.11'!H44+COUNTIF(H$8:H$38,$C44)</f>
        <v>4</v>
      </c>
      <c r="I44" s="68">
        <f>'09.11'!I44+COUNTIF(I$8:I$38,$C44)</f>
        <v>4</v>
      </c>
      <c r="J44" s="165"/>
    </row>
    <row r="45" spans="1:10" s="19" customFormat="1" ht="30.75" x14ac:dyDescent="0.45">
      <c r="A45" s="18"/>
      <c r="B45" s="18"/>
      <c r="C45" s="67" t="str">
        <f>'01.09'!C44</f>
        <v>*Пр. Анатомия*</v>
      </c>
      <c r="D45" s="69">
        <f>'09.11'!D45+COUNTIF(D$8:D$38,$C45)</f>
        <v>4</v>
      </c>
      <c r="E45" s="69">
        <f>'09.11'!E45+COUNTIF(E$8:E$38,$C45)</f>
        <v>4</v>
      </c>
      <c r="F45" s="68">
        <f>'09.11'!F45+COUNTIF(F$8:F$38,$C45)</f>
        <v>4</v>
      </c>
      <c r="G45" s="69">
        <f>'09.11'!G45+COUNTIF(G$8:G$38,$C45)</f>
        <v>4</v>
      </c>
      <c r="H45" s="69">
        <f>'09.11'!H45+COUNTIF(H$8:H$38,$C45)</f>
        <v>4</v>
      </c>
      <c r="I45" s="69">
        <f>'09.11'!I45+COUNTIF(I$8:I$38,$C45)</f>
        <v>4</v>
      </c>
      <c r="J45" s="165"/>
    </row>
    <row r="46" spans="1:10" s="19" customFormat="1" ht="30.75" x14ac:dyDescent="0.45">
      <c r="A46" s="18"/>
      <c r="B46" s="18"/>
      <c r="C46" s="67" t="str">
        <f>'01.09'!C45</f>
        <v>*Л. Теория и методика*</v>
      </c>
      <c r="D46" s="68">
        <f>'09.11'!D46+COUNTIF(D$8:D$38,$C46)</f>
        <v>5</v>
      </c>
      <c r="E46" s="68">
        <f>'09.11'!E46+COUNTIF(E$8:E$38,$C46)</f>
        <v>4</v>
      </c>
      <c r="F46" s="68">
        <f>'09.11'!F46+COUNTIF(F$8:F$38,$C46)</f>
        <v>4</v>
      </c>
      <c r="G46" s="68">
        <f>'09.11'!G46+COUNTIF(G$8:G$38,$C46)</f>
        <v>4</v>
      </c>
      <c r="H46" s="68">
        <f>'09.11'!H46+COUNTIF(H$8:H$38,$C46)</f>
        <v>5</v>
      </c>
      <c r="I46" s="68">
        <f>'09.11'!I46+COUNTIF(I$8:I$38,$C46)</f>
        <v>3</v>
      </c>
      <c r="J46" s="165"/>
    </row>
    <row r="47" spans="1:10" s="19" customFormat="1" ht="30.75" x14ac:dyDescent="0.45">
      <c r="A47" s="18"/>
      <c r="B47" s="18"/>
      <c r="C47" s="67" t="str">
        <f>'01.09'!C46</f>
        <v>*Пр. Теория и методика*</v>
      </c>
      <c r="D47" s="69">
        <f>'09.11'!D47+COUNTIF(D$8:D$38,$C47)</f>
        <v>24</v>
      </c>
      <c r="E47" s="69">
        <f>'09.11'!E47+COUNTIF(E$8:E$38,$C47)</f>
        <v>23</v>
      </c>
      <c r="F47" s="68">
        <f>'09.11'!F47+COUNTIF(F$8:F$38,$C47)</f>
        <v>23</v>
      </c>
      <c r="G47" s="69">
        <f>'09.11'!G47+COUNTIF(G$8:G$38,$C47)</f>
        <v>23</v>
      </c>
      <c r="H47" s="69">
        <f>'09.11'!H47+COUNTIF(H$8:H$38,$C47)</f>
        <v>26</v>
      </c>
      <c r="I47" s="69">
        <f>'09.11'!I47+COUNTIF(I$8:I$38,$C47)</f>
        <v>20</v>
      </c>
      <c r="J47" s="165"/>
    </row>
    <row r="48" spans="1:10" s="19" customFormat="1" ht="30.75" x14ac:dyDescent="0.45">
      <c r="A48" s="18"/>
      <c r="B48" s="18"/>
      <c r="C48" s="67" t="str">
        <f>'01.09'!C47</f>
        <v>*Л. Физическая культура и спорт*</v>
      </c>
      <c r="D48" s="68">
        <f>'09.11'!D48+COUNTIF(D$8:D$38,$C48)</f>
        <v>5</v>
      </c>
      <c r="E48" s="68">
        <f>'09.11'!E48+COUNTIF(E$8:E$38,$C48)</f>
        <v>5</v>
      </c>
      <c r="F48" s="68">
        <f>'09.11'!F48+COUNTIF(F$8:F$38,$C48)</f>
        <v>5</v>
      </c>
      <c r="G48" s="68">
        <f>'09.11'!G48+COUNTIF(G$8:G$38,$C48)</f>
        <v>5</v>
      </c>
      <c r="H48" s="68">
        <f>'09.11'!H48+COUNTIF(H$8:H$38,$C48)</f>
        <v>5</v>
      </c>
      <c r="I48" s="68">
        <f>'09.11'!I48+COUNTIF(I$8:I$38,$C48)</f>
        <v>5</v>
      </c>
      <c r="J48" s="165"/>
    </row>
    <row r="49" spans="1:10" s="19" customFormat="1" ht="30.75" x14ac:dyDescent="0.45">
      <c r="A49" s="18"/>
      <c r="B49" s="18"/>
      <c r="C49" s="67" t="str">
        <f>'01.09'!C48</f>
        <v>*Пр. Физическая культура и спорт*</v>
      </c>
      <c r="D49" s="69">
        <f>'09.11'!D49+COUNTIF(D$8:D$38,$C49)</f>
        <v>5</v>
      </c>
      <c r="E49" s="69">
        <f>'09.11'!E49+COUNTIF(E$8:E$38,$C49)</f>
        <v>5</v>
      </c>
      <c r="F49" s="68">
        <f>'09.11'!F49+COUNTIF(F$8:F$38,$C49)</f>
        <v>5</v>
      </c>
      <c r="G49" s="69">
        <f>'09.11'!G49+COUNTIF(G$8:G$38,$C49)</f>
        <v>5</v>
      </c>
      <c r="H49" s="69">
        <f>'09.11'!H49+COUNTIF(H$8:H$38,$C49)</f>
        <v>5</v>
      </c>
      <c r="I49" s="69">
        <f>'09.11'!I49+COUNTIF(I$8:I$38,$C49)</f>
        <v>5</v>
      </c>
      <c r="J49" s="165"/>
    </row>
    <row r="50" spans="1:10" s="19" customFormat="1" ht="30.75" x14ac:dyDescent="0.45">
      <c r="A50" s="18"/>
      <c r="B50" s="18"/>
      <c r="C50" s="67" t="str">
        <f>'01.09'!C49</f>
        <v>*Л. Информационные технологии*</v>
      </c>
      <c r="D50" s="68">
        <f>'09.11'!D50+COUNTIF(D$8:D$38,$C50)</f>
        <v>2</v>
      </c>
      <c r="E50" s="68">
        <f>'09.11'!E50+COUNTIF(E$8:E$38,$C50)</f>
        <v>2</v>
      </c>
      <c r="F50" s="68">
        <f>'09.11'!F50+COUNTIF(F$8:F$38,$C50)</f>
        <v>2</v>
      </c>
      <c r="G50" s="68">
        <f>'09.11'!G50+COUNTIF(G$8:G$38,$C50)</f>
        <v>2</v>
      </c>
      <c r="H50" s="68">
        <f>'09.11'!H50+COUNTIF(H$8:H$38,$C50)</f>
        <v>2</v>
      </c>
      <c r="I50" s="68">
        <f>'09.11'!I50+COUNTIF(I$8:I$38,$C50)</f>
        <v>2</v>
      </c>
      <c r="J50" s="165"/>
    </row>
    <row r="51" spans="1:10" s="19" customFormat="1" ht="30.75" x14ac:dyDescent="0.45">
      <c r="A51" s="18"/>
      <c r="B51" s="18"/>
      <c r="C51" s="67" t="str">
        <f>'01.09'!C50</f>
        <v>*Пр. Информационные технологии*</v>
      </c>
      <c r="D51" s="69">
        <f>'09.11'!D51+COUNTIF(D$8:D$38,$C51)</f>
        <v>8</v>
      </c>
      <c r="E51" s="69">
        <f>'09.11'!E51+COUNTIF(E$8:E$38,$C51)</f>
        <v>8</v>
      </c>
      <c r="F51" s="68">
        <f>'09.11'!F51+COUNTIF(F$8:F$38,$C51)</f>
        <v>8</v>
      </c>
      <c r="G51" s="69">
        <f>'09.11'!G51+COUNTIF(G$8:G$38,$C51)</f>
        <v>8</v>
      </c>
      <c r="H51" s="69">
        <f>'09.11'!H51+COUNTIF(H$8:H$38,$C51)</f>
        <v>8</v>
      </c>
      <c r="I51" s="69">
        <f>'09.11'!I51+COUNTIF(I$8:I$38,$C51)</f>
        <v>8</v>
      </c>
      <c r="J51" s="165"/>
    </row>
    <row r="52" spans="1:10" s="19" customFormat="1" ht="30.75" x14ac:dyDescent="0.45">
      <c r="A52" s="18"/>
      <c r="B52" s="18"/>
      <c r="C52" s="67" t="str">
        <f>'01.09'!C51</f>
        <v>*Л. Гимнастика*</v>
      </c>
      <c r="D52" s="68">
        <f>'09.11'!D52+COUNTIF(D$8:D$38,$C52)</f>
        <v>3</v>
      </c>
      <c r="E52" s="68">
        <f>'09.11'!E52+COUNTIF(E$8:E$38,$C52)</f>
        <v>3</v>
      </c>
      <c r="F52" s="68">
        <f>'09.11'!F52+COUNTIF(F$8:F$38,$C52)</f>
        <v>3</v>
      </c>
      <c r="G52" s="68">
        <f>'09.11'!G52+COUNTIF(G$8:G$38,$C52)</f>
        <v>3</v>
      </c>
      <c r="H52" s="68">
        <f>'09.11'!H52+COUNTIF(H$8:H$38,$C52)</f>
        <v>3</v>
      </c>
      <c r="I52" s="68">
        <f>'09.11'!I52+COUNTIF(I$8:I$38,$C52)</f>
        <v>3</v>
      </c>
      <c r="J52" s="165"/>
    </row>
    <row r="53" spans="1:10" s="19" customFormat="1" ht="30.75" x14ac:dyDescent="0.45">
      <c r="A53" s="18"/>
      <c r="B53" s="18"/>
      <c r="C53" s="67" t="str">
        <f>'01.09'!C52</f>
        <v>*Пр. Гимнастика*</v>
      </c>
      <c r="D53" s="69">
        <f>'09.11'!D53+COUNTIF(D$8:D$38,$C53)</f>
        <v>8</v>
      </c>
      <c r="E53" s="69">
        <f>'09.11'!E53+COUNTIF(E$8:E$38,$C53)</f>
        <v>13</v>
      </c>
      <c r="F53" s="68">
        <f>'09.11'!F53+COUNTIF(F$8:F$38,$C53)</f>
        <v>13</v>
      </c>
      <c r="G53" s="69">
        <f>'09.11'!G53+COUNTIF(G$8:G$38,$C53)</f>
        <v>12</v>
      </c>
      <c r="H53" s="69">
        <f>'09.11'!H53+COUNTIF(H$8:H$38,$C53)</f>
        <v>13</v>
      </c>
      <c r="I53" s="69">
        <f>'09.11'!I53+COUNTIF(I$8:I$38,$C53)</f>
        <v>12</v>
      </c>
      <c r="J53" s="165"/>
    </row>
    <row r="54" spans="1:10" s="19" customFormat="1" ht="30.75" x14ac:dyDescent="0.45">
      <c r="A54" s="18"/>
      <c r="B54" s="18"/>
      <c r="C54" s="67" t="str">
        <f>'01.09'!C53</f>
        <v>*Л. Волейбол*</v>
      </c>
      <c r="D54" s="68">
        <f>'09.11'!D54+COUNTIF(D$8:D$38,$C54)</f>
        <v>1</v>
      </c>
      <c r="E54" s="68">
        <f>'09.11'!E54+COUNTIF(E$8:E$38,$C54)</f>
        <v>1</v>
      </c>
      <c r="F54" s="68">
        <f>'09.11'!F54+COUNTIF(F$8:F$38,$C54)</f>
        <v>1</v>
      </c>
      <c r="G54" s="68">
        <f>'09.11'!G54+COUNTIF(G$8:G$38,$C54)</f>
        <v>1</v>
      </c>
      <c r="H54" s="68">
        <f>'09.11'!H54+COUNTIF(H$8:H$38,$C54)</f>
        <v>1</v>
      </c>
      <c r="I54" s="68">
        <f>'09.11'!I54+COUNTIF(I$8:I$38,$C54)</f>
        <v>1</v>
      </c>
      <c r="J54" s="165"/>
    </row>
    <row r="55" spans="1:10" s="19" customFormat="1" ht="30.75" x14ac:dyDescent="0.45">
      <c r="A55" s="18"/>
      <c r="B55" s="18"/>
      <c r="C55" s="67" t="str">
        <f>'01.09'!C54</f>
        <v>*Пр. Волейбол*</v>
      </c>
      <c r="D55" s="69">
        <f>'09.11'!D55+COUNTIF(D$8:D$38,$C55)</f>
        <v>16</v>
      </c>
      <c r="E55" s="69">
        <f>'09.11'!E55+COUNTIF(E$8:E$38,$C55)</f>
        <v>16</v>
      </c>
      <c r="F55" s="68">
        <f>'09.11'!F55+COUNTIF(F$8:F$38,$C55)</f>
        <v>8</v>
      </c>
      <c r="G55" s="69">
        <f>'09.11'!G55+COUNTIF(G$8:G$38,$C55)</f>
        <v>8</v>
      </c>
      <c r="H55" s="69">
        <f>'09.11'!H55+COUNTIF(H$8:H$38,$C55)</f>
        <v>16</v>
      </c>
      <c r="I55" s="69">
        <f>'09.11'!I55+COUNTIF(I$8:I$38,$C55)</f>
        <v>16</v>
      </c>
      <c r="J55" s="165"/>
    </row>
    <row r="56" spans="1:10" s="19" customFormat="1" ht="30.75" x14ac:dyDescent="0.45">
      <c r="A56" s="18"/>
      <c r="B56" s="18"/>
      <c r="C56" s="67" t="str">
        <f>'01.09'!C55</f>
        <v>*Л. Лыжные гонки*</v>
      </c>
      <c r="D56" s="68">
        <f>'09.11'!D56+COUNTIF(D$8:D$38,$C56)</f>
        <v>0</v>
      </c>
      <c r="E56" s="68">
        <f>'09.11'!E56+COUNTIF(E$8:E$38,$C56)</f>
        <v>0</v>
      </c>
      <c r="F56" s="68">
        <f>'09.11'!F56+COUNTIF(F$8:F$38,$C56)</f>
        <v>0</v>
      </c>
      <c r="G56" s="68">
        <f>'09.11'!G56+COUNTIF(G$8:G$38,$C56)</f>
        <v>0</v>
      </c>
      <c r="H56" s="68">
        <f>'09.11'!H56+COUNTIF(H$8:H$38,$C56)</f>
        <v>0</v>
      </c>
      <c r="I56" s="68">
        <f>'09.11'!I56+COUNTIF(I$8:I$38,$C56)</f>
        <v>0</v>
      </c>
      <c r="J56" s="165"/>
    </row>
    <row r="57" spans="1:10" s="19" customFormat="1" ht="30.75" x14ac:dyDescent="0.45">
      <c r="A57" s="18"/>
      <c r="B57" s="18"/>
      <c r="C57" s="67" t="str">
        <f>'01.09'!C56</f>
        <v>*Пр. Лыжные гонки*</v>
      </c>
      <c r="D57" s="69">
        <f>'09.11'!D57+COUNTIF(D$8:D$38,$C57)</f>
        <v>0</v>
      </c>
      <c r="E57" s="69">
        <f>'09.11'!E57+COUNTIF(E$8:E$38,$C57)</f>
        <v>0</v>
      </c>
      <c r="F57" s="68">
        <f>'09.11'!F57+COUNTIF(F$8:F$38,$C57)</f>
        <v>0</v>
      </c>
      <c r="G57" s="69">
        <f>'09.11'!G57+COUNTIF(G$8:G$38,$C57)</f>
        <v>0</v>
      </c>
      <c r="H57" s="69">
        <f>'09.11'!H57+COUNTIF(H$8:H$38,$C57)</f>
        <v>0</v>
      </c>
      <c r="I57" s="69">
        <f>'09.11'!I57+COUNTIF(I$8:I$38,$C57)</f>
        <v>0</v>
      </c>
      <c r="J57" s="165"/>
    </row>
    <row r="58" spans="1:10" s="19" customFormat="1" ht="30.75" x14ac:dyDescent="0.45">
      <c r="A58" s="18"/>
      <c r="B58" s="18"/>
      <c r="C58" s="67" t="str">
        <f>'01.09'!C57</f>
        <v>*Л. Использование электронной*</v>
      </c>
      <c r="D58" s="68">
        <f>'09.11'!D58+COUNTIF(D$8:D$38,$C58)</f>
        <v>1</v>
      </c>
      <c r="E58" s="68">
        <f>'09.11'!E58+COUNTIF(E$8:E$38,$C58)</f>
        <v>0</v>
      </c>
      <c r="F58" s="68">
        <f>'09.11'!F58+COUNTIF(F$8:F$38,$C58)</f>
        <v>0</v>
      </c>
      <c r="G58" s="68">
        <f>'09.11'!G58+COUNTIF(G$8:G$38,$C58)</f>
        <v>0</v>
      </c>
      <c r="H58" s="68">
        <f>'09.11'!H58+COUNTIF(H$8:H$38,$C58)</f>
        <v>0</v>
      </c>
      <c r="I58" s="68">
        <f>'09.11'!I58+COUNTIF(I$8:I$38,$C58)</f>
        <v>0</v>
      </c>
      <c r="J58" s="165"/>
    </row>
    <row r="59" spans="1:10" s="19" customFormat="1" ht="30.75" x14ac:dyDescent="0.45">
      <c r="A59" s="18"/>
      <c r="B59" s="18"/>
      <c r="C59" s="67" t="str">
        <f>'01.09'!C58</f>
        <v>*Пр. Использование электронной*</v>
      </c>
      <c r="D59" s="69">
        <f>'09.11'!D59+COUNTIF(D$8:D$38,$C59)</f>
        <v>2</v>
      </c>
      <c r="E59" s="69">
        <f>'09.11'!E59+COUNTIF(E$8:E$38,$C59)</f>
        <v>2</v>
      </c>
      <c r="F59" s="68">
        <f>'09.11'!F59+COUNTIF(F$8:F$38,$C59)</f>
        <v>2</v>
      </c>
      <c r="G59" s="69">
        <f>'09.11'!G59+COUNTIF(G$8:G$38,$C59)</f>
        <v>2</v>
      </c>
      <c r="H59" s="69">
        <f>'09.11'!H59+COUNTIF(H$8:H$38,$C59)</f>
        <v>2</v>
      </c>
      <c r="I59" s="69">
        <f>'09.11'!I59+COUNTIF(I$8:I$38,$C59)</f>
        <v>2</v>
      </c>
      <c r="J59" s="165"/>
    </row>
    <row r="60" spans="1:10" s="19" customFormat="1" ht="30.75" x14ac:dyDescent="0.45">
      <c r="A60" s="18"/>
      <c r="B60" s="18"/>
      <c r="C60" s="67" t="str">
        <f>'01.09'!C59</f>
        <v>*Пр. Иностранный язык*</v>
      </c>
      <c r="D60" s="68">
        <f>'09.11'!D60+COUNTIF(D$8:D$38,$C60)</f>
        <v>8</v>
      </c>
      <c r="E60" s="68">
        <f>'09.11'!E60+COUNTIF(E$8:E$38,$C60)</f>
        <v>8</v>
      </c>
      <c r="F60" s="68">
        <f>'09.11'!F60+COUNTIF(F$8:F$38,$C60)</f>
        <v>8</v>
      </c>
      <c r="G60" s="68">
        <f>'09.11'!G60+COUNTIF(G$8:G$38,$C60)</f>
        <v>8</v>
      </c>
      <c r="H60" s="68">
        <f>'09.11'!H60+COUNTIF(H$8:H$38,$C60)</f>
        <v>8</v>
      </c>
      <c r="I60" s="68">
        <f>'09.11'!I60+COUNTIF(I$8:I$38,$C60)</f>
        <v>8</v>
      </c>
      <c r="J60" s="165"/>
    </row>
    <row r="61" spans="1:10" s="19" customFormat="1" ht="30.75" x14ac:dyDescent="0.45">
      <c r="A61" s="18"/>
      <c r="B61" s="18"/>
      <c r="C61" s="67" t="str">
        <f>'01.09'!C60</f>
        <v>*С1-04А-26*</v>
      </c>
      <c r="D61" s="69">
        <f>'09.11'!D61+COUNTIF(D$8:D$38,$C61)</f>
        <v>0</v>
      </c>
      <c r="E61" s="69">
        <f>'09.11'!E61+COUNTIF(E$8:E$38,$C61)</f>
        <v>0</v>
      </c>
      <c r="F61" s="68">
        <f>'09.11'!F61+COUNTIF(F$8:F$38,$C61)</f>
        <v>0</v>
      </c>
      <c r="G61" s="69">
        <f>'09.11'!G61+COUNTIF(G$8:G$38,$C61)</f>
        <v>17</v>
      </c>
      <c r="H61" s="69">
        <f>'09.11'!H61+COUNTIF(H$8:H$38,$C61)</f>
        <v>0</v>
      </c>
      <c r="I61" s="69">
        <f>'09.11'!I61+COUNTIF(I$8:I$38,$C61)</f>
        <v>0</v>
      </c>
      <c r="J61" s="165"/>
    </row>
    <row r="62" spans="1:10" ht="31.5" x14ac:dyDescent="0.5">
      <c r="A62" s="2"/>
      <c r="B62" s="2"/>
      <c r="C62" s="67" t="str">
        <f>'01.09'!C61</f>
        <v>*С1-04Б-26*</v>
      </c>
      <c r="D62" s="68">
        <f>'09.11'!D62+COUNTIF(D$8:D$38,$C62)</f>
        <v>0</v>
      </c>
      <c r="E62" s="68">
        <f>'09.11'!E62+COUNTIF(E$8:E$38,$C62)</f>
        <v>0</v>
      </c>
      <c r="F62" s="68">
        <f>'09.11'!F62+COUNTIF(F$8:F$38,$C62)</f>
        <v>0</v>
      </c>
      <c r="G62" s="68">
        <f>'09.11'!G62+COUNTIF(G$8:G$38,$C62)</f>
        <v>17</v>
      </c>
      <c r="H62" s="68">
        <f>'09.11'!H62+COUNTIF(H$8:H$38,$C62)</f>
        <v>0</v>
      </c>
      <c r="I62" s="68">
        <f>'09.11'!I62+COUNTIF(I$8:I$38,$C62)</f>
        <v>0</v>
      </c>
      <c r="J62" s="302"/>
    </row>
    <row r="63" spans="1:10" ht="31.5" x14ac:dyDescent="0.5">
      <c r="A63" s="2"/>
      <c r="B63" s="2"/>
      <c r="C63" s="67" t="str">
        <f>'01.09'!C62</f>
        <v>*С1-05А-26*</v>
      </c>
      <c r="D63" s="69">
        <f>'09.11'!D63+COUNTIF(D$8:D$38,$C63)</f>
        <v>0</v>
      </c>
      <c r="E63" s="69">
        <f>'09.11'!E63+COUNTIF(E$8:E$38,$C63)</f>
        <v>0</v>
      </c>
      <c r="F63" s="68">
        <f>'09.11'!F63+COUNTIF(F$8:F$38,$C63)</f>
        <v>0</v>
      </c>
      <c r="G63" s="69">
        <f>'09.11'!G63+COUNTIF(G$8:G$38,$C63)</f>
        <v>0</v>
      </c>
      <c r="H63" s="69">
        <f>'09.11'!H63+COUNTIF(H$8:H$38,$C63)</f>
        <v>8</v>
      </c>
      <c r="I63" s="69">
        <f>'09.11'!I63+COUNTIF(I$8:I$38,$C63)</f>
        <v>0</v>
      </c>
      <c r="J63" s="302"/>
    </row>
    <row r="64" spans="1:10" ht="23.25" x14ac:dyDescent="0.35">
      <c r="A64" s="2"/>
      <c r="B64" s="2"/>
      <c r="C64" s="67" t="str">
        <f>'01.09'!C63</f>
        <v>*С1-05Б-26*</v>
      </c>
      <c r="D64" s="68">
        <f>'09.11'!D64+COUNTIF(D$8:D$38,$C64)</f>
        <v>0</v>
      </c>
      <c r="E64" s="68">
        <f>'09.11'!E64+COUNTIF(E$8:E$38,$C64)</f>
        <v>0</v>
      </c>
      <c r="F64" s="68">
        <f>'09.11'!F64+COUNTIF(F$8:F$38,$C64)</f>
        <v>0</v>
      </c>
      <c r="G64" s="68">
        <f>'09.11'!G64+COUNTIF(G$8:G$38,$C64)</f>
        <v>0</v>
      </c>
      <c r="H64" s="68">
        <f>'09.11'!H64+COUNTIF(H$8:H$38,$C64)</f>
        <v>8</v>
      </c>
      <c r="I64" s="68">
        <f>'09.11'!I64+COUNTIF(I$8:I$38,$C64)</f>
        <v>0</v>
      </c>
    </row>
    <row r="65" spans="1:9" ht="23.25" x14ac:dyDescent="0.35">
      <c r="A65" s="2"/>
      <c r="B65" s="2"/>
      <c r="C65" s="67">
        <f>'01.09'!C64</f>
        <v>0</v>
      </c>
      <c r="D65" s="69">
        <f>'09.11'!D65+COUNTIF(D$8:D$38,$C65)</f>
        <v>0</v>
      </c>
      <c r="E65" s="69">
        <f>'09.11'!E65+COUNTIF(E$8:E$38,$C65)</f>
        <v>0</v>
      </c>
      <c r="F65" s="68">
        <f>'09.11'!F65+COUNTIF(F$8:F$38,$C65)</f>
        <v>0</v>
      </c>
      <c r="G65" s="69">
        <f>'09.11'!G65+COUNTIF(G$8:G$38,$C65)</f>
        <v>0</v>
      </c>
      <c r="H65" s="69">
        <f>'09.11'!H65+COUNTIF(H$8:H$38,$C65)</f>
        <v>0</v>
      </c>
      <c r="I65" s="69">
        <f>'09.11'!I65+COUNTIF(I$8:I$38,$C65)</f>
        <v>0</v>
      </c>
    </row>
    <row r="66" spans="1:9" ht="23.25" x14ac:dyDescent="0.35">
      <c r="A66" s="2"/>
      <c r="B66" s="2"/>
      <c r="C66" s="67">
        <f>'01.09'!C65</f>
        <v>0</v>
      </c>
      <c r="D66" s="68">
        <f>'09.11'!D66+COUNTIF(D$8:D$38,$C66)</f>
        <v>0</v>
      </c>
      <c r="E66" s="68">
        <f>'09.11'!E66+COUNTIF(E$8:E$38,$C66)</f>
        <v>0</v>
      </c>
      <c r="F66" s="68">
        <f>'09.11'!F66+COUNTIF(F$8:F$38,$C66)</f>
        <v>0</v>
      </c>
      <c r="G66" s="68">
        <f>'09.11'!G66+COUNTIF(G$8:G$38,$C66)</f>
        <v>0</v>
      </c>
      <c r="H66" s="68">
        <f>'09.11'!H66+COUNTIF(H$8:H$38,$C66)</f>
        <v>0</v>
      </c>
      <c r="I66" s="68">
        <f>'09.11'!I66+COUNTIF(I$8:I$38,$C66)</f>
        <v>0</v>
      </c>
    </row>
    <row r="67" spans="1:9" ht="23.25" x14ac:dyDescent="0.35">
      <c r="A67" s="2"/>
      <c r="B67" s="2"/>
      <c r="C67" s="67">
        <f>'01.09'!C66</f>
        <v>0</v>
      </c>
      <c r="D67" s="69">
        <f>'09.11'!D67+COUNTIF(D$8:D$38,$C67)</f>
        <v>0</v>
      </c>
      <c r="E67" s="69">
        <f>'09.11'!E67+COUNTIF(E$8:E$38,$C67)</f>
        <v>0</v>
      </c>
      <c r="F67" s="68">
        <f>'09.11'!F67+COUNTIF(F$8:F$38,$C67)</f>
        <v>0</v>
      </c>
      <c r="G67" s="69">
        <f>'09.11'!G67+COUNTIF(G$8:G$38,$C67)</f>
        <v>0</v>
      </c>
      <c r="H67" s="69">
        <f>'09.11'!H67+COUNTIF(H$8:H$38,$C67)</f>
        <v>0</v>
      </c>
      <c r="I67" s="69">
        <f>'09.11'!I67+COUNTIF(I$8:I$38,$C67)</f>
        <v>0</v>
      </c>
    </row>
    <row r="68" spans="1:9" ht="23.25" x14ac:dyDescent="0.35">
      <c r="A68" s="2"/>
      <c r="B68" s="2"/>
      <c r="C68" s="67">
        <f>'01.09'!C67</f>
        <v>0</v>
      </c>
      <c r="D68" s="68">
        <f>'09.11'!D68+COUNTIF(D$8:D$38,$C68)</f>
        <v>0</v>
      </c>
      <c r="E68" s="68">
        <f>'09.11'!E68+COUNTIF(E$8:E$38,$C68)</f>
        <v>0</v>
      </c>
      <c r="F68" s="68">
        <f>'09.11'!F68+COUNTIF(F$8:F$38,$C68)</f>
        <v>0</v>
      </c>
      <c r="G68" s="68">
        <f>'09.11'!G68+COUNTIF(G$8:G$38,$C68)</f>
        <v>0</v>
      </c>
      <c r="H68" s="68">
        <f>'09.11'!H68+COUNTIF(H$8:H$38,$C68)</f>
        <v>0</v>
      </c>
      <c r="I68" s="68">
        <f>'09.11'!I68+COUNTIF(I$8:I$38,$C68)</f>
        <v>0</v>
      </c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</sheetData>
  <mergeCells count="20">
    <mergeCell ref="B1:I1"/>
    <mergeCell ref="B2:I2"/>
    <mergeCell ref="B3:I3"/>
    <mergeCell ref="B4:I4"/>
    <mergeCell ref="A5:I5"/>
    <mergeCell ref="A34:A38"/>
    <mergeCell ref="B34:B38"/>
    <mergeCell ref="A29:A33"/>
    <mergeCell ref="B29:B33"/>
    <mergeCell ref="C6:C7"/>
    <mergeCell ref="B8:B12"/>
    <mergeCell ref="B13:B18"/>
    <mergeCell ref="A13:A18"/>
    <mergeCell ref="A24:A28"/>
    <mergeCell ref="B19:B23"/>
    <mergeCell ref="B24:B28"/>
    <mergeCell ref="A19:A23"/>
    <mergeCell ref="A8:A12"/>
    <mergeCell ref="A6:A7"/>
    <mergeCell ref="B6:B7"/>
  </mergeCells>
  <phoneticPr fontId="3" type="noConversion"/>
  <pageMargins left="0" right="0" top="0" bottom="0" header="0" footer="0"/>
  <pageSetup paperSize="9" scale="28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K72"/>
  <sheetViews>
    <sheetView view="pageBreakPreview" zoomScale="40" zoomScaleNormal="40" zoomScaleSheetLayoutView="40" zoomScalePageLayoutView="40" workbookViewId="0">
      <selection activeCell="F7" sqref="F7"/>
    </sheetView>
  </sheetViews>
  <sheetFormatPr defaultRowHeight="15" x14ac:dyDescent="0.25"/>
  <cols>
    <col min="1" max="2" width="4.42578125" customWidth="1"/>
    <col min="3" max="3" width="21.85546875" customWidth="1"/>
    <col min="4" max="9" width="64.7109375" customWidth="1"/>
  </cols>
  <sheetData>
    <row r="1" spans="1:9" ht="30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9" ht="30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9" ht="40.5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9" ht="30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9" ht="30.75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9" ht="33.75" customHeight="1" thickBot="1" x14ac:dyDescent="0.3">
      <c r="A6" s="875" t="s">
        <v>54</v>
      </c>
      <c r="B6" s="875" t="s">
        <v>14</v>
      </c>
      <c r="C6" s="898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9" ht="70.5" thickBot="1" x14ac:dyDescent="0.3">
      <c r="A7" s="876"/>
      <c r="B7" s="876"/>
      <c r="C7" s="899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9" ht="78.75" customHeight="1" x14ac:dyDescent="0.25">
      <c r="A8" s="909" t="s">
        <v>0</v>
      </c>
      <c r="B8" s="897">
        <v>46349</v>
      </c>
      <c r="C8" s="448" t="s">
        <v>10</v>
      </c>
      <c r="D8" s="298"/>
      <c r="E8" s="282"/>
      <c r="F8" s="282"/>
      <c r="G8" s="282"/>
      <c r="H8" s="519"/>
      <c r="I8" s="344"/>
    </row>
    <row r="9" spans="1:9" ht="78.75" customHeight="1" x14ac:dyDescent="0.25">
      <c r="A9" s="913"/>
      <c r="B9" s="862"/>
      <c r="C9" s="458" t="s">
        <v>11</v>
      </c>
      <c r="D9" s="518"/>
      <c r="E9" s="265"/>
      <c r="F9" s="265"/>
      <c r="G9" s="361"/>
      <c r="H9" s="361"/>
      <c r="I9" s="388"/>
    </row>
    <row r="10" spans="1:9" ht="78.75" customHeight="1" x14ac:dyDescent="0.25">
      <c r="A10" s="913"/>
      <c r="B10" s="862"/>
      <c r="C10" s="458" t="s">
        <v>12</v>
      </c>
      <c r="D10" s="392"/>
      <c r="E10" s="361"/>
      <c r="F10" s="361"/>
      <c r="G10" s="361"/>
      <c r="H10" s="432"/>
      <c r="I10" s="478"/>
    </row>
    <row r="11" spans="1:9" ht="78.75" customHeight="1" x14ac:dyDescent="0.25">
      <c r="A11" s="913"/>
      <c r="B11" s="862"/>
      <c r="C11" s="458" t="s">
        <v>13</v>
      </c>
      <c r="D11" s="392"/>
      <c r="E11" s="361"/>
      <c r="F11" s="361"/>
      <c r="G11" s="361"/>
      <c r="H11" s="432"/>
      <c r="I11" s="388"/>
    </row>
    <row r="12" spans="1:9" ht="78.75" customHeight="1" thickBot="1" x14ac:dyDescent="0.3">
      <c r="A12" s="913"/>
      <c r="B12" s="862"/>
      <c r="C12" s="449" t="s">
        <v>15</v>
      </c>
      <c r="D12" s="586"/>
      <c r="E12" s="312"/>
      <c r="F12" s="312"/>
      <c r="G12" s="312"/>
      <c r="H12" s="312"/>
      <c r="I12" s="335"/>
    </row>
    <row r="13" spans="1:9" ht="78.75" customHeight="1" x14ac:dyDescent="0.25">
      <c r="A13" s="909" t="s">
        <v>1</v>
      </c>
      <c r="B13" s="861">
        <f>B8+1</f>
        <v>46350</v>
      </c>
      <c r="C13" s="472" t="s">
        <v>10</v>
      </c>
      <c r="D13" s="485"/>
      <c r="E13" s="585"/>
      <c r="F13" s="585"/>
      <c r="G13" s="585"/>
      <c r="H13" s="436"/>
      <c r="I13" s="437"/>
    </row>
    <row r="14" spans="1:9" ht="78.75" customHeight="1" x14ac:dyDescent="0.25">
      <c r="A14" s="913"/>
      <c r="B14" s="862"/>
      <c r="C14" s="473" t="s">
        <v>11</v>
      </c>
      <c r="D14" s="392"/>
      <c r="E14" s="361"/>
      <c r="F14" s="361"/>
      <c r="G14" s="361"/>
      <c r="H14" s="265"/>
      <c r="I14" s="266"/>
    </row>
    <row r="15" spans="1:9" ht="78.75" customHeight="1" x14ac:dyDescent="0.25">
      <c r="A15" s="913"/>
      <c r="B15" s="862"/>
      <c r="C15" s="473" t="s">
        <v>12</v>
      </c>
      <c r="D15" s="392"/>
      <c r="E15" s="265"/>
      <c r="F15" s="265"/>
      <c r="G15" s="265"/>
      <c r="H15" s="301"/>
      <c r="I15" s="478"/>
    </row>
    <row r="16" spans="1:9" ht="78.75" customHeight="1" x14ac:dyDescent="0.25">
      <c r="A16" s="913"/>
      <c r="B16" s="862"/>
      <c r="C16" s="473" t="s">
        <v>13</v>
      </c>
      <c r="D16" s="392"/>
      <c r="E16" s="265"/>
      <c r="F16" s="265"/>
      <c r="G16" s="265"/>
      <c r="H16" s="265"/>
      <c r="I16" s="478"/>
    </row>
    <row r="17" spans="1:11" ht="78.75" customHeight="1" x14ac:dyDescent="0.25">
      <c r="A17" s="913"/>
      <c r="B17" s="862"/>
      <c r="C17" s="456" t="s">
        <v>15</v>
      </c>
      <c r="D17" s="511"/>
      <c r="E17" s="510"/>
      <c r="F17" s="510"/>
      <c r="G17" s="509"/>
      <c r="H17" s="509"/>
      <c r="I17" s="183"/>
    </row>
    <row r="18" spans="1:11" ht="78.75" customHeight="1" thickBot="1" x14ac:dyDescent="0.3">
      <c r="A18" s="913"/>
      <c r="B18" s="862"/>
      <c r="C18" s="474" t="s">
        <v>64</v>
      </c>
      <c r="D18" s="576"/>
      <c r="E18" s="404"/>
      <c r="F18" s="404"/>
      <c r="G18" s="577"/>
      <c r="H18" s="577"/>
      <c r="I18" s="578"/>
    </row>
    <row r="19" spans="1:11" ht="78.75" customHeight="1" x14ac:dyDescent="0.25">
      <c r="A19" s="909" t="s">
        <v>2</v>
      </c>
      <c r="B19" s="861">
        <f>B13+1</f>
        <v>46351</v>
      </c>
      <c r="C19" s="448" t="s">
        <v>10</v>
      </c>
      <c r="D19" s="508"/>
      <c r="E19" s="436"/>
      <c r="F19" s="436"/>
      <c r="G19" s="436"/>
      <c r="H19" s="436"/>
      <c r="I19" s="437"/>
    </row>
    <row r="20" spans="1:11" ht="78.75" customHeight="1" x14ac:dyDescent="0.25">
      <c r="A20" s="913"/>
      <c r="B20" s="862"/>
      <c r="C20" s="458" t="s">
        <v>11</v>
      </c>
      <c r="D20" s="264"/>
      <c r="E20" s="265"/>
      <c r="F20" s="265"/>
      <c r="G20" s="265"/>
      <c r="H20" s="265"/>
      <c r="I20" s="266"/>
    </row>
    <row r="21" spans="1:11" ht="78.75" customHeight="1" x14ac:dyDescent="0.25">
      <c r="A21" s="913"/>
      <c r="B21" s="862"/>
      <c r="C21" s="458" t="s">
        <v>12</v>
      </c>
      <c r="D21" s="392"/>
      <c r="E21" s="384"/>
      <c r="F21" s="384"/>
      <c r="G21" s="265"/>
      <c r="H21" s="265"/>
      <c r="I21" s="478"/>
      <c r="K21" s="3"/>
    </row>
    <row r="22" spans="1:11" ht="78.75" customHeight="1" x14ac:dyDescent="0.25">
      <c r="A22" s="913"/>
      <c r="B22" s="862"/>
      <c r="C22" s="458" t="s">
        <v>13</v>
      </c>
      <c r="D22" s="392"/>
      <c r="E22" s="361"/>
      <c r="F22" s="361"/>
      <c r="G22" s="265"/>
      <c r="H22" s="265"/>
      <c r="I22" s="478"/>
    </row>
    <row r="23" spans="1:11" ht="78.75" customHeight="1" thickBot="1" x14ac:dyDescent="0.3">
      <c r="A23" s="915"/>
      <c r="B23" s="862"/>
      <c r="C23" s="449" t="s">
        <v>15</v>
      </c>
      <c r="D23" s="206"/>
      <c r="E23" s="429"/>
      <c r="F23" s="429"/>
      <c r="G23" s="207"/>
      <c r="H23" s="207"/>
      <c r="I23" s="208"/>
    </row>
    <row r="24" spans="1:11" ht="78.75" customHeight="1" x14ac:dyDescent="0.25">
      <c r="A24" s="909" t="s">
        <v>3</v>
      </c>
      <c r="B24" s="861">
        <f>B19+1</f>
        <v>46352</v>
      </c>
      <c r="C24" s="472" t="s">
        <v>10</v>
      </c>
      <c r="D24" s="285"/>
      <c r="E24" s="286"/>
      <c r="F24" s="286"/>
      <c r="G24" s="286"/>
      <c r="H24" s="286"/>
      <c r="I24" s="303"/>
    </row>
    <row r="25" spans="1:11" ht="78.75" customHeight="1" x14ac:dyDescent="0.25">
      <c r="A25" s="910"/>
      <c r="B25" s="862"/>
      <c r="C25" s="473" t="s">
        <v>11</v>
      </c>
      <c r="D25" s="267"/>
      <c r="E25" s="234"/>
      <c r="F25" s="234"/>
      <c r="G25" s="301"/>
      <c r="H25" s="234"/>
      <c r="I25" s="268"/>
    </row>
    <row r="26" spans="1:11" ht="78.75" customHeight="1" x14ac:dyDescent="0.25">
      <c r="A26" s="910"/>
      <c r="B26" s="862"/>
      <c r="C26" s="473" t="s">
        <v>12</v>
      </c>
      <c r="D26" s="392"/>
      <c r="E26" s="361"/>
      <c r="F26" s="416"/>
      <c r="G26" s="416"/>
      <c r="H26" s="384"/>
      <c r="I26" s="443"/>
    </row>
    <row r="27" spans="1:11" ht="78.75" customHeight="1" x14ac:dyDescent="0.25">
      <c r="A27" s="910"/>
      <c r="B27" s="862"/>
      <c r="C27" s="473" t="s">
        <v>13</v>
      </c>
      <c r="D27" s="485"/>
      <c r="E27" s="361"/>
      <c r="F27" s="361"/>
      <c r="G27" s="361"/>
      <c r="H27" s="384"/>
      <c r="I27" s="443"/>
    </row>
    <row r="28" spans="1:11" ht="78.75" customHeight="1" thickBot="1" x14ac:dyDescent="0.3">
      <c r="A28" s="911"/>
      <c r="B28" s="862"/>
      <c r="C28" s="474" t="s">
        <v>15</v>
      </c>
      <c r="D28" s="206"/>
      <c r="E28" s="438"/>
      <c r="F28" s="438"/>
      <c r="G28" s="429"/>
      <c r="H28" s="429"/>
      <c r="I28" s="431"/>
    </row>
    <row r="29" spans="1:11" ht="78.75" customHeight="1" x14ac:dyDescent="0.25">
      <c r="A29" s="909" t="s">
        <v>4</v>
      </c>
      <c r="B29" s="861">
        <f>B24+1</f>
        <v>46353</v>
      </c>
      <c r="C29" s="448" t="s">
        <v>10</v>
      </c>
      <c r="D29" s="276"/>
      <c r="E29" s="277"/>
      <c r="F29" s="277"/>
      <c r="G29" s="277"/>
      <c r="H29" s="343"/>
      <c r="I29" s="278"/>
    </row>
    <row r="30" spans="1:11" ht="78.75" customHeight="1" x14ac:dyDescent="0.25">
      <c r="A30" s="913"/>
      <c r="B30" s="862"/>
      <c r="C30" s="458" t="s">
        <v>11</v>
      </c>
      <c r="D30" s="269"/>
      <c r="E30" s="233"/>
      <c r="F30" s="233"/>
      <c r="G30" s="233"/>
      <c r="H30" s="432"/>
      <c r="I30" s="270"/>
    </row>
    <row r="31" spans="1:11" ht="78.75" customHeight="1" x14ac:dyDescent="0.25">
      <c r="A31" s="913"/>
      <c r="B31" s="862"/>
      <c r="C31" s="458" t="s">
        <v>12</v>
      </c>
      <c r="D31" s="267"/>
      <c r="E31" s="234"/>
      <c r="F31" s="234"/>
      <c r="G31" s="234"/>
      <c r="H31" s="234"/>
      <c r="I31" s="268"/>
    </row>
    <row r="32" spans="1:11" ht="78.75" customHeight="1" x14ac:dyDescent="0.25">
      <c r="A32" s="913"/>
      <c r="B32" s="862"/>
      <c r="C32" s="458" t="s">
        <v>13</v>
      </c>
      <c r="D32" s="267"/>
      <c r="E32" s="234"/>
      <c r="F32" s="234"/>
      <c r="G32" s="234"/>
      <c r="H32" s="301"/>
      <c r="I32" s="268"/>
    </row>
    <row r="33" spans="1:9" ht="78.75" customHeight="1" thickBot="1" x14ac:dyDescent="0.3">
      <c r="A33" s="915"/>
      <c r="B33" s="862"/>
      <c r="C33" s="449" t="s">
        <v>15</v>
      </c>
      <c r="D33" s="271"/>
      <c r="E33" s="272"/>
      <c r="F33" s="272"/>
      <c r="G33" s="272"/>
      <c r="H33" s="272"/>
      <c r="I33" s="273"/>
    </row>
    <row r="34" spans="1:9" ht="50.25" customHeight="1" x14ac:dyDescent="0.25">
      <c r="A34" s="862" t="s">
        <v>47</v>
      </c>
      <c r="B34" s="861">
        <f>B29+1</f>
        <v>46354</v>
      </c>
      <c r="C34" s="475" t="s">
        <v>10</v>
      </c>
      <c r="D34" s="285"/>
      <c r="E34" s="286"/>
      <c r="F34" s="286"/>
      <c r="G34" s="286"/>
      <c r="H34" s="286"/>
      <c r="I34" s="303"/>
    </row>
    <row r="35" spans="1:9" ht="50.25" customHeight="1" x14ac:dyDescent="0.25">
      <c r="A35" s="862"/>
      <c r="B35" s="862"/>
      <c r="C35" s="476" t="s">
        <v>11</v>
      </c>
      <c r="D35" s="264"/>
      <c r="E35" s="265"/>
      <c r="F35" s="265"/>
      <c r="G35" s="233"/>
      <c r="H35" s="265"/>
      <c r="I35" s="266"/>
    </row>
    <row r="36" spans="1:9" ht="50.25" customHeight="1" x14ac:dyDescent="0.25">
      <c r="A36" s="862"/>
      <c r="B36" s="862"/>
      <c r="C36" s="476" t="s">
        <v>12</v>
      </c>
      <c r="D36" s="267"/>
      <c r="E36" s="234"/>
      <c r="F36" s="234"/>
      <c r="G36" s="234"/>
      <c r="H36" s="234"/>
      <c r="I36" s="268"/>
    </row>
    <row r="37" spans="1:9" ht="50.25" customHeight="1" x14ac:dyDescent="0.25">
      <c r="A37" s="862"/>
      <c r="B37" s="862"/>
      <c r="C37" s="476" t="s">
        <v>13</v>
      </c>
      <c r="D37" s="267"/>
      <c r="E37" s="234"/>
      <c r="F37" s="234"/>
      <c r="G37" s="234"/>
      <c r="H37" s="234"/>
      <c r="I37" s="268"/>
    </row>
    <row r="38" spans="1:9" ht="50.25" customHeight="1" thickBot="1" x14ac:dyDescent="0.3">
      <c r="A38" s="863"/>
      <c r="B38" s="863"/>
      <c r="C38" s="477" t="s">
        <v>15</v>
      </c>
      <c r="D38" s="206"/>
      <c r="E38" s="429"/>
      <c r="F38" s="429"/>
      <c r="G38" s="429"/>
      <c r="H38" s="429"/>
      <c r="I38" s="430"/>
    </row>
    <row r="39" spans="1:9" ht="28.5" customHeight="1" x14ac:dyDescent="0.3">
      <c r="A39" s="2"/>
      <c r="B39" s="2"/>
      <c r="C39" s="44"/>
      <c r="D39" s="170" t="s">
        <v>86</v>
      </c>
      <c r="E39" s="44"/>
      <c r="F39" s="44"/>
      <c r="G39" s="44"/>
      <c r="H39" s="44"/>
      <c r="I39" s="44"/>
    </row>
    <row r="40" spans="1:9" s="19" customFormat="1" ht="26.25" x14ac:dyDescent="0.4">
      <c r="A40" s="18"/>
      <c r="B40" s="18"/>
      <c r="C40" s="104" t="str">
        <f>'01.09'!C39</f>
        <v>*Л. Речевое общение в профессиональной деятельности*</v>
      </c>
      <c r="D40" s="105">
        <f>'16.11'!D40+COUNTIF(D$8:D$38,$C40)</f>
        <v>5</v>
      </c>
      <c r="E40" s="105">
        <f>'16.11'!E40+COUNTIF(E$8:E$38,$C40)</f>
        <v>5</v>
      </c>
      <c r="F40" s="105">
        <f>'16.11'!F40+COUNTIF(F$8:F$38,$C40)</f>
        <v>5</v>
      </c>
      <c r="G40" s="105">
        <f>'16.11'!G40+COUNTIF(G$8:G$38,$C40)</f>
        <v>5</v>
      </c>
      <c r="H40" s="105">
        <f>'16.11'!H40+COUNTIF(H$8:H$38,$C40)</f>
        <v>5</v>
      </c>
      <c r="I40" s="105">
        <f>'16.11'!I40+COUNTIF(I$8:I$38,$C40)</f>
        <v>5</v>
      </c>
    </row>
    <row r="41" spans="1:9" s="19" customFormat="1" ht="26.25" x14ac:dyDescent="0.4">
      <c r="A41" s="18"/>
      <c r="B41" s="18"/>
      <c r="C41" s="104" t="str">
        <f>'01.09'!C40</f>
        <v>*Пр. Речевое общение в профессиональной деятельности*</v>
      </c>
      <c r="D41" s="106">
        <f>'16.11'!D41+COUNTIF(D$8:D$38,$C41)</f>
        <v>4</v>
      </c>
      <c r="E41" s="106">
        <f>'16.11'!E41+COUNTIF(E$8:E$38,$C41)</f>
        <v>4</v>
      </c>
      <c r="F41" s="105">
        <f>'16.11'!F41+COUNTIF(F$8:F$38,$C41)</f>
        <v>4</v>
      </c>
      <c r="G41" s="106">
        <f>'16.11'!G41+COUNTIF(G$8:G$38,$C41)</f>
        <v>4</v>
      </c>
      <c r="H41" s="106">
        <f>'16.11'!H41+COUNTIF(H$8:H$38,$C41)</f>
        <v>4</v>
      </c>
      <c r="I41" s="106">
        <f>'16.11'!I41+COUNTIF(I$8:I$38,$C41)</f>
        <v>4</v>
      </c>
    </row>
    <row r="42" spans="1:9" s="19" customFormat="1" ht="26.25" x14ac:dyDescent="0.4">
      <c r="A42" s="18"/>
      <c r="B42" s="18"/>
      <c r="C42" s="104" t="str">
        <f>'01.09'!C41</f>
        <v>*Л. Элективные дисциплины по ФКиС: Силовая подготовка*</v>
      </c>
      <c r="D42" s="105">
        <f>'16.11'!D42+COUNTIF(D$8:D$38,$C42)</f>
        <v>1</v>
      </c>
      <c r="E42" s="105">
        <f>'16.11'!E42+COUNTIF(E$8:E$38,$C42)</f>
        <v>1</v>
      </c>
      <c r="F42" s="105">
        <f>'16.11'!F42+COUNTIF(F$8:F$38,$C42)</f>
        <v>1</v>
      </c>
      <c r="G42" s="105">
        <f>'16.11'!G42+COUNTIF(G$8:G$38,$C42)</f>
        <v>1</v>
      </c>
      <c r="H42" s="105">
        <f>'16.11'!H42+COUNTIF(H$8:H$38,$C42)</f>
        <v>1</v>
      </c>
      <c r="I42" s="105">
        <f>'16.11'!I42+COUNTIF(I$8:I$38,$C42)</f>
        <v>1</v>
      </c>
    </row>
    <row r="43" spans="1:9" s="19" customFormat="1" ht="26.25" x14ac:dyDescent="0.4">
      <c r="A43" s="18"/>
      <c r="B43" s="18"/>
      <c r="C43" s="104" t="str">
        <f>'01.09'!C42</f>
        <v>*Пр. Элективные дисциплины по ФКиС: Силовая подготовка*</v>
      </c>
      <c r="D43" s="106">
        <f>'16.11'!D43+COUNTIF(D$8:D$38,$C43)</f>
        <v>8</v>
      </c>
      <c r="E43" s="106">
        <f>'16.11'!E43+COUNTIF(E$8:E$38,$C43)</f>
        <v>9</v>
      </c>
      <c r="F43" s="105">
        <f>'16.11'!F43+COUNTIF(F$8:F$38,$C43)</f>
        <v>9</v>
      </c>
      <c r="G43" s="106">
        <f>'16.11'!G43+COUNTIF(G$8:G$38,$C43)</f>
        <v>9</v>
      </c>
      <c r="H43" s="106">
        <f>'16.11'!H43+COUNTIF(H$8:H$38,$C43)</f>
        <v>9</v>
      </c>
      <c r="I43" s="106">
        <f>'16.11'!I43+COUNTIF(I$8:I$38,$C43)</f>
        <v>8</v>
      </c>
    </row>
    <row r="44" spans="1:9" s="19" customFormat="1" ht="26.25" x14ac:dyDescent="0.4">
      <c r="A44" s="18"/>
      <c r="B44" s="18"/>
      <c r="C44" s="104" t="str">
        <f>'01.09'!C43</f>
        <v>*Л. Анатомия*</v>
      </c>
      <c r="D44" s="105">
        <f>'16.11'!D44+COUNTIF(D$8:D$38,$C44)</f>
        <v>4</v>
      </c>
      <c r="E44" s="105">
        <f>'16.11'!E44+COUNTIF(E$8:E$38,$C44)</f>
        <v>4</v>
      </c>
      <c r="F44" s="105">
        <f>'16.11'!F44+COUNTIF(F$8:F$38,$C44)</f>
        <v>4</v>
      </c>
      <c r="G44" s="105">
        <f>'16.11'!G44+COUNTIF(G$8:G$38,$C44)</f>
        <v>4</v>
      </c>
      <c r="H44" s="105">
        <f>'16.11'!H44+COUNTIF(H$8:H$38,$C44)</f>
        <v>4</v>
      </c>
      <c r="I44" s="105">
        <f>'16.11'!I44+COUNTIF(I$8:I$38,$C44)</f>
        <v>4</v>
      </c>
    </row>
    <row r="45" spans="1:9" s="19" customFormat="1" ht="26.25" x14ac:dyDescent="0.4">
      <c r="A45" s="18"/>
      <c r="B45" s="18"/>
      <c r="C45" s="104" t="str">
        <f>'01.09'!C44</f>
        <v>*Пр. Анатомия*</v>
      </c>
      <c r="D45" s="106">
        <f>'16.11'!D45+COUNTIF(D$8:D$38,$C45)</f>
        <v>4</v>
      </c>
      <c r="E45" s="106">
        <f>'16.11'!E45+COUNTIF(E$8:E$38,$C45)</f>
        <v>4</v>
      </c>
      <c r="F45" s="105">
        <f>'16.11'!F45+COUNTIF(F$8:F$38,$C45)</f>
        <v>4</v>
      </c>
      <c r="G45" s="106">
        <f>'16.11'!G45+COUNTIF(G$8:G$38,$C45)</f>
        <v>4</v>
      </c>
      <c r="H45" s="106">
        <f>'16.11'!H45+COUNTIF(H$8:H$38,$C45)</f>
        <v>4</v>
      </c>
      <c r="I45" s="106">
        <f>'16.11'!I45+COUNTIF(I$8:I$38,$C45)</f>
        <v>4</v>
      </c>
    </row>
    <row r="46" spans="1:9" s="19" customFormat="1" ht="26.25" x14ac:dyDescent="0.4">
      <c r="A46" s="18"/>
      <c r="B46" s="18"/>
      <c r="C46" s="104" t="str">
        <f>'01.09'!C45</f>
        <v>*Л. Теория и методика*</v>
      </c>
      <c r="D46" s="105">
        <f>'16.11'!D46+COUNTIF(D$8:D$38,$C46)</f>
        <v>5</v>
      </c>
      <c r="E46" s="105">
        <f>'16.11'!E46+COUNTIF(E$8:E$38,$C46)</f>
        <v>4</v>
      </c>
      <c r="F46" s="105">
        <f>'16.11'!F46+COUNTIF(F$8:F$38,$C46)</f>
        <v>4</v>
      </c>
      <c r="G46" s="105">
        <f>'16.11'!G46+COUNTIF(G$8:G$38,$C46)</f>
        <v>4</v>
      </c>
      <c r="H46" s="105">
        <f>'16.11'!H46+COUNTIF(H$8:H$38,$C46)</f>
        <v>5</v>
      </c>
      <c r="I46" s="105">
        <f>'16.11'!I46+COUNTIF(I$8:I$38,$C46)</f>
        <v>3</v>
      </c>
    </row>
    <row r="47" spans="1:9" s="19" customFormat="1" ht="26.25" x14ac:dyDescent="0.4">
      <c r="A47" s="18"/>
      <c r="B47" s="18"/>
      <c r="C47" s="104" t="str">
        <f>'01.09'!C46</f>
        <v>*Пр. Теория и методика*</v>
      </c>
      <c r="D47" s="106">
        <f>'16.11'!D47+COUNTIF(D$8:D$38,$C47)</f>
        <v>24</v>
      </c>
      <c r="E47" s="106">
        <f>'16.11'!E47+COUNTIF(E$8:E$38,$C47)</f>
        <v>23</v>
      </c>
      <c r="F47" s="105">
        <f>'16.11'!F47+COUNTIF(F$8:F$38,$C47)</f>
        <v>23</v>
      </c>
      <c r="G47" s="106">
        <f>'16.11'!G47+COUNTIF(G$8:G$38,$C47)</f>
        <v>23</v>
      </c>
      <c r="H47" s="106">
        <f>'16.11'!H47+COUNTIF(H$8:H$38,$C47)</f>
        <v>26</v>
      </c>
      <c r="I47" s="106">
        <f>'16.11'!I47+COUNTIF(I$8:I$38,$C47)</f>
        <v>20</v>
      </c>
    </row>
    <row r="48" spans="1:9" s="19" customFormat="1" ht="26.25" x14ac:dyDescent="0.4">
      <c r="A48" s="18"/>
      <c r="B48" s="18"/>
      <c r="C48" s="104" t="str">
        <f>'01.09'!C47</f>
        <v>*Л. Физическая культура и спорт*</v>
      </c>
      <c r="D48" s="105">
        <f>'16.11'!D48+COUNTIF(D$8:D$38,$C48)</f>
        <v>5</v>
      </c>
      <c r="E48" s="105">
        <f>'16.11'!E48+COUNTIF(E$8:E$38,$C48)</f>
        <v>5</v>
      </c>
      <c r="F48" s="105">
        <f>'16.11'!F48+COUNTIF(F$8:F$38,$C48)</f>
        <v>5</v>
      </c>
      <c r="G48" s="105">
        <f>'16.11'!G48+COUNTIF(G$8:G$38,$C48)</f>
        <v>5</v>
      </c>
      <c r="H48" s="105">
        <f>'16.11'!H48+COUNTIF(H$8:H$38,$C48)</f>
        <v>5</v>
      </c>
      <c r="I48" s="105">
        <f>'16.11'!I48+COUNTIF(I$8:I$38,$C48)</f>
        <v>5</v>
      </c>
    </row>
    <row r="49" spans="1:9" s="19" customFormat="1" ht="26.25" x14ac:dyDescent="0.4">
      <c r="A49" s="18"/>
      <c r="B49" s="18"/>
      <c r="C49" s="104" t="str">
        <f>'01.09'!C48</f>
        <v>*Пр. Физическая культура и спорт*</v>
      </c>
      <c r="D49" s="106">
        <f>'16.11'!D49+COUNTIF(D$8:D$38,$C49)</f>
        <v>5</v>
      </c>
      <c r="E49" s="106">
        <f>'16.11'!E49+COUNTIF(E$8:E$38,$C49)</f>
        <v>5</v>
      </c>
      <c r="F49" s="105">
        <f>'16.11'!F49+COUNTIF(F$8:F$38,$C49)</f>
        <v>5</v>
      </c>
      <c r="G49" s="106">
        <f>'16.11'!G49+COUNTIF(G$8:G$38,$C49)</f>
        <v>5</v>
      </c>
      <c r="H49" s="106">
        <f>'16.11'!H49+COUNTIF(H$8:H$38,$C49)</f>
        <v>5</v>
      </c>
      <c r="I49" s="106">
        <f>'16.11'!I49+COUNTIF(I$8:I$38,$C49)</f>
        <v>5</v>
      </c>
    </row>
    <row r="50" spans="1:9" s="19" customFormat="1" ht="26.25" x14ac:dyDescent="0.4">
      <c r="A50" s="18"/>
      <c r="B50" s="18"/>
      <c r="C50" s="104" t="str">
        <f>'01.09'!C49</f>
        <v>*Л. Информационные технологии*</v>
      </c>
      <c r="D50" s="105">
        <f>'16.11'!D50+COUNTIF(D$8:D$38,$C50)</f>
        <v>2</v>
      </c>
      <c r="E50" s="105">
        <f>'16.11'!E50+COUNTIF(E$8:E$38,$C50)</f>
        <v>2</v>
      </c>
      <c r="F50" s="105">
        <f>'16.11'!F50+COUNTIF(F$8:F$38,$C50)</f>
        <v>2</v>
      </c>
      <c r="G50" s="105">
        <f>'16.11'!G50+COUNTIF(G$8:G$38,$C50)</f>
        <v>2</v>
      </c>
      <c r="H50" s="105">
        <f>'16.11'!H50+COUNTIF(H$8:H$38,$C50)</f>
        <v>2</v>
      </c>
      <c r="I50" s="105">
        <f>'16.11'!I50+COUNTIF(I$8:I$38,$C50)</f>
        <v>2</v>
      </c>
    </row>
    <row r="51" spans="1:9" s="19" customFormat="1" ht="26.25" x14ac:dyDescent="0.4">
      <c r="A51" s="18"/>
      <c r="B51" s="18"/>
      <c r="C51" s="104" t="str">
        <f>'01.09'!C50</f>
        <v>*Пр. Информационные технологии*</v>
      </c>
      <c r="D51" s="106">
        <f>'16.11'!D51+COUNTIF(D$8:D$38,$C51)</f>
        <v>8</v>
      </c>
      <c r="E51" s="106">
        <f>'16.11'!E51+COUNTIF(E$8:E$38,$C51)</f>
        <v>8</v>
      </c>
      <c r="F51" s="105">
        <f>'16.11'!F51+COUNTIF(F$8:F$38,$C51)</f>
        <v>8</v>
      </c>
      <c r="G51" s="106">
        <f>'16.11'!G51+COUNTIF(G$8:G$38,$C51)</f>
        <v>8</v>
      </c>
      <c r="H51" s="106">
        <f>'16.11'!H51+COUNTIF(H$8:H$38,$C51)</f>
        <v>8</v>
      </c>
      <c r="I51" s="106">
        <f>'16.11'!I51+COUNTIF(I$8:I$38,$C51)</f>
        <v>8</v>
      </c>
    </row>
    <row r="52" spans="1:9" s="19" customFormat="1" ht="26.25" x14ac:dyDescent="0.4">
      <c r="A52" s="18"/>
      <c r="B52" s="18"/>
      <c r="C52" s="104" t="str">
        <f>'01.09'!C51</f>
        <v>*Л. Гимнастика*</v>
      </c>
      <c r="D52" s="105">
        <f>'16.11'!D52+COUNTIF(D$8:D$38,$C52)</f>
        <v>3</v>
      </c>
      <c r="E52" s="105">
        <f>'16.11'!E52+COUNTIF(E$8:E$38,$C52)</f>
        <v>3</v>
      </c>
      <c r="F52" s="105">
        <f>'16.11'!F52+COUNTIF(F$8:F$38,$C52)</f>
        <v>3</v>
      </c>
      <c r="G52" s="105">
        <f>'16.11'!G52+COUNTIF(G$8:G$38,$C52)</f>
        <v>3</v>
      </c>
      <c r="H52" s="105">
        <f>'16.11'!H52+COUNTIF(H$8:H$38,$C52)</f>
        <v>3</v>
      </c>
      <c r="I52" s="105">
        <f>'16.11'!I52+COUNTIF(I$8:I$38,$C52)</f>
        <v>3</v>
      </c>
    </row>
    <row r="53" spans="1:9" s="19" customFormat="1" ht="26.25" x14ac:dyDescent="0.4">
      <c r="A53" s="18"/>
      <c r="B53" s="18"/>
      <c r="C53" s="104" t="str">
        <f>'01.09'!C52</f>
        <v>*Пр. Гимнастика*</v>
      </c>
      <c r="D53" s="106">
        <f>'16.11'!D53+COUNTIF(D$8:D$38,$C53)</f>
        <v>8</v>
      </c>
      <c r="E53" s="106">
        <f>'16.11'!E53+COUNTIF(E$8:E$38,$C53)</f>
        <v>13</v>
      </c>
      <c r="F53" s="105">
        <f>'16.11'!F53+COUNTIF(F$8:F$38,$C53)</f>
        <v>13</v>
      </c>
      <c r="G53" s="106">
        <f>'16.11'!G53+COUNTIF(G$8:G$38,$C53)</f>
        <v>12</v>
      </c>
      <c r="H53" s="106">
        <f>'16.11'!H53+COUNTIF(H$8:H$38,$C53)</f>
        <v>13</v>
      </c>
      <c r="I53" s="106">
        <f>'16.11'!I53+COUNTIF(I$8:I$38,$C53)</f>
        <v>12</v>
      </c>
    </row>
    <row r="54" spans="1:9" s="19" customFormat="1" ht="26.25" x14ac:dyDescent="0.4">
      <c r="A54" s="18"/>
      <c r="B54" s="18"/>
      <c r="C54" s="104" t="str">
        <f>'01.09'!C53</f>
        <v>*Л. Волейбол*</v>
      </c>
      <c r="D54" s="105">
        <f>'16.11'!D54+COUNTIF(D$8:D$38,$C54)</f>
        <v>1</v>
      </c>
      <c r="E54" s="105">
        <f>'16.11'!E54+COUNTIF(E$8:E$38,$C54)</f>
        <v>1</v>
      </c>
      <c r="F54" s="105">
        <f>'16.11'!F54+COUNTIF(F$8:F$38,$C54)</f>
        <v>1</v>
      </c>
      <c r="G54" s="105">
        <f>'16.11'!G54+COUNTIF(G$8:G$38,$C54)</f>
        <v>1</v>
      </c>
      <c r="H54" s="105">
        <f>'16.11'!H54+COUNTIF(H$8:H$38,$C54)</f>
        <v>1</v>
      </c>
      <c r="I54" s="105">
        <f>'16.11'!I54+COUNTIF(I$8:I$38,$C54)</f>
        <v>1</v>
      </c>
    </row>
    <row r="55" spans="1:9" s="19" customFormat="1" ht="26.25" x14ac:dyDescent="0.4">
      <c r="A55" s="18"/>
      <c r="B55" s="18"/>
      <c r="C55" s="104" t="str">
        <f>'01.09'!C54</f>
        <v>*Пр. Волейбол*</v>
      </c>
      <c r="D55" s="106">
        <f>'16.11'!D55+COUNTIF(D$8:D$38,$C55)</f>
        <v>16</v>
      </c>
      <c r="E55" s="106">
        <f>'16.11'!E55+COUNTIF(E$8:E$38,$C55)</f>
        <v>16</v>
      </c>
      <c r="F55" s="105">
        <f>'16.11'!F55+COUNTIF(F$8:F$38,$C55)</f>
        <v>8</v>
      </c>
      <c r="G55" s="106">
        <f>'16.11'!G55+COUNTIF(G$8:G$38,$C55)</f>
        <v>8</v>
      </c>
      <c r="H55" s="106">
        <f>'16.11'!H55+COUNTIF(H$8:H$38,$C55)</f>
        <v>16</v>
      </c>
      <c r="I55" s="106">
        <f>'16.11'!I55+COUNTIF(I$8:I$38,$C55)</f>
        <v>16</v>
      </c>
    </row>
    <row r="56" spans="1:9" s="19" customFormat="1" ht="26.25" x14ac:dyDescent="0.4">
      <c r="A56" s="18"/>
      <c r="B56" s="18"/>
      <c r="C56" s="104" t="str">
        <f>'01.09'!C55</f>
        <v>*Л. Лыжные гонки*</v>
      </c>
      <c r="D56" s="105">
        <f>'16.11'!D56+COUNTIF(D$8:D$38,$C56)</f>
        <v>0</v>
      </c>
      <c r="E56" s="105">
        <f>'16.11'!E56+COUNTIF(E$8:E$38,$C56)</f>
        <v>0</v>
      </c>
      <c r="F56" s="105">
        <f>'16.11'!F56+COUNTIF(F$8:F$38,$C56)</f>
        <v>0</v>
      </c>
      <c r="G56" s="105">
        <f>'16.11'!G56+COUNTIF(G$8:G$38,$C56)</f>
        <v>0</v>
      </c>
      <c r="H56" s="105">
        <f>'16.11'!H56+COUNTIF(H$8:H$38,$C56)</f>
        <v>0</v>
      </c>
      <c r="I56" s="105">
        <f>'16.11'!I56+COUNTIF(I$8:I$38,$C56)</f>
        <v>0</v>
      </c>
    </row>
    <row r="57" spans="1:9" s="19" customFormat="1" ht="26.25" x14ac:dyDescent="0.4">
      <c r="A57" s="18"/>
      <c r="B57" s="18"/>
      <c r="C57" s="104" t="str">
        <f>'01.09'!C56</f>
        <v>*Пр. Лыжные гонки*</v>
      </c>
      <c r="D57" s="106">
        <f>'16.11'!D57+COUNTIF(D$8:D$38,$C57)</f>
        <v>0</v>
      </c>
      <c r="E57" s="106">
        <f>'16.11'!E57+COUNTIF(E$8:E$38,$C57)</f>
        <v>0</v>
      </c>
      <c r="F57" s="105">
        <f>'16.11'!F57+COUNTIF(F$8:F$38,$C57)</f>
        <v>0</v>
      </c>
      <c r="G57" s="106">
        <f>'16.11'!G57+COUNTIF(G$8:G$38,$C57)</f>
        <v>0</v>
      </c>
      <c r="H57" s="106">
        <f>'16.11'!H57+COUNTIF(H$8:H$38,$C57)</f>
        <v>0</v>
      </c>
      <c r="I57" s="106">
        <f>'16.11'!I57+COUNTIF(I$8:I$38,$C57)</f>
        <v>0</v>
      </c>
    </row>
    <row r="58" spans="1:9" s="19" customFormat="1" ht="26.25" x14ac:dyDescent="0.4">
      <c r="A58" s="18"/>
      <c r="B58" s="18"/>
      <c r="C58" s="104" t="str">
        <f>'01.09'!C57</f>
        <v>*Л. Использование электронной*</v>
      </c>
      <c r="D58" s="105">
        <f>'16.11'!D58+COUNTIF(D$8:D$38,$C58)</f>
        <v>1</v>
      </c>
      <c r="E58" s="105">
        <f>'16.11'!E58+COUNTIF(E$8:E$38,$C58)</f>
        <v>0</v>
      </c>
      <c r="F58" s="105">
        <f>'16.11'!F58+COUNTIF(F$8:F$38,$C58)</f>
        <v>0</v>
      </c>
      <c r="G58" s="105">
        <f>'16.11'!G58+COUNTIF(G$8:G$38,$C58)</f>
        <v>0</v>
      </c>
      <c r="H58" s="105">
        <f>'16.11'!H58+COUNTIF(H$8:H$38,$C58)</f>
        <v>0</v>
      </c>
      <c r="I58" s="105">
        <f>'16.11'!I58+COUNTIF(I$8:I$38,$C58)</f>
        <v>0</v>
      </c>
    </row>
    <row r="59" spans="1:9" s="19" customFormat="1" ht="26.25" x14ac:dyDescent="0.4">
      <c r="A59" s="18"/>
      <c r="B59" s="18"/>
      <c r="C59" s="104" t="str">
        <f>'01.09'!C58</f>
        <v>*Пр. Использование электронной*</v>
      </c>
      <c r="D59" s="106">
        <f>'16.11'!D59+COUNTIF(D$8:D$38,$C59)</f>
        <v>2</v>
      </c>
      <c r="E59" s="106">
        <f>'16.11'!E59+COUNTIF(E$8:E$38,$C59)</f>
        <v>2</v>
      </c>
      <c r="F59" s="105">
        <f>'16.11'!F59+COUNTIF(F$8:F$38,$C59)</f>
        <v>2</v>
      </c>
      <c r="G59" s="106">
        <f>'16.11'!G59+COUNTIF(G$8:G$38,$C59)</f>
        <v>2</v>
      </c>
      <c r="H59" s="106">
        <f>'16.11'!H59+COUNTIF(H$8:H$38,$C59)</f>
        <v>2</v>
      </c>
      <c r="I59" s="106">
        <f>'16.11'!I59+COUNTIF(I$8:I$38,$C59)</f>
        <v>2</v>
      </c>
    </row>
    <row r="60" spans="1:9" s="19" customFormat="1" ht="26.25" x14ac:dyDescent="0.4">
      <c r="A60" s="18"/>
      <c r="B60" s="18"/>
      <c r="C60" s="104" t="str">
        <f>'01.09'!C59</f>
        <v>*Пр. Иностранный язык*</v>
      </c>
      <c r="D60" s="105">
        <f>'16.11'!D60+COUNTIF(D$8:D$38,$C60)</f>
        <v>8</v>
      </c>
      <c r="E60" s="105">
        <f>'16.11'!E60+COUNTIF(E$8:E$38,$C60)</f>
        <v>8</v>
      </c>
      <c r="F60" s="105">
        <f>'16.11'!F60+COUNTIF(F$8:F$38,$C60)</f>
        <v>8</v>
      </c>
      <c r="G60" s="105">
        <f>'16.11'!G60+COUNTIF(G$8:G$38,$C60)</f>
        <v>8</v>
      </c>
      <c r="H60" s="105">
        <f>'16.11'!H60+COUNTIF(H$8:H$38,$C60)</f>
        <v>8</v>
      </c>
      <c r="I60" s="105">
        <f>'16.11'!I60+COUNTIF(I$8:I$38,$C60)</f>
        <v>8</v>
      </c>
    </row>
    <row r="61" spans="1:9" s="19" customFormat="1" ht="26.25" x14ac:dyDescent="0.4">
      <c r="A61" s="18"/>
      <c r="B61" s="18"/>
      <c r="C61" s="104" t="str">
        <f>'01.09'!C60</f>
        <v>*С1-04А-26*</v>
      </c>
      <c r="D61" s="106">
        <f>'16.11'!D61+COUNTIF(D$8:D$38,$C61)</f>
        <v>0</v>
      </c>
      <c r="E61" s="106">
        <f>'16.11'!E61+COUNTIF(E$8:E$38,$C61)</f>
        <v>0</v>
      </c>
      <c r="F61" s="105">
        <f>'16.11'!F61+COUNTIF(F$8:F$38,$C61)</f>
        <v>0</v>
      </c>
      <c r="G61" s="106">
        <f>'16.11'!G61+COUNTIF(G$8:G$38,$C61)</f>
        <v>17</v>
      </c>
      <c r="H61" s="106">
        <f>'16.11'!H61+COUNTIF(H$8:H$38,$C61)</f>
        <v>0</v>
      </c>
      <c r="I61" s="106">
        <f>'16.11'!I61+COUNTIF(I$8:I$38,$C61)</f>
        <v>0</v>
      </c>
    </row>
    <row r="62" spans="1:9" ht="26.25" x14ac:dyDescent="0.4">
      <c r="A62" s="2"/>
      <c r="B62" s="2"/>
      <c r="C62" s="104" t="str">
        <f>'01.09'!C61</f>
        <v>*С1-04Б-26*</v>
      </c>
      <c r="D62" s="105">
        <f>'16.11'!D62+COUNTIF(D$8:D$38,$C62)</f>
        <v>0</v>
      </c>
      <c r="E62" s="105">
        <f>'16.11'!E62+COUNTIF(E$8:E$38,$C62)</f>
        <v>0</v>
      </c>
      <c r="F62" s="105">
        <f>'16.11'!F62+COUNTIF(F$8:F$38,$C62)</f>
        <v>0</v>
      </c>
      <c r="G62" s="105">
        <f>'16.11'!G62+COUNTIF(G$8:G$38,$C62)</f>
        <v>17</v>
      </c>
      <c r="H62" s="105">
        <f>'16.11'!H62+COUNTIF(H$8:H$38,$C62)</f>
        <v>0</v>
      </c>
      <c r="I62" s="105">
        <f>'16.11'!I62+COUNTIF(I$8:I$38,$C62)</f>
        <v>0</v>
      </c>
    </row>
    <row r="63" spans="1:9" ht="26.25" x14ac:dyDescent="0.4">
      <c r="A63" s="2"/>
      <c r="B63" s="2"/>
      <c r="C63" s="104" t="str">
        <f>'01.09'!C62</f>
        <v>*С1-05А-26*</v>
      </c>
      <c r="D63" s="106">
        <f>'16.11'!D63+COUNTIF(D$8:D$38,$C63)</f>
        <v>0</v>
      </c>
      <c r="E63" s="106">
        <f>'16.11'!E63+COUNTIF(E$8:E$38,$C63)</f>
        <v>0</v>
      </c>
      <c r="F63" s="105">
        <f>'16.11'!F63+COUNTIF(F$8:F$38,$C63)</f>
        <v>0</v>
      </c>
      <c r="G63" s="106">
        <f>'16.11'!G63+COUNTIF(G$8:G$38,$C63)</f>
        <v>0</v>
      </c>
      <c r="H63" s="106">
        <f>'16.11'!H63+COUNTIF(H$8:H$38,$C63)</f>
        <v>8</v>
      </c>
      <c r="I63" s="106">
        <f>'16.11'!I63+COUNTIF(I$8:I$38,$C63)</f>
        <v>0</v>
      </c>
    </row>
    <row r="64" spans="1:9" ht="26.25" x14ac:dyDescent="0.4">
      <c r="A64" s="2"/>
      <c r="B64" s="2"/>
      <c r="C64" s="104" t="str">
        <f>'01.09'!C63</f>
        <v>*С1-05Б-26*</v>
      </c>
      <c r="D64" s="105">
        <f>'16.11'!D64+COUNTIF(D$8:D$38,$C64)</f>
        <v>0</v>
      </c>
      <c r="E64" s="105">
        <f>'16.11'!E64+COUNTIF(E$8:E$38,$C64)</f>
        <v>0</v>
      </c>
      <c r="F64" s="105">
        <f>'16.11'!F64+COUNTIF(F$8:F$38,$C64)</f>
        <v>0</v>
      </c>
      <c r="G64" s="105">
        <f>'16.11'!G64+COUNTIF(G$8:G$38,$C64)</f>
        <v>0</v>
      </c>
      <c r="H64" s="105">
        <f>'16.11'!H64+COUNTIF(H$8:H$38,$C64)</f>
        <v>8</v>
      </c>
      <c r="I64" s="105">
        <f>'16.11'!I64+COUNTIF(I$8:I$38,$C64)</f>
        <v>0</v>
      </c>
    </row>
    <row r="65" spans="1:9" ht="26.25" x14ac:dyDescent="0.4">
      <c r="A65" s="2"/>
      <c r="B65" s="2"/>
      <c r="C65" s="104">
        <f>'01.09'!C64</f>
        <v>0</v>
      </c>
      <c r="D65" s="106">
        <f>'16.11'!D65+COUNTIF(D$8:D$38,$C65)</f>
        <v>0</v>
      </c>
      <c r="E65" s="106">
        <f>'16.11'!E65+COUNTIF(E$8:E$38,$C65)</f>
        <v>0</v>
      </c>
      <c r="F65" s="105">
        <f>'16.11'!F65+COUNTIF(F$8:F$38,$C65)</f>
        <v>0</v>
      </c>
      <c r="G65" s="106">
        <f>'16.11'!G65+COUNTIF(G$8:G$38,$C65)</f>
        <v>0</v>
      </c>
      <c r="H65" s="106">
        <f>'16.11'!H65+COUNTIF(H$8:H$38,$C65)</f>
        <v>0</v>
      </c>
      <c r="I65" s="106">
        <f>'16.11'!I65+COUNTIF(I$8:I$38,$C65)</f>
        <v>0</v>
      </c>
    </row>
    <row r="66" spans="1:9" ht="26.25" x14ac:dyDescent="0.4">
      <c r="A66" s="2"/>
      <c r="B66" s="2"/>
      <c r="C66" s="104">
        <f>'01.09'!C65</f>
        <v>0</v>
      </c>
      <c r="D66" s="105">
        <f>'16.11'!D66+COUNTIF(D$8:D$38,$C66)</f>
        <v>0</v>
      </c>
      <c r="E66" s="105">
        <f>'16.11'!E66+COUNTIF(E$8:E$38,$C66)</f>
        <v>0</v>
      </c>
      <c r="F66" s="105">
        <f>'16.11'!F66+COUNTIF(F$8:F$38,$C66)</f>
        <v>0</v>
      </c>
      <c r="G66" s="105">
        <f>'16.11'!G66+COUNTIF(G$8:G$38,$C66)</f>
        <v>0</v>
      </c>
      <c r="H66" s="105">
        <f>'16.11'!H66+COUNTIF(H$8:H$38,$C66)</f>
        <v>0</v>
      </c>
      <c r="I66" s="105">
        <f>'16.11'!I66+COUNTIF(I$8:I$38,$C66)</f>
        <v>0</v>
      </c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</sheetData>
  <mergeCells count="20">
    <mergeCell ref="B1:I1"/>
    <mergeCell ref="B2:I2"/>
    <mergeCell ref="B3:I3"/>
    <mergeCell ref="B4:I4"/>
    <mergeCell ref="B8:B12"/>
    <mergeCell ref="C6:C7"/>
    <mergeCell ref="A5:I5"/>
    <mergeCell ref="B13:B18"/>
    <mergeCell ref="A8:A12"/>
    <mergeCell ref="B6:B7"/>
    <mergeCell ref="A13:A18"/>
    <mergeCell ref="A6:A7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I72"/>
  <sheetViews>
    <sheetView view="pageBreakPreview" zoomScale="40" zoomScaleNormal="40" zoomScaleSheetLayoutView="40" zoomScalePageLayoutView="40" workbookViewId="0">
      <selection activeCell="F7" sqref="F7"/>
    </sheetView>
  </sheetViews>
  <sheetFormatPr defaultRowHeight="15" x14ac:dyDescent="0.25"/>
  <cols>
    <col min="1" max="2" width="4.42578125" customWidth="1"/>
    <col min="3" max="3" width="23.85546875" customWidth="1"/>
    <col min="4" max="9" width="65.28515625" customWidth="1"/>
  </cols>
  <sheetData>
    <row r="1" spans="1:9" ht="30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9" ht="30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9" ht="33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9" ht="34.5" customHeight="1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9" ht="39.75" customHeight="1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9" ht="38.25" customHeight="1" thickBot="1" x14ac:dyDescent="0.3">
      <c r="A6" s="875" t="s">
        <v>54</v>
      </c>
      <c r="B6" s="875" t="s">
        <v>14</v>
      </c>
      <c r="C6" s="898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9" ht="70.5" thickBot="1" x14ac:dyDescent="0.3">
      <c r="A7" s="876"/>
      <c r="B7" s="876"/>
      <c r="C7" s="899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9" ht="90.75" customHeight="1" x14ac:dyDescent="0.25">
      <c r="A8" s="906" t="s">
        <v>0</v>
      </c>
      <c r="B8" s="922">
        <v>46356</v>
      </c>
      <c r="C8" s="448" t="s">
        <v>10</v>
      </c>
      <c r="D8" s="298"/>
      <c r="E8" s="282"/>
      <c r="F8" s="282"/>
      <c r="G8" s="282"/>
      <c r="H8" s="519"/>
      <c r="I8" s="344"/>
    </row>
    <row r="9" spans="1:9" ht="90.75" customHeight="1" x14ac:dyDescent="0.25">
      <c r="A9" s="907"/>
      <c r="B9" s="869"/>
      <c r="C9" s="458" t="s">
        <v>11</v>
      </c>
      <c r="D9" s="518"/>
      <c r="E9" s="265"/>
      <c r="F9" s="265"/>
      <c r="G9" s="361"/>
      <c r="H9" s="361"/>
      <c r="I9" s="388"/>
    </row>
    <row r="10" spans="1:9" ht="90.75" customHeight="1" x14ac:dyDescent="0.25">
      <c r="A10" s="907"/>
      <c r="B10" s="869"/>
      <c r="C10" s="458" t="s">
        <v>12</v>
      </c>
      <c r="D10" s="392"/>
      <c r="E10" s="361"/>
      <c r="F10" s="361"/>
      <c r="G10" s="361"/>
      <c r="H10" s="432"/>
      <c r="I10" s="478"/>
    </row>
    <row r="11" spans="1:9" ht="90.75" customHeight="1" x14ac:dyDescent="0.25">
      <c r="A11" s="907"/>
      <c r="B11" s="869"/>
      <c r="C11" s="458" t="s">
        <v>13</v>
      </c>
      <c r="D11" s="392"/>
      <c r="E11" s="361"/>
      <c r="F11" s="361"/>
      <c r="G11" s="361"/>
      <c r="H11" s="432"/>
      <c r="I11" s="388"/>
    </row>
    <row r="12" spans="1:9" ht="90.75" customHeight="1" thickBot="1" x14ac:dyDescent="0.3">
      <c r="A12" s="912"/>
      <c r="B12" s="870"/>
      <c r="C12" s="449" t="s">
        <v>15</v>
      </c>
      <c r="D12" s="586"/>
      <c r="E12" s="312"/>
      <c r="F12" s="312"/>
      <c r="G12" s="312"/>
      <c r="H12" s="312"/>
      <c r="I12" s="335"/>
    </row>
    <row r="13" spans="1:9" ht="90.75" customHeight="1" x14ac:dyDescent="0.25">
      <c r="A13" s="907" t="s">
        <v>1</v>
      </c>
      <c r="B13" s="908">
        <f>B8+1</f>
        <v>46357</v>
      </c>
      <c r="C13" s="472" t="s">
        <v>10</v>
      </c>
      <c r="D13" s="485"/>
      <c r="E13" s="585"/>
      <c r="F13" s="585"/>
      <c r="G13" s="585"/>
      <c r="H13" s="436"/>
      <c r="I13" s="437"/>
    </row>
    <row r="14" spans="1:9" ht="90.75" customHeight="1" x14ac:dyDescent="0.25">
      <c r="A14" s="907"/>
      <c r="B14" s="869"/>
      <c r="C14" s="473" t="s">
        <v>11</v>
      </c>
      <c r="D14" s="392"/>
      <c r="E14" s="361"/>
      <c r="F14" s="361"/>
      <c r="G14" s="361"/>
      <c r="H14" s="265"/>
      <c r="I14" s="266"/>
    </row>
    <row r="15" spans="1:9" ht="90.75" customHeight="1" x14ac:dyDescent="0.25">
      <c r="A15" s="907"/>
      <c r="B15" s="869"/>
      <c r="C15" s="473" t="s">
        <v>12</v>
      </c>
      <c r="D15" s="392"/>
      <c r="E15" s="265"/>
      <c r="F15" s="265"/>
      <c r="G15" s="265"/>
      <c r="H15" s="265"/>
      <c r="I15" s="478"/>
    </row>
    <row r="16" spans="1:9" ht="90.75" customHeight="1" x14ac:dyDescent="0.25">
      <c r="A16" s="907"/>
      <c r="B16" s="869"/>
      <c r="C16" s="473" t="s">
        <v>13</v>
      </c>
      <c r="D16" s="392"/>
      <c r="E16" s="265"/>
      <c r="F16" s="265"/>
      <c r="G16" s="265"/>
      <c r="H16" s="265"/>
      <c r="I16" s="478"/>
    </row>
    <row r="17" spans="1:9" ht="90.75" customHeight="1" x14ac:dyDescent="0.25">
      <c r="A17" s="907"/>
      <c r="B17" s="869"/>
      <c r="C17" s="456" t="s">
        <v>15</v>
      </c>
      <c r="D17" s="511"/>
      <c r="E17" s="510"/>
      <c r="F17" s="510"/>
      <c r="G17" s="509"/>
      <c r="H17" s="509"/>
      <c r="I17" s="183"/>
    </row>
    <row r="18" spans="1:9" ht="90.75" customHeight="1" thickBot="1" x14ac:dyDescent="0.3">
      <c r="A18" s="907"/>
      <c r="B18" s="869"/>
      <c r="C18" s="474" t="s">
        <v>64</v>
      </c>
      <c r="D18" s="576"/>
      <c r="E18" s="404"/>
      <c r="F18" s="404"/>
      <c r="G18" s="577"/>
      <c r="H18" s="577"/>
      <c r="I18" s="578"/>
    </row>
    <row r="19" spans="1:9" ht="90.75" customHeight="1" x14ac:dyDescent="0.25">
      <c r="A19" s="909" t="s">
        <v>2</v>
      </c>
      <c r="B19" s="861">
        <f>B13+1</f>
        <v>46358</v>
      </c>
      <c r="C19" s="448" t="s">
        <v>10</v>
      </c>
      <c r="D19" s="508"/>
      <c r="E19" s="436"/>
      <c r="F19" s="436"/>
      <c r="G19" s="436"/>
      <c r="H19" s="436"/>
      <c r="I19" s="437"/>
    </row>
    <row r="20" spans="1:9" ht="90.75" customHeight="1" x14ac:dyDescent="0.25">
      <c r="A20" s="913"/>
      <c r="B20" s="862"/>
      <c r="C20" s="458" t="s">
        <v>11</v>
      </c>
      <c r="D20" s="264"/>
      <c r="E20" s="265"/>
      <c r="F20" s="265"/>
      <c r="G20" s="265"/>
      <c r="H20" s="265"/>
      <c r="I20" s="266"/>
    </row>
    <row r="21" spans="1:9" ht="90.75" customHeight="1" x14ac:dyDescent="0.25">
      <c r="A21" s="913"/>
      <c r="B21" s="862"/>
      <c r="C21" s="458" t="s">
        <v>12</v>
      </c>
      <c r="D21" s="392"/>
      <c r="E21" s="384"/>
      <c r="F21" s="384"/>
      <c r="G21" s="265"/>
      <c r="H21" s="265"/>
      <c r="I21" s="478"/>
    </row>
    <row r="22" spans="1:9" ht="90.75" customHeight="1" x14ac:dyDescent="0.25">
      <c r="A22" s="913"/>
      <c r="B22" s="862"/>
      <c r="C22" s="458" t="s">
        <v>13</v>
      </c>
      <c r="D22" s="392"/>
      <c r="E22" s="361"/>
      <c r="F22" s="361"/>
      <c r="G22" s="265"/>
      <c r="H22" s="265"/>
      <c r="I22" s="478"/>
    </row>
    <row r="23" spans="1:9" ht="90.75" customHeight="1" thickBot="1" x14ac:dyDescent="0.3">
      <c r="A23" s="915"/>
      <c r="B23" s="862"/>
      <c r="C23" s="449" t="s">
        <v>15</v>
      </c>
      <c r="D23" s="206"/>
      <c r="E23" s="429"/>
      <c r="F23" s="429"/>
      <c r="G23" s="207"/>
      <c r="H23" s="207"/>
      <c r="I23" s="208"/>
    </row>
    <row r="24" spans="1:9" ht="90.75" customHeight="1" x14ac:dyDescent="0.25">
      <c r="A24" s="909" t="s">
        <v>3</v>
      </c>
      <c r="B24" s="861">
        <f>B19+1</f>
        <v>46359</v>
      </c>
      <c r="C24" s="472" t="s">
        <v>10</v>
      </c>
      <c r="D24" s="285"/>
      <c r="E24" s="286"/>
      <c r="F24" s="286"/>
      <c r="G24" s="286"/>
      <c r="H24" s="286"/>
      <c r="I24" s="303"/>
    </row>
    <row r="25" spans="1:9" ht="90.75" customHeight="1" x14ac:dyDescent="0.25">
      <c r="A25" s="910"/>
      <c r="B25" s="862"/>
      <c r="C25" s="473" t="s">
        <v>11</v>
      </c>
      <c r="D25" s="267"/>
      <c r="E25" s="234"/>
      <c r="F25" s="234"/>
      <c r="G25" s="301"/>
      <c r="H25" s="234"/>
      <c r="I25" s="268"/>
    </row>
    <row r="26" spans="1:9" ht="90.75" customHeight="1" x14ac:dyDescent="0.25">
      <c r="A26" s="910"/>
      <c r="B26" s="862"/>
      <c r="C26" s="473" t="s">
        <v>12</v>
      </c>
      <c r="D26" s="392"/>
      <c r="E26" s="361"/>
      <c r="F26" s="416"/>
      <c r="G26" s="416"/>
      <c r="H26" s="384"/>
      <c r="I26" s="443"/>
    </row>
    <row r="27" spans="1:9" ht="90.75" customHeight="1" x14ac:dyDescent="0.25">
      <c r="A27" s="910"/>
      <c r="B27" s="862"/>
      <c r="C27" s="473" t="s">
        <v>13</v>
      </c>
      <c r="D27" s="485"/>
      <c r="E27" s="361"/>
      <c r="F27" s="361"/>
      <c r="G27" s="361"/>
      <c r="H27" s="384"/>
      <c r="I27" s="443"/>
    </row>
    <row r="28" spans="1:9" ht="90.75" customHeight="1" thickBot="1" x14ac:dyDescent="0.3">
      <c r="A28" s="911"/>
      <c r="B28" s="862"/>
      <c r="C28" s="474" t="s">
        <v>15</v>
      </c>
      <c r="D28" s="543"/>
      <c r="E28" s="544"/>
      <c r="F28" s="544"/>
      <c r="G28" s="515"/>
      <c r="H28" s="515"/>
      <c r="I28" s="545"/>
    </row>
    <row r="29" spans="1:9" ht="90.75" customHeight="1" x14ac:dyDescent="0.25">
      <c r="A29" s="909" t="s">
        <v>4</v>
      </c>
      <c r="B29" s="861">
        <f>B24+1</f>
        <v>46360</v>
      </c>
      <c r="C29" s="451" t="s">
        <v>10</v>
      </c>
      <c r="D29" s="276"/>
      <c r="E29" s="282"/>
      <c r="F29" s="282"/>
      <c r="G29" s="277"/>
      <c r="H29" s="343"/>
      <c r="I29" s="278"/>
    </row>
    <row r="30" spans="1:9" ht="90.75" customHeight="1" x14ac:dyDescent="0.25">
      <c r="A30" s="913"/>
      <c r="B30" s="862"/>
      <c r="C30" s="452" t="s">
        <v>11</v>
      </c>
      <c r="D30" s="269"/>
      <c r="E30" s="301"/>
      <c r="F30" s="301"/>
      <c r="G30" s="233"/>
      <c r="H30" s="432"/>
      <c r="I30" s="300"/>
    </row>
    <row r="31" spans="1:9" ht="90.75" customHeight="1" x14ac:dyDescent="0.25">
      <c r="A31" s="913"/>
      <c r="B31" s="862"/>
      <c r="C31" s="452" t="s">
        <v>12</v>
      </c>
      <c r="D31" s="299"/>
      <c r="E31" s="234"/>
      <c r="F31" s="234"/>
      <c r="G31" s="234"/>
      <c r="H31" s="301"/>
      <c r="I31" s="300"/>
    </row>
    <row r="32" spans="1:9" ht="90.75" customHeight="1" x14ac:dyDescent="0.25">
      <c r="A32" s="913"/>
      <c r="B32" s="862"/>
      <c r="C32" s="452" t="s">
        <v>13</v>
      </c>
      <c r="D32" s="299"/>
      <c r="E32" s="234"/>
      <c r="F32" s="234"/>
      <c r="G32" s="234"/>
      <c r="H32" s="265"/>
      <c r="I32" s="268"/>
    </row>
    <row r="33" spans="1:9" ht="90.75" customHeight="1" thickBot="1" x14ac:dyDescent="0.3">
      <c r="A33" s="915"/>
      <c r="B33" s="862"/>
      <c r="C33" s="453" t="s">
        <v>15</v>
      </c>
      <c r="D33" s="271"/>
      <c r="E33" s="272"/>
      <c r="F33" s="272"/>
      <c r="G33" s="272"/>
      <c r="H33" s="272"/>
      <c r="I33" s="273"/>
    </row>
    <row r="34" spans="1:9" ht="43.5" customHeight="1" x14ac:dyDescent="0.25">
      <c r="A34" s="862" t="s">
        <v>47</v>
      </c>
      <c r="B34" s="861">
        <f>B29+1</f>
        <v>46361</v>
      </c>
      <c r="C34" s="475" t="s">
        <v>10</v>
      </c>
      <c r="D34" s="589"/>
      <c r="E34" s="587"/>
      <c r="F34" s="587"/>
      <c r="G34" s="587"/>
      <c r="H34" s="587"/>
      <c r="I34" s="588"/>
    </row>
    <row r="35" spans="1:9" ht="43.5" customHeight="1" x14ac:dyDescent="0.25">
      <c r="A35" s="862"/>
      <c r="B35" s="862"/>
      <c r="C35" s="476" t="s">
        <v>11</v>
      </c>
      <c r="D35" s="184"/>
      <c r="E35" s="26"/>
      <c r="F35" s="26"/>
      <c r="G35" s="26"/>
      <c r="H35" s="28"/>
      <c r="I35" s="26"/>
    </row>
    <row r="36" spans="1:9" ht="43.5" customHeight="1" x14ac:dyDescent="0.25">
      <c r="A36" s="862"/>
      <c r="B36" s="862"/>
      <c r="C36" s="476" t="s">
        <v>12</v>
      </c>
      <c r="D36" s="184"/>
      <c r="E36" s="26"/>
      <c r="F36" s="26"/>
      <c r="G36" s="29"/>
      <c r="H36" s="26"/>
      <c r="I36" s="31"/>
    </row>
    <row r="37" spans="1:9" ht="43.5" customHeight="1" x14ac:dyDescent="0.25">
      <c r="A37" s="862"/>
      <c r="B37" s="862"/>
      <c r="C37" s="476" t="s">
        <v>13</v>
      </c>
      <c r="D37" s="185"/>
      <c r="E37" s="27"/>
      <c r="F37" s="27"/>
      <c r="G37" s="27"/>
      <c r="H37" s="26"/>
      <c r="I37" s="29"/>
    </row>
    <row r="38" spans="1:9" ht="43.5" customHeight="1" thickBot="1" x14ac:dyDescent="0.3">
      <c r="A38" s="863"/>
      <c r="B38" s="863"/>
      <c r="C38" s="477" t="s">
        <v>15</v>
      </c>
      <c r="D38" s="30"/>
      <c r="E38" s="25"/>
      <c r="F38" s="25"/>
      <c r="G38" s="25"/>
      <c r="H38" s="25"/>
      <c r="I38" s="25"/>
    </row>
    <row r="39" spans="1:9" ht="32.25" customHeight="1" x14ac:dyDescent="0.3">
      <c r="A39" s="2"/>
      <c r="B39" s="2"/>
      <c r="C39" s="44"/>
      <c r="D39" s="170" t="s">
        <v>86</v>
      </c>
      <c r="E39" s="44"/>
      <c r="F39" s="44"/>
      <c r="G39" s="44"/>
      <c r="H39" s="44"/>
      <c r="I39" s="44"/>
    </row>
    <row r="40" spans="1:9" s="19" customFormat="1" ht="26.25" x14ac:dyDescent="0.4">
      <c r="A40" s="18"/>
      <c r="B40" s="18"/>
      <c r="C40" s="104" t="str">
        <f>'01.09'!C39</f>
        <v>*Л. Речевое общение в профессиональной деятельности*</v>
      </c>
      <c r="D40" s="105">
        <f>'23.11'!D40+COUNTIF(D$8:D$38,$C40)</f>
        <v>5</v>
      </c>
      <c r="E40" s="105">
        <f>'23.11'!E40+COUNTIF(E$8:E$38,$C40)</f>
        <v>5</v>
      </c>
      <c r="F40" s="105">
        <f>'23.11'!F40+COUNTIF(F$8:F$38,$C40)</f>
        <v>5</v>
      </c>
      <c r="G40" s="105">
        <f>'23.11'!G40+COUNTIF(G$8:G$38,$C40)</f>
        <v>5</v>
      </c>
      <c r="H40" s="105">
        <f>'23.11'!H40+COUNTIF(H$8:H$38,$C40)</f>
        <v>5</v>
      </c>
      <c r="I40" s="105">
        <f>'23.11'!I40+COUNTIF(I$8:I$38,$C40)</f>
        <v>5</v>
      </c>
    </row>
    <row r="41" spans="1:9" s="19" customFormat="1" ht="26.25" x14ac:dyDescent="0.4">
      <c r="A41" s="18"/>
      <c r="B41" s="18"/>
      <c r="C41" s="104" t="str">
        <f>'01.09'!C40</f>
        <v>*Пр. Речевое общение в профессиональной деятельности*</v>
      </c>
      <c r="D41" s="106">
        <f>'23.11'!D41+COUNTIF(D$8:D$38,$C41)</f>
        <v>4</v>
      </c>
      <c r="E41" s="106">
        <f>'23.11'!E41+COUNTIF(E$8:E$38,$C41)</f>
        <v>4</v>
      </c>
      <c r="F41" s="105">
        <f>'23.11'!F41+COUNTIF(F$8:F$38,$C41)</f>
        <v>4</v>
      </c>
      <c r="G41" s="106">
        <f>'23.11'!G41+COUNTIF(G$8:G$38,$C41)</f>
        <v>4</v>
      </c>
      <c r="H41" s="106">
        <f>'23.11'!H41+COUNTIF(H$8:H$38,$C41)</f>
        <v>4</v>
      </c>
      <c r="I41" s="106">
        <f>'23.11'!I41+COUNTIF(I$8:I$38,$C41)</f>
        <v>4</v>
      </c>
    </row>
    <row r="42" spans="1:9" s="19" customFormat="1" ht="26.25" x14ac:dyDescent="0.4">
      <c r="A42" s="18"/>
      <c r="B42" s="18"/>
      <c r="C42" s="104" t="str">
        <f>'01.09'!C41</f>
        <v>*Л. Элективные дисциплины по ФКиС: Силовая подготовка*</v>
      </c>
      <c r="D42" s="105">
        <f>'23.11'!D42+COUNTIF(D$8:D$38,$C42)</f>
        <v>1</v>
      </c>
      <c r="E42" s="105">
        <f>'23.11'!E42+COUNTIF(E$8:E$38,$C42)</f>
        <v>1</v>
      </c>
      <c r="F42" s="105">
        <f>'23.11'!F42+COUNTIF(F$8:F$38,$C42)</f>
        <v>1</v>
      </c>
      <c r="G42" s="105">
        <f>'23.11'!G42+COUNTIF(G$8:G$38,$C42)</f>
        <v>1</v>
      </c>
      <c r="H42" s="105">
        <f>'23.11'!H42+COUNTIF(H$8:H$38,$C42)</f>
        <v>1</v>
      </c>
      <c r="I42" s="105">
        <f>'23.11'!I42+COUNTIF(I$8:I$38,$C42)</f>
        <v>1</v>
      </c>
    </row>
    <row r="43" spans="1:9" s="19" customFormat="1" ht="26.25" x14ac:dyDescent="0.4">
      <c r="A43" s="18"/>
      <c r="B43" s="18"/>
      <c r="C43" s="104" t="str">
        <f>'01.09'!C42</f>
        <v>*Пр. Элективные дисциплины по ФКиС: Силовая подготовка*</v>
      </c>
      <c r="D43" s="106">
        <f>'23.11'!D43+COUNTIF(D$8:D$38,$C43)</f>
        <v>8</v>
      </c>
      <c r="E43" s="106">
        <f>'23.11'!E43+COUNTIF(E$8:E$38,$C43)</f>
        <v>9</v>
      </c>
      <c r="F43" s="105">
        <f>'23.11'!F43+COUNTIF(F$8:F$38,$C43)</f>
        <v>9</v>
      </c>
      <c r="G43" s="106">
        <f>'23.11'!G43+COUNTIF(G$8:G$38,$C43)</f>
        <v>9</v>
      </c>
      <c r="H43" s="106">
        <f>'23.11'!H43+COUNTIF(H$8:H$38,$C43)</f>
        <v>9</v>
      </c>
      <c r="I43" s="106">
        <f>'23.11'!I43+COUNTIF(I$8:I$38,$C43)</f>
        <v>8</v>
      </c>
    </row>
    <row r="44" spans="1:9" s="19" customFormat="1" ht="26.25" x14ac:dyDescent="0.4">
      <c r="A44" s="18"/>
      <c r="B44" s="18"/>
      <c r="C44" s="104" t="str">
        <f>'01.09'!C43</f>
        <v>*Л. Анатомия*</v>
      </c>
      <c r="D44" s="105">
        <f>'23.11'!D44+COUNTIF(D$8:D$38,$C44)</f>
        <v>4</v>
      </c>
      <c r="E44" s="105">
        <f>'23.11'!E44+COUNTIF(E$8:E$38,$C44)</f>
        <v>4</v>
      </c>
      <c r="F44" s="105">
        <f>'23.11'!F44+COUNTIF(F$8:F$38,$C44)</f>
        <v>4</v>
      </c>
      <c r="G44" s="105">
        <f>'23.11'!G44+COUNTIF(G$8:G$38,$C44)</f>
        <v>4</v>
      </c>
      <c r="H44" s="105">
        <f>'23.11'!H44+COUNTIF(H$8:H$38,$C44)</f>
        <v>4</v>
      </c>
      <c r="I44" s="105">
        <f>'23.11'!I44+COUNTIF(I$8:I$38,$C44)</f>
        <v>4</v>
      </c>
    </row>
    <row r="45" spans="1:9" s="19" customFormat="1" ht="26.25" x14ac:dyDescent="0.4">
      <c r="A45" s="18"/>
      <c r="B45" s="18"/>
      <c r="C45" s="104" t="str">
        <f>'01.09'!C44</f>
        <v>*Пр. Анатомия*</v>
      </c>
      <c r="D45" s="106">
        <f>'23.11'!D45+COUNTIF(D$8:D$38,$C45)</f>
        <v>4</v>
      </c>
      <c r="E45" s="106">
        <f>'23.11'!E45+COUNTIF(E$8:E$38,$C45)</f>
        <v>4</v>
      </c>
      <c r="F45" s="105">
        <f>'23.11'!F45+COUNTIF(F$8:F$38,$C45)</f>
        <v>4</v>
      </c>
      <c r="G45" s="106">
        <f>'23.11'!G45+COUNTIF(G$8:G$38,$C45)</f>
        <v>4</v>
      </c>
      <c r="H45" s="106">
        <f>'23.11'!H45+COUNTIF(H$8:H$38,$C45)</f>
        <v>4</v>
      </c>
      <c r="I45" s="106">
        <f>'23.11'!I45+COUNTIF(I$8:I$38,$C45)</f>
        <v>4</v>
      </c>
    </row>
    <row r="46" spans="1:9" s="19" customFormat="1" ht="26.25" x14ac:dyDescent="0.4">
      <c r="A46" s="18"/>
      <c r="B46" s="18"/>
      <c r="C46" s="104" t="str">
        <f>'01.09'!C45</f>
        <v>*Л. Теория и методика*</v>
      </c>
      <c r="D46" s="105">
        <f>'23.11'!D46+COUNTIF(D$8:D$38,$C46)</f>
        <v>5</v>
      </c>
      <c r="E46" s="105">
        <f>'23.11'!E46+COUNTIF(E$8:E$38,$C46)</f>
        <v>4</v>
      </c>
      <c r="F46" s="105">
        <f>'23.11'!F46+COUNTIF(F$8:F$38,$C46)</f>
        <v>4</v>
      </c>
      <c r="G46" s="105">
        <f>'23.11'!G46+COUNTIF(G$8:G$38,$C46)</f>
        <v>4</v>
      </c>
      <c r="H46" s="105">
        <f>'23.11'!H46+COUNTIF(H$8:H$38,$C46)</f>
        <v>5</v>
      </c>
      <c r="I46" s="105">
        <f>'23.11'!I46+COUNTIF(I$8:I$38,$C46)</f>
        <v>3</v>
      </c>
    </row>
    <row r="47" spans="1:9" s="19" customFormat="1" ht="26.25" x14ac:dyDescent="0.4">
      <c r="A47" s="18"/>
      <c r="B47" s="18"/>
      <c r="C47" s="104" t="str">
        <f>'01.09'!C46</f>
        <v>*Пр. Теория и методика*</v>
      </c>
      <c r="D47" s="106">
        <f>'23.11'!D47+COUNTIF(D$8:D$38,$C47)</f>
        <v>24</v>
      </c>
      <c r="E47" s="106">
        <f>'23.11'!E47+COUNTIF(E$8:E$38,$C47)</f>
        <v>23</v>
      </c>
      <c r="F47" s="105">
        <f>'23.11'!F47+COUNTIF(F$8:F$38,$C47)</f>
        <v>23</v>
      </c>
      <c r="G47" s="106">
        <f>'23.11'!G47+COUNTIF(G$8:G$38,$C47)</f>
        <v>23</v>
      </c>
      <c r="H47" s="106">
        <f>'23.11'!H47+COUNTIF(H$8:H$38,$C47)</f>
        <v>26</v>
      </c>
      <c r="I47" s="106">
        <f>'23.11'!I47+COUNTIF(I$8:I$38,$C47)</f>
        <v>20</v>
      </c>
    </row>
    <row r="48" spans="1:9" s="19" customFormat="1" ht="26.25" x14ac:dyDescent="0.4">
      <c r="A48" s="18"/>
      <c r="B48" s="18"/>
      <c r="C48" s="104" t="str">
        <f>'01.09'!C47</f>
        <v>*Л. Физическая культура и спорт*</v>
      </c>
      <c r="D48" s="105">
        <f>'23.11'!D48+COUNTIF(D$8:D$38,$C48)</f>
        <v>5</v>
      </c>
      <c r="E48" s="105">
        <f>'23.11'!E48+COUNTIF(E$8:E$38,$C48)</f>
        <v>5</v>
      </c>
      <c r="F48" s="105">
        <f>'23.11'!F48+COUNTIF(F$8:F$38,$C48)</f>
        <v>5</v>
      </c>
      <c r="G48" s="105">
        <f>'23.11'!G48+COUNTIF(G$8:G$38,$C48)</f>
        <v>5</v>
      </c>
      <c r="H48" s="105">
        <f>'23.11'!H48+COUNTIF(H$8:H$38,$C48)</f>
        <v>5</v>
      </c>
      <c r="I48" s="105">
        <f>'23.11'!I48+COUNTIF(I$8:I$38,$C48)</f>
        <v>5</v>
      </c>
    </row>
    <row r="49" spans="1:9" s="19" customFormat="1" ht="26.25" x14ac:dyDescent="0.4">
      <c r="A49" s="18"/>
      <c r="B49" s="18"/>
      <c r="C49" s="104" t="str">
        <f>'01.09'!C48</f>
        <v>*Пр. Физическая культура и спорт*</v>
      </c>
      <c r="D49" s="106">
        <f>'23.11'!D49+COUNTIF(D$8:D$38,$C49)</f>
        <v>5</v>
      </c>
      <c r="E49" s="106">
        <f>'23.11'!E49+COUNTIF(E$8:E$38,$C49)</f>
        <v>5</v>
      </c>
      <c r="F49" s="105">
        <f>'23.11'!F49+COUNTIF(F$8:F$38,$C49)</f>
        <v>5</v>
      </c>
      <c r="G49" s="106">
        <f>'23.11'!G49+COUNTIF(G$8:G$38,$C49)</f>
        <v>5</v>
      </c>
      <c r="H49" s="106">
        <f>'23.11'!H49+COUNTIF(H$8:H$38,$C49)</f>
        <v>5</v>
      </c>
      <c r="I49" s="106">
        <f>'23.11'!I49+COUNTIF(I$8:I$38,$C49)</f>
        <v>5</v>
      </c>
    </row>
    <row r="50" spans="1:9" s="19" customFormat="1" ht="26.25" x14ac:dyDescent="0.4">
      <c r="A50" s="18"/>
      <c r="B50" s="18"/>
      <c r="C50" s="104" t="str">
        <f>'01.09'!C49</f>
        <v>*Л. Информационные технологии*</v>
      </c>
      <c r="D50" s="105">
        <f>'23.11'!D50+COUNTIF(D$8:D$38,$C50)</f>
        <v>2</v>
      </c>
      <c r="E50" s="105">
        <f>'23.11'!E50+COUNTIF(E$8:E$38,$C50)</f>
        <v>2</v>
      </c>
      <c r="F50" s="105">
        <f>'23.11'!F50+COUNTIF(F$8:F$38,$C50)</f>
        <v>2</v>
      </c>
      <c r="G50" s="105">
        <f>'23.11'!G50+COUNTIF(G$8:G$38,$C50)</f>
        <v>2</v>
      </c>
      <c r="H50" s="105">
        <f>'23.11'!H50+COUNTIF(H$8:H$38,$C50)</f>
        <v>2</v>
      </c>
      <c r="I50" s="105">
        <f>'23.11'!I50+COUNTIF(I$8:I$38,$C50)</f>
        <v>2</v>
      </c>
    </row>
    <row r="51" spans="1:9" s="19" customFormat="1" ht="26.25" x14ac:dyDescent="0.4">
      <c r="A51" s="18"/>
      <c r="B51" s="18"/>
      <c r="C51" s="104" t="str">
        <f>'01.09'!C50</f>
        <v>*Пр. Информационные технологии*</v>
      </c>
      <c r="D51" s="106">
        <f>'23.11'!D51+COUNTIF(D$8:D$38,$C51)</f>
        <v>8</v>
      </c>
      <c r="E51" s="106">
        <f>'23.11'!E51+COUNTIF(E$8:E$38,$C51)</f>
        <v>8</v>
      </c>
      <c r="F51" s="105">
        <f>'23.11'!F51+COUNTIF(F$8:F$38,$C51)</f>
        <v>8</v>
      </c>
      <c r="G51" s="106">
        <f>'23.11'!G51+COUNTIF(G$8:G$38,$C51)</f>
        <v>8</v>
      </c>
      <c r="H51" s="106">
        <f>'23.11'!H51+COUNTIF(H$8:H$38,$C51)</f>
        <v>8</v>
      </c>
      <c r="I51" s="106">
        <f>'23.11'!I51+COUNTIF(I$8:I$38,$C51)</f>
        <v>8</v>
      </c>
    </row>
    <row r="52" spans="1:9" s="19" customFormat="1" ht="26.25" x14ac:dyDescent="0.4">
      <c r="A52" s="18"/>
      <c r="B52" s="18"/>
      <c r="C52" s="104" t="str">
        <f>'01.09'!C51</f>
        <v>*Л. Гимнастика*</v>
      </c>
      <c r="D52" s="105">
        <f>'23.11'!D52+COUNTIF(D$8:D$38,$C52)</f>
        <v>3</v>
      </c>
      <c r="E52" s="105">
        <f>'23.11'!E52+COUNTIF(E$8:E$38,$C52)</f>
        <v>3</v>
      </c>
      <c r="F52" s="105">
        <f>'23.11'!F52+COUNTIF(F$8:F$38,$C52)</f>
        <v>3</v>
      </c>
      <c r="G52" s="105">
        <f>'23.11'!G52+COUNTIF(G$8:G$38,$C52)</f>
        <v>3</v>
      </c>
      <c r="H52" s="105">
        <f>'23.11'!H52+COUNTIF(H$8:H$38,$C52)</f>
        <v>3</v>
      </c>
      <c r="I52" s="105">
        <f>'23.11'!I52+COUNTIF(I$8:I$38,$C52)</f>
        <v>3</v>
      </c>
    </row>
    <row r="53" spans="1:9" s="19" customFormat="1" ht="26.25" x14ac:dyDescent="0.4">
      <c r="A53" s="18"/>
      <c r="B53" s="18"/>
      <c r="C53" s="104" t="str">
        <f>'01.09'!C52</f>
        <v>*Пр. Гимнастика*</v>
      </c>
      <c r="D53" s="106">
        <f>'23.11'!D53+COUNTIF(D$8:D$38,$C53)</f>
        <v>8</v>
      </c>
      <c r="E53" s="106">
        <f>'23.11'!E53+COUNTIF(E$8:E$38,$C53)</f>
        <v>13</v>
      </c>
      <c r="F53" s="105">
        <f>'23.11'!F53+COUNTIF(F$8:F$38,$C53)</f>
        <v>13</v>
      </c>
      <c r="G53" s="106">
        <f>'23.11'!G53+COUNTIF(G$8:G$38,$C53)</f>
        <v>12</v>
      </c>
      <c r="H53" s="106">
        <f>'23.11'!H53+COUNTIF(H$8:H$38,$C53)</f>
        <v>13</v>
      </c>
      <c r="I53" s="106">
        <f>'23.11'!I53+COUNTIF(I$8:I$38,$C53)</f>
        <v>12</v>
      </c>
    </row>
    <row r="54" spans="1:9" s="19" customFormat="1" ht="26.25" x14ac:dyDescent="0.4">
      <c r="A54" s="18"/>
      <c r="B54" s="18"/>
      <c r="C54" s="104" t="str">
        <f>'01.09'!C53</f>
        <v>*Л. Волейбол*</v>
      </c>
      <c r="D54" s="105">
        <f>'23.11'!D54+COUNTIF(D$8:D$38,$C54)</f>
        <v>1</v>
      </c>
      <c r="E54" s="105">
        <f>'23.11'!E54+COUNTIF(E$8:E$38,$C54)</f>
        <v>1</v>
      </c>
      <c r="F54" s="105">
        <f>'23.11'!F54+COUNTIF(F$8:F$38,$C54)</f>
        <v>1</v>
      </c>
      <c r="G54" s="105">
        <f>'23.11'!G54+COUNTIF(G$8:G$38,$C54)</f>
        <v>1</v>
      </c>
      <c r="H54" s="105">
        <f>'23.11'!H54+COUNTIF(H$8:H$38,$C54)</f>
        <v>1</v>
      </c>
      <c r="I54" s="105">
        <f>'23.11'!I54+COUNTIF(I$8:I$38,$C54)</f>
        <v>1</v>
      </c>
    </row>
    <row r="55" spans="1:9" s="19" customFormat="1" ht="26.25" x14ac:dyDescent="0.4">
      <c r="A55" s="18"/>
      <c r="B55" s="18"/>
      <c r="C55" s="104" t="str">
        <f>'01.09'!C54</f>
        <v>*Пр. Волейбол*</v>
      </c>
      <c r="D55" s="106">
        <f>'23.11'!D55+COUNTIF(D$8:D$38,$C55)</f>
        <v>16</v>
      </c>
      <c r="E55" s="106">
        <f>'23.11'!E55+COUNTIF(E$8:E$38,$C55)</f>
        <v>16</v>
      </c>
      <c r="F55" s="105">
        <f>'23.11'!F55+COUNTIF(F$8:F$38,$C55)</f>
        <v>8</v>
      </c>
      <c r="G55" s="106">
        <f>'23.11'!G55+COUNTIF(G$8:G$38,$C55)</f>
        <v>8</v>
      </c>
      <c r="H55" s="106">
        <f>'23.11'!H55+COUNTIF(H$8:H$38,$C55)</f>
        <v>16</v>
      </c>
      <c r="I55" s="106">
        <f>'23.11'!I55+COUNTIF(I$8:I$38,$C55)</f>
        <v>16</v>
      </c>
    </row>
    <row r="56" spans="1:9" s="19" customFormat="1" ht="26.25" x14ac:dyDescent="0.4">
      <c r="A56" s="18"/>
      <c r="B56" s="18"/>
      <c r="C56" s="104" t="str">
        <f>'01.09'!C55</f>
        <v>*Л. Лыжные гонки*</v>
      </c>
      <c r="D56" s="105">
        <f>'23.11'!D56+COUNTIF(D$8:D$38,$C56)</f>
        <v>0</v>
      </c>
      <c r="E56" s="105">
        <f>'23.11'!E56+COUNTIF(E$8:E$38,$C56)</f>
        <v>0</v>
      </c>
      <c r="F56" s="105">
        <f>'23.11'!F56+COUNTIF(F$8:F$38,$C56)</f>
        <v>0</v>
      </c>
      <c r="G56" s="105">
        <f>'23.11'!G56+COUNTIF(G$8:G$38,$C56)</f>
        <v>0</v>
      </c>
      <c r="H56" s="105">
        <f>'23.11'!H56+COUNTIF(H$8:H$38,$C56)</f>
        <v>0</v>
      </c>
      <c r="I56" s="105">
        <f>'23.11'!I56+COUNTIF(I$8:I$38,$C56)</f>
        <v>0</v>
      </c>
    </row>
    <row r="57" spans="1:9" s="19" customFormat="1" ht="26.25" x14ac:dyDescent="0.4">
      <c r="A57" s="18"/>
      <c r="B57" s="18"/>
      <c r="C57" s="104" t="str">
        <f>'01.09'!C56</f>
        <v>*Пр. Лыжные гонки*</v>
      </c>
      <c r="D57" s="106">
        <f>'23.11'!D57+COUNTIF(D$8:D$38,$C57)</f>
        <v>0</v>
      </c>
      <c r="E57" s="106">
        <f>'23.11'!E57+COUNTIF(E$8:E$38,$C57)</f>
        <v>0</v>
      </c>
      <c r="F57" s="105">
        <f>'23.11'!F57+COUNTIF(F$8:F$38,$C57)</f>
        <v>0</v>
      </c>
      <c r="G57" s="106">
        <f>'23.11'!G57+COUNTIF(G$8:G$38,$C57)</f>
        <v>0</v>
      </c>
      <c r="H57" s="106">
        <f>'23.11'!H57+COUNTIF(H$8:H$38,$C57)</f>
        <v>0</v>
      </c>
      <c r="I57" s="106">
        <f>'23.11'!I57+COUNTIF(I$8:I$38,$C57)</f>
        <v>0</v>
      </c>
    </row>
    <row r="58" spans="1:9" s="19" customFormat="1" ht="26.25" x14ac:dyDescent="0.4">
      <c r="A58" s="18"/>
      <c r="B58" s="18"/>
      <c r="C58" s="104" t="str">
        <f>'01.09'!C57</f>
        <v>*Л. Использование электронной*</v>
      </c>
      <c r="D58" s="105">
        <f>'23.11'!D58+COUNTIF(D$8:D$38,$C58)</f>
        <v>1</v>
      </c>
      <c r="E58" s="105">
        <f>'23.11'!E58+COUNTIF(E$8:E$38,$C58)</f>
        <v>0</v>
      </c>
      <c r="F58" s="105">
        <f>'23.11'!F58+COUNTIF(F$8:F$38,$C58)</f>
        <v>0</v>
      </c>
      <c r="G58" s="105">
        <f>'23.11'!G58+COUNTIF(G$8:G$38,$C58)</f>
        <v>0</v>
      </c>
      <c r="H58" s="105">
        <f>'23.11'!H58+COUNTIF(H$8:H$38,$C58)</f>
        <v>0</v>
      </c>
      <c r="I58" s="105">
        <f>'23.11'!I58+COUNTIF(I$8:I$38,$C58)</f>
        <v>0</v>
      </c>
    </row>
    <row r="59" spans="1:9" s="19" customFormat="1" ht="26.25" x14ac:dyDescent="0.4">
      <c r="A59" s="18"/>
      <c r="B59" s="18"/>
      <c r="C59" s="104" t="str">
        <f>'01.09'!C58</f>
        <v>*Пр. Использование электронной*</v>
      </c>
      <c r="D59" s="106">
        <f>'23.11'!D59+COUNTIF(D$8:D$38,$C59)</f>
        <v>2</v>
      </c>
      <c r="E59" s="106">
        <f>'23.11'!E59+COUNTIF(E$8:E$38,$C59)</f>
        <v>2</v>
      </c>
      <c r="F59" s="105">
        <f>'23.11'!F59+COUNTIF(F$8:F$38,$C59)</f>
        <v>2</v>
      </c>
      <c r="G59" s="106">
        <f>'23.11'!G59+COUNTIF(G$8:G$38,$C59)</f>
        <v>2</v>
      </c>
      <c r="H59" s="106">
        <f>'23.11'!H59+COUNTIF(H$8:H$38,$C59)</f>
        <v>2</v>
      </c>
      <c r="I59" s="106">
        <f>'23.11'!I59+COUNTIF(I$8:I$38,$C59)</f>
        <v>2</v>
      </c>
    </row>
    <row r="60" spans="1:9" s="19" customFormat="1" ht="26.25" x14ac:dyDescent="0.4">
      <c r="A60" s="18"/>
      <c r="B60" s="18"/>
      <c r="C60" s="104" t="str">
        <f>'01.09'!C59</f>
        <v>*Пр. Иностранный язык*</v>
      </c>
      <c r="D60" s="105">
        <f>'23.11'!D60+COUNTIF(D$8:D$38,$C60)</f>
        <v>8</v>
      </c>
      <c r="E60" s="105">
        <f>'23.11'!E60+COUNTIF(E$8:E$38,$C60)</f>
        <v>8</v>
      </c>
      <c r="F60" s="105">
        <f>'23.11'!F60+COUNTIF(F$8:F$38,$C60)</f>
        <v>8</v>
      </c>
      <c r="G60" s="105">
        <f>'23.11'!G60+COUNTIF(G$8:G$38,$C60)</f>
        <v>8</v>
      </c>
      <c r="H60" s="105">
        <f>'23.11'!H60+COUNTIF(H$8:H$38,$C60)</f>
        <v>8</v>
      </c>
      <c r="I60" s="105">
        <f>'23.11'!I60+COUNTIF(I$8:I$38,$C60)</f>
        <v>8</v>
      </c>
    </row>
    <row r="61" spans="1:9" s="19" customFormat="1" ht="26.25" x14ac:dyDescent="0.4">
      <c r="A61" s="18"/>
      <c r="B61" s="18"/>
      <c r="C61" s="104" t="str">
        <f>'01.09'!C60</f>
        <v>*С1-04А-26*</v>
      </c>
      <c r="D61" s="106">
        <f>'23.11'!D61+COUNTIF(D$8:D$38,$C61)</f>
        <v>0</v>
      </c>
      <c r="E61" s="106">
        <f>'23.11'!E61+COUNTIF(E$8:E$38,$C61)</f>
        <v>0</v>
      </c>
      <c r="F61" s="105">
        <f>'23.11'!F61+COUNTIF(F$8:F$38,$C61)</f>
        <v>0</v>
      </c>
      <c r="G61" s="106">
        <f>'23.11'!G61+COUNTIF(G$8:G$38,$C61)</f>
        <v>17</v>
      </c>
      <c r="H61" s="106">
        <f>'23.11'!H61+COUNTIF(H$8:H$38,$C61)</f>
        <v>0</v>
      </c>
      <c r="I61" s="106">
        <f>'23.11'!I61+COUNTIF(I$8:I$38,$C61)</f>
        <v>0</v>
      </c>
    </row>
    <row r="62" spans="1:9" ht="26.25" x14ac:dyDescent="0.4">
      <c r="A62" s="2"/>
      <c r="B62" s="2"/>
      <c r="C62" s="104" t="str">
        <f>'01.09'!C61</f>
        <v>*С1-04Б-26*</v>
      </c>
      <c r="D62" s="105">
        <f>'23.11'!D62+COUNTIF(D$8:D$38,$C62)</f>
        <v>0</v>
      </c>
      <c r="E62" s="105">
        <f>'23.11'!E62+COUNTIF(E$8:E$38,$C62)</f>
        <v>0</v>
      </c>
      <c r="F62" s="105">
        <f>'23.11'!F62+COUNTIF(F$8:F$38,$C62)</f>
        <v>0</v>
      </c>
      <c r="G62" s="105">
        <f>'23.11'!G62+COUNTIF(G$8:G$38,$C62)</f>
        <v>17</v>
      </c>
      <c r="H62" s="105">
        <f>'23.11'!H62+COUNTIF(H$8:H$38,$C62)</f>
        <v>0</v>
      </c>
      <c r="I62" s="105">
        <f>'23.11'!I62+COUNTIF(I$8:I$38,$C62)</f>
        <v>0</v>
      </c>
    </row>
    <row r="63" spans="1:9" ht="26.25" x14ac:dyDescent="0.4">
      <c r="A63" s="2"/>
      <c r="B63" s="2"/>
      <c r="C63" s="104" t="str">
        <f>'01.09'!C62</f>
        <v>*С1-05А-26*</v>
      </c>
      <c r="D63" s="106">
        <f>'23.11'!D63+COUNTIF(D$8:D$38,$C63)</f>
        <v>0</v>
      </c>
      <c r="E63" s="106">
        <f>'23.11'!E63+COUNTIF(E$8:E$38,$C63)</f>
        <v>0</v>
      </c>
      <c r="F63" s="105">
        <f>'23.11'!F63+COUNTIF(F$8:F$38,$C63)</f>
        <v>0</v>
      </c>
      <c r="G63" s="106">
        <f>'23.11'!G63+COUNTIF(G$8:G$38,$C63)</f>
        <v>0</v>
      </c>
      <c r="H63" s="106">
        <f>'23.11'!H63+COUNTIF(H$8:H$38,$C63)</f>
        <v>8</v>
      </c>
      <c r="I63" s="106">
        <f>'23.11'!I63+COUNTIF(I$8:I$38,$C63)</f>
        <v>0</v>
      </c>
    </row>
    <row r="64" spans="1:9" ht="26.25" x14ac:dyDescent="0.4">
      <c r="A64" s="2"/>
      <c r="B64" s="2"/>
      <c r="C64" s="104" t="str">
        <f>'01.09'!C63</f>
        <v>*С1-05Б-26*</v>
      </c>
      <c r="D64" s="105">
        <f>'23.11'!D64+COUNTIF(D$8:D$38,$C64)</f>
        <v>0</v>
      </c>
      <c r="E64" s="105">
        <f>'23.11'!E64+COUNTIF(E$8:E$38,$C64)</f>
        <v>0</v>
      </c>
      <c r="F64" s="105">
        <f>'23.11'!F64+COUNTIF(F$8:F$38,$C64)</f>
        <v>0</v>
      </c>
      <c r="G64" s="105">
        <f>'23.11'!G64+COUNTIF(G$8:G$38,$C64)</f>
        <v>0</v>
      </c>
      <c r="H64" s="105">
        <f>'23.11'!H64+COUNTIF(H$8:H$38,$C64)</f>
        <v>8</v>
      </c>
      <c r="I64" s="105">
        <f>'23.11'!I64+COUNTIF(I$8:I$38,$C64)</f>
        <v>0</v>
      </c>
    </row>
    <row r="65" spans="1:9" ht="26.25" x14ac:dyDescent="0.4">
      <c r="A65" s="2"/>
      <c r="B65" s="2"/>
      <c r="C65" s="104">
        <f>'01.09'!C64</f>
        <v>0</v>
      </c>
      <c r="D65" s="106">
        <f>'23.11'!D65+COUNTIF(D$8:D$38,$C65)</f>
        <v>0</v>
      </c>
      <c r="E65" s="106">
        <f>'23.11'!E65+COUNTIF(E$8:E$38,$C65)</f>
        <v>0</v>
      </c>
      <c r="F65" s="105">
        <f>'23.11'!F65+COUNTIF(F$8:F$38,$C65)</f>
        <v>0</v>
      </c>
      <c r="G65" s="106">
        <f>'23.11'!G65+COUNTIF(G$8:G$38,$C65)</f>
        <v>0</v>
      </c>
      <c r="H65" s="106">
        <f>'23.11'!H65+COUNTIF(H$8:H$38,$C65)</f>
        <v>0</v>
      </c>
      <c r="I65" s="106">
        <f>'23.11'!I65+COUNTIF(I$8:I$38,$C65)</f>
        <v>0</v>
      </c>
    </row>
    <row r="66" spans="1:9" ht="26.25" x14ac:dyDescent="0.4">
      <c r="A66" s="2"/>
      <c r="B66" s="2"/>
      <c r="C66" s="104">
        <f>'01.09'!C65</f>
        <v>0</v>
      </c>
      <c r="D66" s="105">
        <f>'23.11'!D66+COUNTIF(D$8:D$38,$C66)</f>
        <v>0</v>
      </c>
      <c r="E66" s="105">
        <f>'23.11'!E66+COUNTIF(E$8:E$38,$C66)</f>
        <v>0</v>
      </c>
      <c r="F66" s="105">
        <f>'23.11'!F66+COUNTIF(F$8:F$38,$C66)</f>
        <v>0</v>
      </c>
      <c r="G66" s="105">
        <f>'23.11'!G66+COUNTIF(G$8:G$38,$C66)</f>
        <v>0</v>
      </c>
      <c r="H66" s="105">
        <f>'23.11'!H66+COUNTIF(H$8:H$38,$C66)</f>
        <v>0</v>
      </c>
      <c r="I66" s="105">
        <f>'23.11'!I66+COUNTIF(I$8:I$38,$C66)</f>
        <v>0</v>
      </c>
    </row>
    <row r="67" spans="1:9" ht="26.25" x14ac:dyDescent="0.4">
      <c r="A67" s="2"/>
      <c r="B67" s="2"/>
      <c r="C67" s="104">
        <f>'01.09'!C66</f>
        <v>0</v>
      </c>
      <c r="D67" s="106">
        <f>'23.11'!D67+COUNTIF(D$8:D$38,$C67)</f>
        <v>0</v>
      </c>
      <c r="E67" s="106">
        <f>'23.11'!E67+COUNTIF(E$8:E$38,$C67)</f>
        <v>0</v>
      </c>
      <c r="F67" s="105">
        <f>'23.11'!F67+COUNTIF(F$8:F$38,$C67)</f>
        <v>0</v>
      </c>
      <c r="G67" s="106">
        <f>'23.11'!G67+COUNTIF(G$8:G$38,$C67)</f>
        <v>0</v>
      </c>
      <c r="H67" s="106">
        <f>'23.11'!H67+COUNTIF(H$8:H$38,$C67)</f>
        <v>0</v>
      </c>
      <c r="I67" s="106">
        <f>'23.11'!I67+COUNTIF(I$8:I$38,$C67)</f>
        <v>0</v>
      </c>
    </row>
    <row r="68" spans="1:9" ht="26.25" x14ac:dyDescent="0.4">
      <c r="A68" s="2"/>
      <c r="B68" s="2"/>
      <c r="C68" s="104">
        <f>'01.09'!C67</f>
        <v>0</v>
      </c>
      <c r="D68" s="105">
        <f>'23.11'!D68+COUNTIF(D$8:D$38,$C68)</f>
        <v>0</v>
      </c>
      <c r="E68" s="105">
        <f>'23.11'!E68+COUNTIF(E$8:E$38,$C68)</f>
        <v>0</v>
      </c>
      <c r="F68" s="105">
        <f>'23.11'!F68+COUNTIF(F$8:F$38,$C68)</f>
        <v>0</v>
      </c>
      <c r="G68" s="105">
        <f>'23.11'!G68+COUNTIF(G$8:G$38,$C68)</f>
        <v>0</v>
      </c>
      <c r="H68" s="105">
        <f>'23.11'!H68+COUNTIF(H$8:H$38,$C68)</f>
        <v>0</v>
      </c>
      <c r="I68" s="105">
        <f>'23.11'!I68+COUNTIF(I$8:I$38,$C68)</f>
        <v>0</v>
      </c>
    </row>
    <row r="69" spans="1:9" ht="26.25" x14ac:dyDescent="0.4">
      <c r="A69" s="2"/>
      <c r="B69" s="2"/>
      <c r="C69" s="104">
        <f>'01.09'!C68</f>
        <v>0</v>
      </c>
      <c r="D69" s="106">
        <f>'23.11'!D69+COUNTIF(D$8:D$38,$C69)</f>
        <v>0</v>
      </c>
      <c r="E69" s="106">
        <f>'23.11'!E69+COUNTIF(E$8:E$38,$C69)</f>
        <v>0</v>
      </c>
      <c r="F69" s="105">
        <f>'23.11'!F69+COUNTIF(F$8:F$38,$C69)</f>
        <v>0</v>
      </c>
      <c r="G69" s="106">
        <f>'23.11'!G69+COUNTIF(G$8:G$38,$C69)</f>
        <v>0</v>
      </c>
      <c r="H69" s="106">
        <f>'23.11'!H69+COUNTIF(H$8:H$38,$C69)</f>
        <v>0</v>
      </c>
      <c r="I69" s="106">
        <f>'23.11'!I69+COUNTIF(I$8:I$38,$C69)</f>
        <v>0</v>
      </c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</sheetData>
  <mergeCells count="20">
    <mergeCell ref="B1:I1"/>
    <mergeCell ref="B2:I2"/>
    <mergeCell ref="B3:I3"/>
    <mergeCell ref="B4:I4"/>
    <mergeCell ref="A5:I5"/>
    <mergeCell ref="A34:A38"/>
    <mergeCell ref="B34:B38"/>
    <mergeCell ref="A29:A33"/>
    <mergeCell ref="B29:B33"/>
    <mergeCell ref="C6:C7"/>
    <mergeCell ref="B8:B12"/>
    <mergeCell ref="B13:B18"/>
    <mergeCell ref="A13:A18"/>
    <mergeCell ref="A24:A28"/>
    <mergeCell ref="B19:B23"/>
    <mergeCell ref="B24:B28"/>
    <mergeCell ref="A19:A23"/>
    <mergeCell ref="A8:A12"/>
    <mergeCell ref="A6:A7"/>
    <mergeCell ref="B6:B7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K72"/>
  <sheetViews>
    <sheetView view="pageBreakPreview" zoomScale="40" zoomScaleNormal="40" zoomScaleSheetLayoutView="40" zoomScalePageLayoutView="40" workbookViewId="0">
      <selection activeCell="F7" sqref="F7"/>
    </sheetView>
  </sheetViews>
  <sheetFormatPr defaultRowHeight="15" x14ac:dyDescent="0.25"/>
  <cols>
    <col min="1" max="2" width="4.42578125" customWidth="1"/>
    <col min="3" max="3" width="23.5703125" customWidth="1"/>
    <col min="4" max="9" width="64" customWidth="1"/>
  </cols>
  <sheetData>
    <row r="1" spans="1:9" ht="33" customHeight="1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9" ht="33" customHeight="1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9" ht="39.75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9" ht="33" customHeight="1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9" ht="33" customHeight="1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9" ht="26.25" customHeight="1" thickBot="1" x14ac:dyDescent="0.3">
      <c r="A6" s="875" t="s">
        <v>54</v>
      </c>
      <c r="B6" s="875" t="s">
        <v>14</v>
      </c>
      <c r="C6" s="898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9" ht="70.5" thickBot="1" x14ac:dyDescent="0.3">
      <c r="A7" s="876"/>
      <c r="B7" s="876"/>
      <c r="C7" s="899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9" ht="87" customHeight="1" x14ac:dyDescent="0.25">
      <c r="A8" s="906" t="s">
        <v>0</v>
      </c>
      <c r="B8" s="908">
        <v>46363</v>
      </c>
      <c r="C8" s="448" t="s">
        <v>10</v>
      </c>
      <c r="D8" s="298"/>
      <c r="E8" s="282"/>
      <c r="F8" s="282"/>
      <c r="G8" s="282"/>
      <c r="H8" s="519"/>
      <c r="I8" s="344"/>
    </row>
    <row r="9" spans="1:9" ht="87" customHeight="1" x14ac:dyDescent="0.25">
      <c r="A9" s="907"/>
      <c r="B9" s="869"/>
      <c r="C9" s="458" t="s">
        <v>11</v>
      </c>
      <c r="D9" s="267"/>
      <c r="E9" s="265"/>
      <c r="F9" s="265"/>
      <c r="G9" s="361"/>
      <c r="H9" s="361"/>
      <c r="I9" s="388"/>
    </row>
    <row r="10" spans="1:9" ht="87" customHeight="1" x14ac:dyDescent="0.25">
      <c r="A10" s="907"/>
      <c r="B10" s="869"/>
      <c r="C10" s="458" t="s">
        <v>12</v>
      </c>
      <c r="D10" s="590"/>
      <c r="E10" s="361"/>
      <c r="F10" s="361"/>
      <c r="G10" s="361"/>
      <c r="H10" s="432"/>
      <c r="I10" s="478"/>
    </row>
    <row r="11" spans="1:9" ht="87" customHeight="1" x14ac:dyDescent="0.25">
      <c r="A11" s="907"/>
      <c r="B11" s="869"/>
      <c r="C11" s="458" t="s">
        <v>13</v>
      </c>
      <c r="D11" s="392"/>
      <c r="E11" s="361"/>
      <c r="F11" s="361"/>
      <c r="G11" s="361"/>
      <c r="H11" s="432"/>
      <c r="I11" s="270"/>
    </row>
    <row r="12" spans="1:9" ht="87" customHeight="1" thickBot="1" x14ac:dyDescent="0.3">
      <c r="A12" s="907"/>
      <c r="B12" s="869"/>
      <c r="C12" s="449" t="s">
        <v>15</v>
      </c>
      <c r="D12" s="586"/>
      <c r="E12" s="312"/>
      <c r="F12" s="312"/>
      <c r="G12" s="312"/>
      <c r="H12" s="312"/>
      <c r="I12" s="335"/>
    </row>
    <row r="13" spans="1:9" ht="87" customHeight="1" x14ac:dyDescent="0.25">
      <c r="A13" s="906" t="s">
        <v>1</v>
      </c>
      <c r="B13" s="903">
        <f>B8+1</f>
        <v>46364</v>
      </c>
      <c r="C13" s="472" t="s">
        <v>10</v>
      </c>
      <c r="D13" s="485"/>
      <c r="E13" s="585"/>
      <c r="F13" s="585"/>
      <c r="G13" s="585"/>
      <c r="H13" s="436"/>
      <c r="I13" s="437"/>
    </row>
    <row r="14" spans="1:9" ht="87" customHeight="1" x14ac:dyDescent="0.25">
      <c r="A14" s="907"/>
      <c r="B14" s="869"/>
      <c r="C14" s="473" t="s">
        <v>11</v>
      </c>
      <c r="D14" s="392"/>
      <c r="E14" s="361"/>
      <c r="F14" s="361"/>
      <c r="G14" s="361"/>
      <c r="H14" s="265"/>
      <c r="I14" s="266"/>
    </row>
    <row r="15" spans="1:9" ht="87" customHeight="1" x14ac:dyDescent="0.25">
      <c r="A15" s="907"/>
      <c r="B15" s="869"/>
      <c r="C15" s="473" t="s">
        <v>12</v>
      </c>
      <c r="D15" s="392"/>
      <c r="E15" s="265"/>
      <c r="F15" s="265"/>
      <c r="G15" s="265"/>
      <c r="H15" s="265"/>
      <c r="I15" s="478"/>
    </row>
    <row r="16" spans="1:9" ht="87" customHeight="1" x14ac:dyDescent="0.25">
      <c r="A16" s="907"/>
      <c r="B16" s="869"/>
      <c r="C16" s="473" t="s">
        <v>13</v>
      </c>
      <c r="D16" s="392"/>
      <c r="E16" s="265"/>
      <c r="F16" s="265"/>
      <c r="G16" s="265"/>
      <c r="H16" s="265"/>
      <c r="I16" s="478"/>
    </row>
    <row r="17" spans="1:11" ht="87" customHeight="1" x14ac:dyDescent="0.25">
      <c r="A17" s="907"/>
      <c r="B17" s="869"/>
      <c r="C17" s="456" t="s">
        <v>15</v>
      </c>
      <c r="D17" s="511"/>
      <c r="E17" s="510"/>
      <c r="F17" s="510"/>
      <c r="G17" s="509"/>
      <c r="H17" s="509"/>
      <c r="I17" s="183"/>
    </row>
    <row r="18" spans="1:11" ht="87" customHeight="1" thickBot="1" x14ac:dyDescent="0.3">
      <c r="A18" s="907"/>
      <c r="B18" s="869"/>
      <c r="C18" s="474" t="s">
        <v>64</v>
      </c>
      <c r="D18" s="576"/>
      <c r="E18" s="404"/>
      <c r="F18" s="404"/>
      <c r="G18" s="577"/>
      <c r="H18" s="577"/>
      <c r="I18" s="578"/>
    </row>
    <row r="19" spans="1:11" ht="87" customHeight="1" x14ac:dyDescent="0.25">
      <c r="A19" s="909" t="s">
        <v>2</v>
      </c>
      <c r="B19" s="861">
        <f>B13+1</f>
        <v>46365</v>
      </c>
      <c r="C19" s="448" t="s">
        <v>10</v>
      </c>
      <c r="D19" s="508"/>
      <c r="E19" s="436"/>
      <c r="F19" s="436"/>
      <c r="G19" s="436"/>
      <c r="H19" s="436"/>
      <c r="I19" s="437"/>
    </row>
    <row r="20" spans="1:11" ht="87" customHeight="1" x14ac:dyDescent="0.25">
      <c r="A20" s="913"/>
      <c r="B20" s="862"/>
      <c r="C20" s="458" t="s">
        <v>11</v>
      </c>
      <c r="D20" s="264"/>
      <c r="E20" s="265"/>
      <c r="F20" s="265"/>
      <c r="G20" s="265"/>
      <c r="H20" s="265"/>
      <c r="I20" s="266"/>
    </row>
    <row r="21" spans="1:11" ht="87" customHeight="1" x14ac:dyDescent="0.25">
      <c r="A21" s="913"/>
      <c r="B21" s="862"/>
      <c r="C21" s="458" t="s">
        <v>12</v>
      </c>
      <c r="D21" s="392"/>
      <c r="E21" s="384"/>
      <c r="F21" s="384"/>
      <c r="G21" s="265"/>
      <c r="H21" s="265"/>
      <c r="I21" s="478"/>
      <c r="K21" s="3"/>
    </row>
    <row r="22" spans="1:11" ht="87" customHeight="1" x14ac:dyDescent="0.25">
      <c r="A22" s="913"/>
      <c r="B22" s="862"/>
      <c r="C22" s="458" t="s">
        <v>13</v>
      </c>
      <c r="D22" s="392"/>
      <c r="E22" s="361"/>
      <c r="F22" s="361"/>
      <c r="G22" s="265"/>
      <c r="H22" s="265"/>
      <c r="I22" s="478"/>
    </row>
    <row r="23" spans="1:11" ht="87" customHeight="1" thickBot="1" x14ac:dyDescent="0.3">
      <c r="A23" s="913"/>
      <c r="B23" s="921"/>
      <c r="C23" s="449" t="s">
        <v>15</v>
      </c>
      <c r="D23" s="206"/>
      <c r="E23" s="429"/>
      <c r="F23" s="429"/>
      <c r="G23" s="207"/>
      <c r="H23" s="207"/>
      <c r="I23" s="208"/>
    </row>
    <row r="24" spans="1:11" ht="87" customHeight="1" x14ac:dyDescent="0.25">
      <c r="A24" s="909" t="s">
        <v>3</v>
      </c>
      <c r="B24" s="901">
        <f>B19+1</f>
        <v>46366</v>
      </c>
      <c r="C24" s="472" t="s">
        <v>10</v>
      </c>
      <c r="D24" s="285"/>
      <c r="E24" s="286"/>
      <c r="F24" s="286"/>
      <c r="G24" s="286"/>
      <c r="H24" s="286"/>
      <c r="I24" s="303"/>
    </row>
    <row r="25" spans="1:11" ht="87" customHeight="1" x14ac:dyDescent="0.25">
      <c r="A25" s="910"/>
      <c r="B25" s="862"/>
      <c r="C25" s="473" t="s">
        <v>11</v>
      </c>
      <c r="D25" s="267"/>
      <c r="E25" s="234"/>
      <c r="F25" s="234"/>
      <c r="G25" s="301"/>
      <c r="H25" s="234"/>
      <c r="I25" s="268"/>
    </row>
    <row r="26" spans="1:11" ht="87" customHeight="1" x14ac:dyDescent="0.25">
      <c r="A26" s="910"/>
      <c r="B26" s="862"/>
      <c r="C26" s="473" t="s">
        <v>12</v>
      </c>
      <c r="D26" s="392"/>
      <c r="E26" s="361"/>
      <c r="F26" s="416"/>
      <c r="G26" s="416"/>
      <c r="H26" s="384"/>
      <c r="I26" s="443"/>
    </row>
    <row r="27" spans="1:11" ht="87" customHeight="1" x14ac:dyDescent="0.25">
      <c r="A27" s="910"/>
      <c r="B27" s="862"/>
      <c r="C27" s="473" t="s">
        <v>13</v>
      </c>
      <c r="D27" s="485"/>
      <c r="E27" s="361"/>
      <c r="F27" s="361"/>
      <c r="G27" s="361"/>
      <c r="H27" s="384"/>
      <c r="I27" s="443"/>
    </row>
    <row r="28" spans="1:11" ht="87" customHeight="1" thickBot="1" x14ac:dyDescent="0.3">
      <c r="A28" s="911"/>
      <c r="B28" s="863"/>
      <c r="C28" s="474" t="s">
        <v>15</v>
      </c>
      <c r="D28" s="543"/>
      <c r="E28" s="544"/>
      <c r="F28" s="544"/>
      <c r="G28" s="515"/>
      <c r="H28" s="515"/>
      <c r="I28" s="545"/>
    </row>
    <row r="29" spans="1:11" ht="87" customHeight="1" x14ac:dyDescent="0.25">
      <c r="A29" s="913" t="s">
        <v>4</v>
      </c>
      <c r="B29" s="897">
        <f>B24+1</f>
        <v>46367</v>
      </c>
      <c r="C29" s="451" t="s">
        <v>10</v>
      </c>
      <c r="D29" s="276"/>
      <c r="E29" s="282"/>
      <c r="F29" s="282"/>
      <c r="G29" s="277"/>
      <c r="H29" s="343"/>
      <c r="I29" s="278"/>
    </row>
    <row r="30" spans="1:11" ht="87" customHeight="1" x14ac:dyDescent="0.25">
      <c r="A30" s="913"/>
      <c r="B30" s="862"/>
      <c r="C30" s="452" t="s">
        <v>11</v>
      </c>
      <c r="D30" s="299"/>
      <c r="E30" s="301"/>
      <c r="F30" s="301"/>
      <c r="G30" s="233"/>
      <c r="H30" s="432"/>
      <c r="I30" s="270"/>
    </row>
    <row r="31" spans="1:11" ht="87" customHeight="1" x14ac:dyDescent="0.25">
      <c r="A31" s="913"/>
      <c r="B31" s="862"/>
      <c r="C31" s="452" t="s">
        <v>12</v>
      </c>
      <c r="D31" s="267"/>
      <c r="E31" s="234"/>
      <c r="F31" s="234"/>
      <c r="G31" s="234"/>
      <c r="H31" s="301"/>
      <c r="I31" s="300"/>
    </row>
    <row r="32" spans="1:11" ht="87" customHeight="1" x14ac:dyDescent="0.25">
      <c r="A32" s="913"/>
      <c r="B32" s="862"/>
      <c r="C32" s="452" t="s">
        <v>13</v>
      </c>
      <c r="D32" s="267"/>
      <c r="E32" s="234"/>
      <c r="F32" s="234"/>
      <c r="G32" s="234"/>
      <c r="H32" s="265"/>
      <c r="I32" s="268"/>
    </row>
    <row r="33" spans="1:9" ht="87" customHeight="1" thickBot="1" x14ac:dyDescent="0.3">
      <c r="A33" s="915"/>
      <c r="B33" s="862"/>
      <c r="C33" s="453" t="s">
        <v>15</v>
      </c>
      <c r="D33" s="271"/>
      <c r="E33" s="272"/>
      <c r="F33" s="272"/>
      <c r="G33" s="272"/>
      <c r="H33" s="272"/>
      <c r="I33" s="273"/>
    </row>
    <row r="34" spans="1:9" ht="42.75" customHeight="1" x14ac:dyDescent="0.25">
      <c r="A34" s="862" t="s">
        <v>47</v>
      </c>
      <c r="B34" s="861">
        <f>B29+1</f>
        <v>46368</v>
      </c>
      <c r="C34" s="475" t="s">
        <v>10</v>
      </c>
      <c r="D34" s="313"/>
      <c r="E34" s="314"/>
      <c r="F34" s="314"/>
      <c r="G34" s="314"/>
      <c r="H34" s="314"/>
      <c r="I34" s="315"/>
    </row>
    <row r="35" spans="1:9" ht="42.75" customHeight="1" x14ac:dyDescent="0.25">
      <c r="A35" s="862"/>
      <c r="B35" s="862"/>
      <c r="C35" s="476" t="s">
        <v>11</v>
      </c>
      <c r="D35" s="316"/>
      <c r="E35" s="317"/>
      <c r="F35" s="317"/>
      <c r="G35" s="317"/>
      <c r="H35" s="318"/>
      <c r="I35" s="317"/>
    </row>
    <row r="36" spans="1:9" ht="42.75" customHeight="1" x14ac:dyDescent="0.25">
      <c r="A36" s="862"/>
      <c r="B36" s="862"/>
      <c r="C36" s="476" t="s">
        <v>12</v>
      </c>
      <c r="D36" s="316"/>
      <c r="E36" s="317"/>
      <c r="F36" s="317"/>
      <c r="G36" s="317"/>
      <c r="H36" s="317"/>
      <c r="I36" s="319"/>
    </row>
    <row r="37" spans="1:9" ht="42.75" customHeight="1" x14ac:dyDescent="0.25">
      <c r="A37" s="862"/>
      <c r="B37" s="862"/>
      <c r="C37" s="476" t="s">
        <v>13</v>
      </c>
      <c r="D37" s="316"/>
      <c r="E37" s="320"/>
      <c r="F37" s="320"/>
      <c r="G37" s="320"/>
      <c r="H37" s="317"/>
      <c r="I37" s="317"/>
    </row>
    <row r="38" spans="1:9" ht="42.75" customHeight="1" thickBot="1" x14ac:dyDescent="0.3">
      <c r="A38" s="863"/>
      <c r="B38" s="863"/>
      <c r="C38" s="477" t="s">
        <v>15</v>
      </c>
      <c r="D38" s="321"/>
      <c r="E38" s="322"/>
      <c r="F38" s="322"/>
      <c r="G38" s="322"/>
      <c r="H38" s="322"/>
      <c r="I38" s="322"/>
    </row>
    <row r="39" spans="1:9" ht="32.25" customHeight="1" x14ac:dyDescent="0.3">
      <c r="A39" s="2"/>
      <c r="B39" s="2"/>
      <c r="C39" s="44"/>
      <c r="D39" s="170" t="s">
        <v>86</v>
      </c>
      <c r="E39" s="44"/>
      <c r="F39" s="44"/>
      <c r="G39" s="44"/>
      <c r="H39" s="44"/>
      <c r="I39" s="44"/>
    </row>
    <row r="40" spans="1:9" s="19" customFormat="1" ht="26.25" x14ac:dyDescent="0.4">
      <c r="A40" s="18"/>
      <c r="B40" s="18"/>
      <c r="C40" s="104" t="str">
        <f>'01.09'!C39</f>
        <v>*Л. Речевое общение в профессиональной деятельности*</v>
      </c>
      <c r="D40" s="105">
        <f>'30.11'!D40+COUNTIF(D$8:D$38,$C40)</f>
        <v>5</v>
      </c>
      <c r="E40" s="105">
        <f>'30.11'!E40+COUNTIF(E$8:E$38,$C40)</f>
        <v>5</v>
      </c>
      <c r="F40" s="105">
        <f>'30.11'!F40+COUNTIF(F$8:F$38,$C40)</f>
        <v>5</v>
      </c>
      <c r="G40" s="105">
        <f>'30.11'!G40+COUNTIF(G$8:G$38,$C40)</f>
        <v>5</v>
      </c>
      <c r="H40" s="105">
        <f>'30.11'!H40+COUNTIF(H$8:H$38,$C40)</f>
        <v>5</v>
      </c>
      <c r="I40" s="105">
        <f>'30.11'!I40+COUNTIF(I$8:I$38,$C40)</f>
        <v>5</v>
      </c>
    </row>
    <row r="41" spans="1:9" s="19" customFormat="1" ht="26.25" x14ac:dyDescent="0.4">
      <c r="A41" s="18"/>
      <c r="B41" s="18"/>
      <c r="C41" s="104" t="str">
        <f>'01.09'!C40</f>
        <v>*Пр. Речевое общение в профессиональной деятельности*</v>
      </c>
      <c r="D41" s="106">
        <f>'30.11'!D41+COUNTIF(D$8:D$38,$C41)</f>
        <v>4</v>
      </c>
      <c r="E41" s="106">
        <f>'30.11'!E41+COUNTIF(E$8:E$38,$C41)</f>
        <v>4</v>
      </c>
      <c r="F41" s="105">
        <f>'30.11'!F41+COUNTIF(F$8:F$38,$C41)</f>
        <v>4</v>
      </c>
      <c r="G41" s="106">
        <f>'30.11'!G41+COUNTIF(G$8:G$38,$C41)</f>
        <v>4</v>
      </c>
      <c r="H41" s="106">
        <f>'30.11'!H41+COUNTIF(H$8:H$38,$C41)</f>
        <v>4</v>
      </c>
      <c r="I41" s="106">
        <f>'30.11'!I41+COUNTIF(I$8:I$38,$C41)</f>
        <v>4</v>
      </c>
    </row>
    <row r="42" spans="1:9" s="19" customFormat="1" ht="26.25" x14ac:dyDescent="0.4">
      <c r="A42" s="18"/>
      <c r="B42" s="18"/>
      <c r="C42" s="104" t="str">
        <f>'01.09'!C41</f>
        <v>*Л. Элективные дисциплины по ФКиС: Силовая подготовка*</v>
      </c>
      <c r="D42" s="105">
        <f>'30.11'!D42+COUNTIF(D$8:D$38,$C42)</f>
        <v>1</v>
      </c>
      <c r="E42" s="105">
        <f>'30.11'!E42+COUNTIF(E$8:E$38,$C42)</f>
        <v>1</v>
      </c>
      <c r="F42" s="105">
        <f>'30.11'!F42+COUNTIF(F$8:F$38,$C42)</f>
        <v>1</v>
      </c>
      <c r="G42" s="105">
        <f>'30.11'!G42+COUNTIF(G$8:G$38,$C42)</f>
        <v>1</v>
      </c>
      <c r="H42" s="105">
        <f>'30.11'!H42+COUNTIF(H$8:H$38,$C42)</f>
        <v>1</v>
      </c>
      <c r="I42" s="105">
        <f>'30.11'!I42+COUNTIF(I$8:I$38,$C42)</f>
        <v>1</v>
      </c>
    </row>
    <row r="43" spans="1:9" s="19" customFormat="1" ht="26.25" x14ac:dyDescent="0.4">
      <c r="A43" s="18"/>
      <c r="B43" s="18"/>
      <c r="C43" s="104" t="str">
        <f>'01.09'!C42</f>
        <v>*Пр. Элективные дисциплины по ФКиС: Силовая подготовка*</v>
      </c>
      <c r="D43" s="106">
        <f>'30.11'!D43+COUNTIF(D$8:D$38,$C43)</f>
        <v>8</v>
      </c>
      <c r="E43" s="106">
        <f>'30.11'!E43+COUNTIF(E$8:E$38,$C43)</f>
        <v>9</v>
      </c>
      <c r="F43" s="105">
        <f>'30.11'!F43+COUNTIF(F$8:F$38,$C43)</f>
        <v>9</v>
      </c>
      <c r="G43" s="106">
        <f>'30.11'!G43+COUNTIF(G$8:G$38,$C43)</f>
        <v>9</v>
      </c>
      <c r="H43" s="106">
        <f>'30.11'!H43+COUNTIF(H$8:H$38,$C43)</f>
        <v>9</v>
      </c>
      <c r="I43" s="106">
        <f>'30.11'!I43+COUNTIF(I$8:I$38,$C43)</f>
        <v>8</v>
      </c>
    </row>
    <row r="44" spans="1:9" s="19" customFormat="1" ht="26.25" x14ac:dyDescent="0.4">
      <c r="A44" s="18"/>
      <c r="B44" s="18"/>
      <c r="C44" s="104" t="str">
        <f>'01.09'!C43</f>
        <v>*Л. Анатомия*</v>
      </c>
      <c r="D44" s="105">
        <f>'30.11'!D44+COUNTIF(D$8:D$38,$C44)</f>
        <v>4</v>
      </c>
      <c r="E44" s="105">
        <f>'30.11'!E44+COUNTIF(E$8:E$38,$C44)</f>
        <v>4</v>
      </c>
      <c r="F44" s="105">
        <f>'30.11'!F44+COUNTIF(F$8:F$38,$C44)</f>
        <v>4</v>
      </c>
      <c r="G44" s="105">
        <f>'30.11'!G44+COUNTIF(G$8:G$38,$C44)</f>
        <v>4</v>
      </c>
      <c r="H44" s="105">
        <f>'30.11'!H44+COUNTIF(H$8:H$38,$C44)</f>
        <v>4</v>
      </c>
      <c r="I44" s="105">
        <f>'30.11'!I44+COUNTIF(I$8:I$38,$C44)</f>
        <v>4</v>
      </c>
    </row>
    <row r="45" spans="1:9" s="19" customFormat="1" ht="26.25" x14ac:dyDescent="0.4">
      <c r="A45" s="18"/>
      <c r="B45" s="18"/>
      <c r="C45" s="104" t="str">
        <f>'01.09'!C44</f>
        <v>*Пр. Анатомия*</v>
      </c>
      <c r="D45" s="106">
        <f>'30.11'!D45+COUNTIF(D$8:D$38,$C45)</f>
        <v>4</v>
      </c>
      <c r="E45" s="106">
        <f>'30.11'!E45+COUNTIF(E$8:E$38,$C45)</f>
        <v>4</v>
      </c>
      <c r="F45" s="105">
        <f>'30.11'!F45+COUNTIF(F$8:F$38,$C45)</f>
        <v>4</v>
      </c>
      <c r="G45" s="106">
        <f>'30.11'!G45+COUNTIF(G$8:G$38,$C45)</f>
        <v>4</v>
      </c>
      <c r="H45" s="106">
        <f>'30.11'!H45+COUNTIF(H$8:H$38,$C45)</f>
        <v>4</v>
      </c>
      <c r="I45" s="106">
        <f>'30.11'!I45+COUNTIF(I$8:I$38,$C45)</f>
        <v>4</v>
      </c>
    </row>
    <row r="46" spans="1:9" s="19" customFormat="1" ht="26.25" x14ac:dyDescent="0.4">
      <c r="A46" s="18"/>
      <c r="B46" s="18"/>
      <c r="C46" s="104" t="str">
        <f>'01.09'!C45</f>
        <v>*Л. Теория и методика*</v>
      </c>
      <c r="D46" s="105">
        <f>'30.11'!D46+COUNTIF(D$8:D$38,$C46)</f>
        <v>5</v>
      </c>
      <c r="E46" s="105">
        <f>'30.11'!E46+COUNTIF(E$8:E$38,$C46)</f>
        <v>4</v>
      </c>
      <c r="F46" s="105">
        <f>'30.11'!F46+COUNTIF(F$8:F$38,$C46)</f>
        <v>4</v>
      </c>
      <c r="G46" s="105">
        <f>'30.11'!G46+COUNTIF(G$8:G$38,$C46)</f>
        <v>4</v>
      </c>
      <c r="H46" s="105">
        <f>'30.11'!H46+COUNTIF(H$8:H$38,$C46)</f>
        <v>5</v>
      </c>
      <c r="I46" s="105">
        <f>'30.11'!I46+COUNTIF(I$8:I$38,$C46)</f>
        <v>3</v>
      </c>
    </row>
    <row r="47" spans="1:9" s="19" customFormat="1" ht="26.25" x14ac:dyDescent="0.4">
      <c r="A47" s="18"/>
      <c r="B47" s="18"/>
      <c r="C47" s="104" t="str">
        <f>'01.09'!C46</f>
        <v>*Пр. Теория и методика*</v>
      </c>
      <c r="D47" s="106">
        <f>'30.11'!D47+COUNTIF(D$8:D$38,$C47)</f>
        <v>24</v>
      </c>
      <c r="E47" s="106">
        <f>'30.11'!E47+COUNTIF(E$8:E$38,$C47)</f>
        <v>23</v>
      </c>
      <c r="F47" s="105">
        <f>'30.11'!F47+COUNTIF(F$8:F$38,$C47)</f>
        <v>23</v>
      </c>
      <c r="G47" s="106">
        <f>'30.11'!G47+COUNTIF(G$8:G$38,$C47)</f>
        <v>23</v>
      </c>
      <c r="H47" s="106">
        <f>'30.11'!H47+COUNTIF(H$8:H$38,$C47)</f>
        <v>26</v>
      </c>
      <c r="I47" s="106">
        <f>'30.11'!I47+COUNTIF(I$8:I$38,$C47)</f>
        <v>20</v>
      </c>
    </row>
    <row r="48" spans="1:9" s="19" customFormat="1" ht="26.25" x14ac:dyDescent="0.4">
      <c r="A48" s="18"/>
      <c r="B48" s="18"/>
      <c r="C48" s="104" t="str">
        <f>'01.09'!C47</f>
        <v>*Л. Физическая культура и спорт*</v>
      </c>
      <c r="D48" s="105">
        <f>'30.11'!D48+COUNTIF(D$8:D$38,$C48)</f>
        <v>5</v>
      </c>
      <c r="E48" s="105">
        <f>'30.11'!E48+COUNTIF(E$8:E$38,$C48)</f>
        <v>5</v>
      </c>
      <c r="F48" s="105">
        <f>'30.11'!F48+COUNTIF(F$8:F$38,$C48)</f>
        <v>5</v>
      </c>
      <c r="G48" s="105">
        <f>'30.11'!G48+COUNTIF(G$8:G$38,$C48)</f>
        <v>5</v>
      </c>
      <c r="H48" s="105">
        <f>'30.11'!H48+COUNTIF(H$8:H$38,$C48)</f>
        <v>5</v>
      </c>
      <c r="I48" s="105">
        <f>'30.11'!I48+COUNTIF(I$8:I$38,$C48)</f>
        <v>5</v>
      </c>
    </row>
    <row r="49" spans="1:9" s="19" customFormat="1" ht="26.25" x14ac:dyDescent="0.4">
      <c r="A49" s="18"/>
      <c r="B49" s="18"/>
      <c r="C49" s="104" t="str">
        <f>'01.09'!C48</f>
        <v>*Пр. Физическая культура и спорт*</v>
      </c>
      <c r="D49" s="106">
        <f>'30.11'!D49+COUNTIF(D$8:D$38,$C49)</f>
        <v>5</v>
      </c>
      <c r="E49" s="106">
        <f>'30.11'!E49+COUNTIF(E$8:E$38,$C49)</f>
        <v>5</v>
      </c>
      <c r="F49" s="105">
        <f>'30.11'!F49+COUNTIF(F$8:F$38,$C49)</f>
        <v>5</v>
      </c>
      <c r="G49" s="106">
        <f>'30.11'!G49+COUNTIF(G$8:G$38,$C49)</f>
        <v>5</v>
      </c>
      <c r="H49" s="106">
        <f>'30.11'!H49+COUNTIF(H$8:H$38,$C49)</f>
        <v>5</v>
      </c>
      <c r="I49" s="106">
        <f>'30.11'!I49+COUNTIF(I$8:I$38,$C49)</f>
        <v>5</v>
      </c>
    </row>
    <row r="50" spans="1:9" s="19" customFormat="1" ht="26.25" x14ac:dyDescent="0.4">
      <c r="A50" s="18"/>
      <c r="B50" s="18"/>
      <c r="C50" s="104" t="str">
        <f>'01.09'!C49</f>
        <v>*Л. Информационные технологии*</v>
      </c>
      <c r="D50" s="105">
        <f>'30.11'!D50+COUNTIF(D$8:D$38,$C50)</f>
        <v>2</v>
      </c>
      <c r="E50" s="105">
        <f>'30.11'!E50+COUNTIF(E$8:E$38,$C50)</f>
        <v>2</v>
      </c>
      <c r="F50" s="105">
        <f>'30.11'!F50+COUNTIF(F$8:F$38,$C50)</f>
        <v>2</v>
      </c>
      <c r="G50" s="105">
        <f>'30.11'!G50+COUNTIF(G$8:G$38,$C50)</f>
        <v>2</v>
      </c>
      <c r="H50" s="105">
        <f>'30.11'!H50+COUNTIF(H$8:H$38,$C50)</f>
        <v>2</v>
      </c>
      <c r="I50" s="105">
        <f>'30.11'!I50+COUNTIF(I$8:I$38,$C50)</f>
        <v>2</v>
      </c>
    </row>
    <row r="51" spans="1:9" s="19" customFormat="1" ht="26.25" x14ac:dyDescent="0.4">
      <c r="A51" s="18"/>
      <c r="B51" s="18"/>
      <c r="C51" s="104" t="str">
        <f>'01.09'!C50</f>
        <v>*Пр. Информационные технологии*</v>
      </c>
      <c r="D51" s="106">
        <f>'30.11'!D51+COUNTIF(D$8:D$38,$C51)</f>
        <v>8</v>
      </c>
      <c r="E51" s="106">
        <f>'30.11'!E51+COUNTIF(E$8:E$38,$C51)</f>
        <v>8</v>
      </c>
      <c r="F51" s="105">
        <f>'30.11'!F51+COUNTIF(F$8:F$38,$C51)</f>
        <v>8</v>
      </c>
      <c r="G51" s="106">
        <f>'30.11'!G51+COUNTIF(G$8:G$38,$C51)</f>
        <v>8</v>
      </c>
      <c r="H51" s="106">
        <f>'30.11'!H51+COUNTIF(H$8:H$38,$C51)</f>
        <v>8</v>
      </c>
      <c r="I51" s="106">
        <f>'30.11'!I51+COUNTIF(I$8:I$38,$C51)</f>
        <v>8</v>
      </c>
    </row>
    <row r="52" spans="1:9" s="19" customFormat="1" ht="26.25" x14ac:dyDescent="0.4">
      <c r="A52" s="18"/>
      <c r="B52" s="18"/>
      <c r="C52" s="104" t="str">
        <f>'01.09'!C51</f>
        <v>*Л. Гимнастика*</v>
      </c>
      <c r="D52" s="105">
        <f>'30.11'!D52+COUNTIF(D$8:D$38,$C52)</f>
        <v>3</v>
      </c>
      <c r="E52" s="105">
        <f>'30.11'!E52+COUNTIF(E$8:E$38,$C52)</f>
        <v>3</v>
      </c>
      <c r="F52" s="105">
        <f>'30.11'!F52+COUNTIF(F$8:F$38,$C52)</f>
        <v>3</v>
      </c>
      <c r="G52" s="105">
        <f>'30.11'!G52+COUNTIF(G$8:G$38,$C52)</f>
        <v>3</v>
      </c>
      <c r="H52" s="105">
        <f>'30.11'!H52+COUNTIF(H$8:H$38,$C52)</f>
        <v>3</v>
      </c>
      <c r="I52" s="105">
        <f>'30.11'!I52+COUNTIF(I$8:I$38,$C52)</f>
        <v>3</v>
      </c>
    </row>
    <row r="53" spans="1:9" s="19" customFormat="1" ht="26.25" x14ac:dyDescent="0.4">
      <c r="A53" s="18"/>
      <c r="B53" s="18"/>
      <c r="C53" s="104" t="str">
        <f>'01.09'!C52</f>
        <v>*Пр. Гимнастика*</v>
      </c>
      <c r="D53" s="106">
        <f>'30.11'!D53+COUNTIF(D$8:D$38,$C53)</f>
        <v>8</v>
      </c>
      <c r="E53" s="106">
        <f>'30.11'!E53+COUNTIF(E$8:E$38,$C53)</f>
        <v>13</v>
      </c>
      <c r="F53" s="105">
        <f>'30.11'!F53+COUNTIF(F$8:F$38,$C53)</f>
        <v>13</v>
      </c>
      <c r="G53" s="106">
        <f>'30.11'!G53+COUNTIF(G$8:G$38,$C53)</f>
        <v>12</v>
      </c>
      <c r="H53" s="106">
        <f>'30.11'!H53+COUNTIF(H$8:H$38,$C53)</f>
        <v>13</v>
      </c>
      <c r="I53" s="106">
        <f>'30.11'!I53+COUNTIF(I$8:I$38,$C53)</f>
        <v>12</v>
      </c>
    </row>
    <row r="54" spans="1:9" s="19" customFormat="1" ht="26.25" x14ac:dyDescent="0.4">
      <c r="A54" s="18"/>
      <c r="B54" s="18"/>
      <c r="C54" s="104" t="str">
        <f>'01.09'!C53</f>
        <v>*Л. Волейбол*</v>
      </c>
      <c r="D54" s="105">
        <f>'30.11'!D54+COUNTIF(D$8:D$38,$C54)</f>
        <v>1</v>
      </c>
      <c r="E54" s="105">
        <f>'30.11'!E54+COUNTIF(E$8:E$38,$C54)</f>
        <v>1</v>
      </c>
      <c r="F54" s="105">
        <f>'30.11'!F54+COUNTIF(F$8:F$38,$C54)</f>
        <v>1</v>
      </c>
      <c r="G54" s="105">
        <f>'30.11'!G54+COUNTIF(G$8:G$38,$C54)</f>
        <v>1</v>
      </c>
      <c r="H54" s="105">
        <f>'30.11'!H54+COUNTIF(H$8:H$38,$C54)</f>
        <v>1</v>
      </c>
      <c r="I54" s="105">
        <f>'30.11'!I54+COUNTIF(I$8:I$38,$C54)</f>
        <v>1</v>
      </c>
    </row>
    <row r="55" spans="1:9" s="19" customFormat="1" ht="26.25" x14ac:dyDescent="0.4">
      <c r="A55" s="18"/>
      <c r="B55" s="18"/>
      <c r="C55" s="104" t="str">
        <f>'01.09'!C54</f>
        <v>*Пр. Волейбол*</v>
      </c>
      <c r="D55" s="106">
        <f>'30.11'!D55+COUNTIF(D$8:D$38,$C55)</f>
        <v>16</v>
      </c>
      <c r="E55" s="106">
        <f>'30.11'!E55+COUNTIF(E$8:E$38,$C55)</f>
        <v>16</v>
      </c>
      <c r="F55" s="105">
        <f>'30.11'!F55+COUNTIF(F$8:F$38,$C55)</f>
        <v>8</v>
      </c>
      <c r="G55" s="106">
        <f>'30.11'!G55+COUNTIF(G$8:G$38,$C55)</f>
        <v>8</v>
      </c>
      <c r="H55" s="106">
        <f>'30.11'!H55+COUNTIF(H$8:H$38,$C55)</f>
        <v>16</v>
      </c>
      <c r="I55" s="106">
        <f>'30.11'!I55+COUNTIF(I$8:I$38,$C55)</f>
        <v>16</v>
      </c>
    </row>
    <row r="56" spans="1:9" s="19" customFormat="1" ht="26.25" x14ac:dyDescent="0.4">
      <c r="A56" s="18"/>
      <c r="B56" s="18"/>
      <c r="C56" s="104" t="str">
        <f>'01.09'!C55</f>
        <v>*Л. Лыжные гонки*</v>
      </c>
      <c r="D56" s="105">
        <f>'30.11'!D56+COUNTIF(D$8:D$38,$C56)</f>
        <v>0</v>
      </c>
      <c r="E56" s="105">
        <f>'30.11'!E56+COUNTIF(E$8:E$38,$C56)</f>
        <v>0</v>
      </c>
      <c r="F56" s="105">
        <f>'30.11'!F56+COUNTIF(F$8:F$38,$C56)</f>
        <v>0</v>
      </c>
      <c r="G56" s="105">
        <f>'30.11'!G56+COUNTIF(G$8:G$38,$C56)</f>
        <v>0</v>
      </c>
      <c r="H56" s="105">
        <f>'30.11'!H56+COUNTIF(H$8:H$38,$C56)</f>
        <v>0</v>
      </c>
      <c r="I56" s="105">
        <f>'30.11'!I56+COUNTIF(I$8:I$38,$C56)</f>
        <v>0</v>
      </c>
    </row>
    <row r="57" spans="1:9" s="19" customFormat="1" ht="26.25" x14ac:dyDescent="0.4">
      <c r="A57" s="18"/>
      <c r="B57" s="18"/>
      <c r="C57" s="104" t="str">
        <f>'01.09'!C56</f>
        <v>*Пр. Лыжные гонки*</v>
      </c>
      <c r="D57" s="106">
        <f>'30.11'!D57+COUNTIF(D$8:D$38,$C57)</f>
        <v>0</v>
      </c>
      <c r="E57" s="106">
        <f>'30.11'!E57+COUNTIF(E$8:E$38,$C57)</f>
        <v>0</v>
      </c>
      <c r="F57" s="105">
        <f>'30.11'!F57+COUNTIF(F$8:F$38,$C57)</f>
        <v>0</v>
      </c>
      <c r="G57" s="106">
        <f>'30.11'!G57+COUNTIF(G$8:G$38,$C57)</f>
        <v>0</v>
      </c>
      <c r="H57" s="106">
        <f>'30.11'!H57+COUNTIF(H$8:H$38,$C57)</f>
        <v>0</v>
      </c>
      <c r="I57" s="106">
        <f>'30.11'!I57+COUNTIF(I$8:I$38,$C57)</f>
        <v>0</v>
      </c>
    </row>
    <row r="58" spans="1:9" s="19" customFormat="1" ht="26.25" x14ac:dyDescent="0.4">
      <c r="A58" s="18"/>
      <c r="B58" s="18"/>
      <c r="C58" s="104" t="str">
        <f>'01.09'!C57</f>
        <v>*Л. Использование электронной*</v>
      </c>
      <c r="D58" s="105">
        <f>'30.11'!D58+COUNTIF(D$8:D$38,$C58)</f>
        <v>1</v>
      </c>
      <c r="E58" s="105">
        <f>'30.11'!E58+COUNTIF(E$8:E$38,$C58)</f>
        <v>0</v>
      </c>
      <c r="F58" s="105">
        <f>'30.11'!F58+COUNTIF(F$8:F$38,$C58)</f>
        <v>0</v>
      </c>
      <c r="G58" s="105">
        <f>'30.11'!G58+COUNTIF(G$8:G$38,$C58)</f>
        <v>0</v>
      </c>
      <c r="H58" s="105">
        <f>'30.11'!H58+COUNTIF(H$8:H$38,$C58)</f>
        <v>0</v>
      </c>
      <c r="I58" s="105">
        <f>'30.11'!I58+COUNTIF(I$8:I$38,$C58)</f>
        <v>0</v>
      </c>
    </row>
    <row r="59" spans="1:9" s="19" customFormat="1" ht="26.25" x14ac:dyDescent="0.4">
      <c r="A59" s="18"/>
      <c r="B59" s="18"/>
      <c r="C59" s="104" t="str">
        <f>'01.09'!C58</f>
        <v>*Пр. Использование электронной*</v>
      </c>
      <c r="D59" s="106">
        <f>'30.11'!D59+COUNTIF(D$8:D$38,$C59)</f>
        <v>2</v>
      </c>
      <c r="E59" s="106">
        <f>'30.11'!E59+COUNTIF(E$8:E$38,$C59)</f>
        <v>2</v>
      </c>
      <c r="F59" s="105">
        <f>'30.11'!F59+COUNTIF(F$8:F$38,$C59)</f>
        <v>2</v>
      </c>
      <c r="G59" s="106">
        <f>'30.11'!G59+COUNTIF(G$8:G$38,$C59)</f>
        <v>2</v>
      </c>
      <c r="H59" s="106">
        <f>'30.11'!H59+COUNTIF(H$8:H$38,$C59)</f>
        <v>2</v>
      </c>
      <c r="I59" s="106">
        <f>'30.11'!I59+COUNTIF(I$8:I$38,$C59)</f>
        <v>2</v>
      </c>
    </row>
    <row r="60" spans="1:9" s="19" customFormat="1" ht="26.25" x14ac:dyDescent="0.4">
      <c r="A60" s="18"/>
      <c r="B60" s="18"/>
      <c r="C60" s="104" t="str">
        <f>'01.09'!C59</f>
        <v>*Пр. Иностранный язык*</v>
      </c>
      <c r="D60" s="105">
        <f>'30.11'!D60+COUNTIF(D$8:D$38,$C60)</f>
        <v>8</v>
      </c>
      <c r="E60" s="105">
        <f>'30.11'!E60+COUNTIF(E$8:E$38,$C60)</f>
        <v>8</v>
      </c>
      <c r="F60" s="105">
        <f>'30.11'!F60+COUNTIF(F$8:F$38,$C60)</f>
        <v>8</v>
      </c>
      <c r="G60" s="105">
        <f>'30.11'!G60+COUNTIF(G$8:G$38,$C60)</f>
        <v>8</v>
      </c>
      <c r="H60" s="105">
        <f>'30.11'!H60+COUNTIF(H$8:H$38,$C60)</f>
        <v>8</v>
      </c>
      <c r="I60" s="105">
        <f>'30.11'!I60+COUNTIF(I$8:I$38,$C60)</f>
        <v>8</v>
      </c>
    </row>
    <row r="61" spans="1:9" s="19" customFormat="1" ht="26.25" x14ac:dyDescent="0.4">
      <c r="A61" s="18"/>
      <c r="B61" s="18"/>
      <c r="C61" s="104" t="str">
        <f>'01.09'!C60</f>
        <v>*С1-04А-26*</v>
      </c>
      <c r="D61" s="106">
        <f>'30.11'!D61+COUNTIF(D$8:D$38,$C61)</f>
        <v>0</v>
      </c>
      <c r="E61" s="106">
        <f>'30.11'!E61+COUNTIF(E$8:E$38,$C61)</f>
        <v>0</v>
      </c>
      <c r="F61" s="105">
        <f>'30.11'!F61+COUNTIF(F$8:F$38,$C61)</f>
        <v>0</v>
      </c>
      <c r="G61" s="106">
        <f>'30.11'!G61+COUNTIF(G$8:G$38,$C61)</f>
        <v>17</v>
      </c>
      <c r="H61" s="106">
        <f>'30.11'!H61+COUNTIF(H$8:H$38,$C61)</f>
        <v>0</v>
      </c>
      <c r="I61" s="106">
        <f>'30.11'!I61+COUNTIF(I$8:I$38,$C61)</f>
        <v>0</v>
      </c>
    </row>
    <row r="62" spans="1:9" ht="26.25" x14ac:dyDescent="0.4">
      <c r="A62" s="2"/>
      <c r="B62" s="2"/>
      <c r="C62" s="104" t="str">
        <f>'01.09'!C61</f>
        <v>*С1-04Б-26*</v>
      </c>
      <c r="D62" s="105">
        <f>'30.11'!D62+COUNTIF(D$8:D$38,$C62)</f>
        <v>0</v>
      </c>
      <c r="E62" s="105">
        <f>'30.11'!E62+COUNTIF(E$8:E$38,$C62)</f>
        <v>0</v>
      </c>
      <c r="F62" s="105">
        <f>'30.11'!F62+COUNTIF(F$8:F$38,$C62)</f>
        <v>0</v>
      </c>
      <c r="G62" s="105">
        <f>'30.11'!G62+COUNTIF(G$8:G$38,$C62)</f>
        <v>17</v>
      </c>
      <c r="H62" s="105">
        <f>'30.11'!H62+COUNTIF(H$8:H$38,$C62)</f>
        <v>0</v>
      </c>
      <c r="I62" s="105">
        <f>'30.11'!I62+COUNTIF(I$8:I$38,$C62)</f>
        <v>0</v>
      </c>
    </row>
    <row r="63" spans="1:9" ht="26.25" x14ac:dyDescent="0.4">
      <c r="A63" s="2"/>
      <c r="B63" s="2"/>
      <c r="C63" s="104" t="str">
        <f>'01.09'!C62</f>
        <v>*С1-05А-26*</v>
      </c>
      <c r="D63" s="106">
        <f>'30.11'!D63+COUNTIF(D$8:D$38,$C63)</f>
        <v>0</v>
      </c>
      <c r="E63" s="106">
        <f>'30.11'!E63+COUNTIF(E$8:E$38,$C63)</f>
        <v>0</v>
      </c>
      <c r="F63" s="105">
        <f>'30.11'!F63+COUNTIF(F$8:F$38,$C63)</f>
        <v>0</v>
      </c>
      <c r="G63" s="106">
        <f>'30.11'!G63+COUNTIF(G$8:G$38,$C63)</f>
        <v>0</v>
      </c>
      <c r="H63" s="106">
        <f>'30.11'!H63+COUNTIF(H$8:H$38,$C63)</f>
        <v>8</v>
      </c>
      <c r="I63" s="106">
        <f>'30.11'!I63+COUNTIF(I$8:I$38,$C63)</f>
        <v>0</v>
      </c>
    </row>
    <row r="64" spans="1:9" ht="26.25" x14ac:dyDescent="0.4">
      <c r="A64" s="2"/>
      <c r="B64" s="2"/>
      <c r="C64" s="104" t="str">
        <f>'01.09'!C63</f>
        <v>*С1-05Б-26*</v>
      </c>
      <c r="D64" s="105">
        <f>'30.11'!D64+COUNTIF(D$8:D$38,$C64)</f>
        <v>0</v>
      </c>
      <c r="E64" s="105">
        <f>'30.11'!E64+COUNTIF(E$8:E$38,$C64)</f>
        <v>0</v>
      </c>
      <c r="F64" s="105">
        <f>'30.11'!F64+COUNTIF(F$8:F$38,$C64)</f>
        <v>0</v>
      </c>
      <c r="G64" s="105">
        <f>'30.11'!G64+COUNTIF(G$8:G$38,$C64)</f>
        <v>0</v>
      </c>
      <c r="H64" s="105">
        <f>'30.11'!H64+COUNTIF(H$8:H$38,$C64)</f>
        <v>8</v>
      </c>
      <c r="I64" s="105">
        <f>'30.11'!I64+COUNTIF(I$8:I$38,$C64)</f>
        <v>0</v>
      </c>
    </row>
    <row r="65" spans="1:9" ht="26.25" x14ac:dyDescent="0.4">
      <c r="A65" s="2"/>
      <c r="B65" s="2"/>
      <c r="C65" s="104">
        <f>'01.09'!C64</f>
        <v>0</v>
      </c>
      <c r="D65" s="106">
        <f>'30.11'!D65+COUNTIF(D$8:D$38,$C65)</f>
        <v>0</v>
      </c>
      <c r="E65" s="106">
        <f>'30.11'!E65+COUNTIF(E$8:E$38,$C65)</f>
        <v>0</v>
      </c>
      <c r="F65" s="105">
        <f>'30.11'!F65+COUNTIF(F$8:F$38,$C65)</f>
        <v>0</v>
      </c>
      <c r="G65" s="106">
        <f>'30.11'!G65+COUNTIF(G$8:G$38,$C65)</f>
        <v>0</v>
      </c>
      <c r="H65" s="106">
        <f>'30.11'!H65+COUNTIF(H$8:H$38,$C65)</f>
        <v>0</v>
      </c>
      <c r="I65" s="106">
        <f>'30.11'!I65+COUNTIF(I$8:I$38,$C65)</f>
        <v>0</v>
      </c>
    </row>
    <row r="66" spans="1:9" ht="26.25" x14ac:dyDescent="0.4">
      <c r="A66" s="2"/>
      <c r="B66" s="2"/>
      <c r="C66" s="104">
        <f>'01.09'!C65</f>
        <v>0</v>
      </c>
      <c r="D66" s="105">
        <f>'30.11'!D66+COUNTIF(D$8:D$38,$C66)</f>
        <v>0</v>
      </c>
      <c r="E66" s="105">
        <f>'30.11'!E66+COUNTIF(E$8:E$38,$C66)</f>
        <v>0</v>
      </c>
      <c r="F66" s="105">
        <f>'30.11'!F66+COUNTIF(F$8:F$38,$C66)</f>
        <v>0</v>
      </c>
      <c r="G66" s="105">
        <f>'30.11'!G66+COUNTIF(G$8:G$38,$C66)</f>
        <v>0</v>
      </c>
      <c r="H66" s="105">
        <f>'30.11'!H66+COUNTIF(H$8:H$38,$C66)</f>
        <v>0</v>
      </c>
      <c r="I66" s="105">
        <f>'30.11'!I66+COUNTIF(I$8:I$38,$C66)</f>
        <v>0</v>
      </c>
    </row>
    <row r="67" spans="1:9" ht="26.25" x14ac:dyDescent="0.4">
      <c r="A67" s="2"/>
      <c r="B67" s="2"/>
      <c r="C67" s="104">
        <f>'01.09'!C66</f>
        <v>0</v>
      </c>
      <c r="D67" s="106">
        <f>'30.11'!D67+COUNTIF(D$8:D$38,$C67)</f>
        <v>0</v>
      </c>
      <c r="E67" s="106">
        <f>'30.11'!E67+COUNTIF(E$8:E$38,$C67)</f>
        <v>0</v>
      </c>
      <c r="F67" s="105">
        <f>'30.11'!F67+COUNTIF(F$8:F$38,$C67)</f>
        <v>0</v>
      </c>
      <c r="G67" s="106">
        <f>'30.11'!G67+COUNTIF(G$8:G$38,$C67)</f>
        <v>0</v>
      </c>
      <c r="H67" s="106">
        <f>'30.11'!H67+COUNTIF(H$8:H$38,$C67)</f>
        <v>0</v>
      </c>
      <c r="I67" s="106">
        <f>'30.11'!I67+COUNTIF(I$8:I$38,$C67)</f>
        <v>0</v>
      </c>
    </row>
    <row r="68" spans="1:9" ht="26.25" x14ac:dyDescent="0.4">
      <c r="A68" s="2"/>
      <c r="B68" s="2"/>
      <c r="C68" s="104">
        <f>'01.09'!C67</f>
        <v>0</v>
      </c>
      <c r="D68" s="105">
        <f>'30.11'!D68+COUNTIF(D$8:D$38,$C68)</f>
        <v>0</v>
      </c>
      <c r="E68" s="105">
        <f>'30.11'!E68+COUNTIF(E$8:E$38,$C68)</f>
        <v>0</v>
      </c>
      <c r="F68" s="105">
        <f>'30.11'!F68+COUNTIF(F$8:F$38,$C68)</f>
        <v>0</v>
      </c>
      <c r="G68" s="105">
        <f>'30.11'!G68+COUNTIF(G$8:G$38,$C68)</f>
        <v>0</v>
      </c>
      <c r="H68" s="105">
        <f>'30.11'!H68+COUNTIF(H$8:H$38,$C68)</f>
        <v>0</v>
      </c>
      <c r="I68" s="105">
        <f>'30.11'!I68+COUNTIF(I$8:I$38,$C68)</f>
        <v>0</v>
      </c>
    </row>
    <row r="69" spans="1:9" ht="26.25" x14ac:dyDescent="0.4">
      <c r="A69" s="2"/>
      <c r="B69" s="2"/>
      <c r="C69" s="104">
        <f>'01.09'!C68</f>
        <v>0</v>
      </c>
      <c r="D69" s="106">
        <f>'30.11'!D69+COUNTIF(D$8:D$38,$C69)</f>
        <v>0</v>
      </c>
      <c r="E69" s="106">
        <f>'30.11'!E69+COUNTIF(E$8:E$38,$C69)</f>
        <v>0</v>
      </c>
      <c r="F69" s="105">
        <f>'30.11'!F69+COUNTIF(F$8:F$38,$C69)</f>
        <v>0</v>
      </c>
      <c r="G69" s="106">
        <f>'30.11'!G69+COUNTIF(G$8:G$38,$C69)</f>
        <v>0</v>
      </c>
      <c r="H69" s="106">
        <f>'30.11'!H69+COUNTIF(H$8:H$38,$C69)</f>
        <v>0</v>
      </c>
      <c r="I69" s="106">
        <f>'30.11'!I69+COUNTIF(I$8:I$38,$C69)</f>
        <v>0</v>
      </c>
    </row>
    <row r="70" spans="1:9" ht="26.25" x14ac:dyDescent="0.4">
      <c r="A70" s="2"/>
      <c r="B70" s="2"/>
      <c r="C70" s="104">
        <f>'01.09'!C69</f>
        <v>0</v>
      </c>
      <c r="D70" s="105">
        <f>'30.11'!D70+COUNTIF(D$8:D$38,$C70)</f>
        <v>0</v>
      </c>
      <c r="E70" s="105">
        <f>'30.11'!E70+COUNTIF(E$8:E$38,$C70)</f>
        <v>0</v>
      </c>
      <c r="F70" s="105">
        <f>'30.11'!F70+COUNTIF(F$8:F$38,$C70)</f>
        <v>0</v>
      </c>
      <c r="G70" s="105">
        <f>'30.11'!G70+COUNTIF(G$8:G$38,$C70)</f>
        <v>0</v>
      </c>
      <c r="H70" s="105">
        <f>'30.11'!H70+COUNTIF(H$8:H$38,$C70)</f>
        <v>0</v>
      </c>
      <c r="I70" s="105">
        <f>'30.11'!I70+COUNTIF(I$8:I$38,$C70)</f>
        <v>0</v>
      </c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</sheetData>
  <mergeCells count="20">
    <mergeCell ref="B1:I1"/>
    <mergeCell ref="B2:I2"/>
    <mergeCell ref="B3:I3"/>
    <mergeCell ref="B4:I4"/>
    <mergeCell ref="B8:B12"/>
    <mergeCell ref="C6:C7"/>
    <mergeCell ref="A5:I5"/>
    <mergeCell ref="B13:B18"/>
    <mergeCell ref="A8:A12"/>
    <mergeCell ref="B6:B7"/>
    <mergeCell ref="A13:A18"/>
    <mergeCell ref="A6:A7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K72"/>
  <sheetViews>
    <sheetView view="pageBreakPreview" zoomScale="40" zoomScaleNormal="40" zoomScaleSheetLayoutView="40" zoomScalePageLayoutView="40" workbookViewId="0">
      <selection activeCell="F7" sqref="F7"/>
    </sheetView>
  </sheetViews>
  <sheetFormatPr defaultRowHeight="15" x14ac:dyDescent="0.25"/>
  <cols>
    <col min="1" max="1" width="4.42578125" customWidth="1"/>
    <col min="2" max="2" width="7" customWidth="1"/>
    <col min="3" max="3" width="25.5703125" customWidth="1"/>
    <col min="4" max="9" width="63.28515625" customWidth="1"/>
  </cols>
  <sheetData>
    <row r="1" spans="1:9" ht="30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9" ht="30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9" ht="40.5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9" ht="30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9" ht="30.75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9" ht="32.25" customHeight="1" thickBot="1" x14ac:dyDescent="0.3">
      <c r="A6" s="866" t="s">
        <v>54</v>
      </c>
      <c r="B6" s="866" t="s">
        <v>14</v>
      </c>
      <c r="C6" s="841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9" ht="70.5" thickBot="1" x14ac:dyDescent="0.3">
      <c r="A7" s="867"/>
      <c r="B7" s="867"/>
      <c r="C7" s="842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9" ht="83.25" customHeight="1" x14ac:dyDescent="0.25">
      <c r="A8" s="928" t="s">
        <v>0</v>
      </c>
      <c r="B8" s="859">
        <v>46370</v>
      </c>
      <c r="C8" s="448" t="s">
        <v>10</v>
      </c>
      <c r="D8" s="298"/>
      <c r="E8" s="282"/>
      <c r="F8" s="282"/>
      <c r="G8" s="282"/>
      <c r="H8" s="519"/>
      <c r="I8" s="344"/>
    </row>
    <row r="9" spans="1:9" ht="83.25" customHeight="1" x14ac:dyDescent="0.25">
      <c r="A9" s="931"/>
      <c r="B9" s="858"/>
      <c r="C9" s="458" t="s">
        <v>11</v>
      </c>
      <c r="D9" s="267"/>
      <c r="E9" s="265"/>
      <c r="F9" s="265"/>
      <c r="G9" s="361"/>
      <c r="H9" s="361"/>
      <c r="I9" s="388"/>
    </row>
    <row r="10" spans="1:9" ht="83.25" customHeight="1" x14ac:dyDescent="0.25">
      <c r="A10" s="931"/>
      <c r="B10" s="858"/>
      <c r="C10" s="458" t="s">
        <v>12</v>
      </c>
      <c r="D10" s="590"/>
      <c r="E10" s="361"/>
      <c r="F10" s="361"/>
      <c r="G10" s="361"/>
      <c r="H10" s="432"/>
      <c r="I10" s="478"/>
    </row>
    <row r="11" spans="1:9" ht="83.25" customHeight="1" x14ac:dyDescent="0.25">
      <c r="A11" s="931"/>
      <c r="B11" s="858"/>
      <c r="C11" s="458" t="s">
        <v>13</v>
      </c>
      <c r="D11" s="392"/>
      <c r="E11" s="361"/>
      <c r="F11" s="361"/>
      <c r="G11" s="361"/>
      <c r="H11" s="432"/>
      <c r="I11" s="270"/>
    </row>
    <row r="12" spans="1:9" ht="83.25" customHeight="1" thickBot="1" x14ac:dyDescent="0.3">
      <c r="A12" s="931"/>
      <c r="B12" s="858"/>
      <c r="C12" s="449" t="s">
        <v>15</v>
      </c>
      <c r="D12" s="586"/>
      <c r="E12" s="312"/>
      <c r="F12" s="312"/>
      <c r="G12" s="312"/>
      <c r="H12" s="312"/>
      <c r="I12" s="335"/>
    </row>
    <row r="13" spans="1:9" s="88" customFormat="1" ht="83.25" customHeight="1" x14ac:dyDescent="0.25">
      <c r="A13" s="928" t="s">
        <v>1</v>
      </c>
      <c r="B13" s="864">
        <f>B8+1</f>
        <v>46371</v>
      </c>
      <c r="C13" s="472" t="s">
        <v>10</v>
      </c>
      <c r="D13" s="485"/>
      <c r="E13" s="585"/>
      <c r="F13" s="585"/>
      <c r="G13" s="585"/>
      <c r="H13" s="436"/>
      <c r="I13" s="437"/>
    </row>
    <row r="14" spans="1:9" s="88" customFormat="1" ht="83.25" customHeight="1" x14ac:dyDescent="0.25">
      <c r="A14" s="931"/>
      <c r="B14" s="858"/>
      <c r="C14" s="473" t="s">
        <v>11</v>
      </c>
      <c r="D14" s="392"/>
      <c r="E14" s="361"/>
      <c r="F14" s="361"/>
      <c r="G14" s="361"/>
      <c r="H14" s="265"/>
      <c r="I14" s="266"/>
    </row>
    <row r="15" spans="1:9" s="88" customFormat="1" ht="83.25" customHeight="1" x14ac:dyDescent="0.25">
      <c r="A15" s="931"/>
      <c r="B15" s="858"/>
      <c r="C15" s="473" t="s">
        <v>12</v>
      </c>
      <c r="D15" s="392"/>
      <c r="E15" s="265"/>
      <c r="F15" s="265"/>
      <c r="G15" s="265"/>
      <c r="H15" s="265"/>
      <c r="I15" s="478"/>
    </row>
    <row r="16" spans="1:9" s="88" customFormat="1" ht="83.25" customHeight="1" x14ac:dyDescent="0.25">
      <c r="A16" s="931"/>
      <c r="B16" s="858"/>
      <c r="C16" s="473" t="s">
        <v>13</v>
      </c>
      <c r="D16" s="392"/>
      <c r="E16" s="265"/>
      <c r="F16" s="265"/>
      <c r="G16" s="265"/>
      <c r="H16" s="265"/>
      <c r="I16" s="478"/>
    </row>
    <row r="17" spans="1:11" s="88" customFormat="1" ht="83.25" customHeight="1" x14ac:dyDescent="0.25">
      <c r="A17" s="931"/>
      <c r="B17" s="858"/>
      <c r="C17" s="456" t="s">
        <v>15</v>
      </c>
      <c r="D17" s="511"/>
      <c r="E17" s="510"/>
      <c r="F17" s="510"/>
      <c r="G17" s="509"/>
      <c r="H17" s="509"/>
      <c r="I17" s="183"/>
    </row>
    <row r="18" spans="1:11" s="88" customFormat="1" ht="83.25" customHeight="1" thickBot="1" x14ac:dyDescent="0.3">
      <c r="A18" s="931"/>
      <c r="B18" s="934"/>
      <c r="C18" s="474" t="s">
        <v>64</v>
      </c>
      <c r="D18" s="576"/>
      <c r="E18" s="404"/>
      <c r="F18" s="404"/>
      <c r="G18" s="577"/>
      <c r="H18" s="577"/>
      <c r="I18" s="578"/>
    </row>
    <row r="19" spans="1:11" s="88" customFormat="1" ht="83.25" customHeight="1" x14ac:dyDescent="0.25">
      <c r="A19" s="928" t="s">
        <v>2</v>
      </c>
      <c r="B19" s="933">
        <f>B13+1</f>
        <v>46372</v>
      </c>
      <c r="C19" s="451" t="s">
        <v>10</v>
      </c>
      <c r="D19" s="508"/>
      <c r="E19" s="436"/>
      <c r="F19" s="436"/>
      <c r="G19" s="436"/>
      <c r="H19" s="436"/>
      <c r="I19" s="437"/>
    </row>
    <row r="20" spans="1:11" s="88" customFormat="1" ht="83.25" customHeight="1" x14ac:dyDescent="0.25">
      <c r="A20" s="931"/>
      <c r="B20" s="858"/>
      <c r="C20" s="452" t="s">
        <v>11</v>
      </c>
      <c r="D20" s="264"/>
      <c r="E20" s="265"/>
      <c r="F20" s="265"/>
      <c r="G20" s="265"/>
      <c r="H20" s="265"/>
      <c r="I20" s="266"/>
    </row>
    <row r="21" spans="1:11" s="88" customFormat="1" ht="83.25" customHeight="1" x14ac:dyDescent="0.25">
      <c r="A21" s="931"/>
      <c r="B21" s="858"/>
      <c r="C21" s="452" t="s">
        <v>12</v>
      </c>
      <c r="D21" s="392"/>
      <c r="E21" s="384"/>
      <c r="F21" s="384"/>
      <c r="G21" s="265"/>
      <c r="H21" s="265"/>
      <c r="I21" s="478"/>
      <c r="K21" s="89"/>
    </row>
    <row r="22" spans="1:11" s="88" customFormat="1" ht="83.25" customHeight="1" x14ac:dyDescent="0.25">
      <c r="A22" s="931"/>
      <c r="B22" s="858"/>
      <c r="C22" s="452" t="s">
        <v>13</v>
      </c>
      <c r="D22" s="392"/>
      <c r="E22" s="361"/>
      <c r="F22" s="361"/>
      <c r="G22" s="265"/>
      <c r="H22" s="265"/>
      <c r="I22" s="478"/>
    </row>
    <row r="23" spans="1:11" s="88" customFormat="1" ht="83.25" customHeight="1" thickBot="1" x14ac:dyDescent="0.3">
      <c r="A23" s="932"/>
      <c r="B23" s="860"/>
      <c r="C23" s="453" t="s">
        <v>15</v>
      </c>
      <c r="D23" s="206"/>
      <c r="E23" s="429"/>
      <c r="F23" s="429"/>
      <c r="G23" s="207"/>
      <c r="H23" s="207"/>
      <c r="I23" s="208"/>
    </row>
    <row r="24" spans="1:11" s="88" customFormat="1" ht="83.25" customHeight="1" x14ac:dyDescent="0.25">
      <c r="A24" s="928" t="s">
        <v>3</v>
      </c>
      <c r="B24" s="933">
        <f>B19+1</f>
        <v>46373</v>
      </c>
      <c r="C24" s="472" t="s">
        <v>10</v>
      </c>
      <c r="D24" s="285"/>
      <c r="E24" s="286"/>
      <c r="F24" s="286"/>
      <c r="G24" s="286"/>
      <c r="H24" s="286"/>
      <c r="I24" s="303"/>
    </row>
    <row r="25" spans="1:11" s="88" customFormat="1" ht="83.25" customHeight="1" x14ac:dyDescent="0.25">
      <c r="A25" s="929"/>
      <c r="B25" s="858"/>
      <c r="C25" s="473" t="s">
        <v>11</v>
      </c>
      <c r="D25" s="267"/>
      <c r="E25" s="234"/>
      <c r="F25" s="234"/>
      <c r="G25" s="301"/>
      <c r="H25" s="234"/>
      <c r="I25" s="268"/>
    </row>
    <row r="26" spans="1:11" s="88" customFormat="1" ht="83.25" customHeight="1" x14ac:dyDescent="0.25">
      <c r="A26" s="929"/>
      <c r="B26" s="858"/>
      <c r="C26" s="473" t="s">
        <v>12</v>
      </c>
      <c r="D26" s="392"/>
      <c r="E26" s="361"/>
      <c r="F26" s="416"/>
      <c r="G26" s="416"/>
      <c r="H26" s="384"/>
      <c r="I26" s="443"/>
    </row>
    <row r="27" spans="1:11" s="88" customFormat="1" ht="83.25" customHeight="1" x14ac:dyDescent="0.25">
      <c r="A27" s="929"/>
      <c r="B27" s="858"/>
      <c r="C27" s="473" t="s">
        <v>13</v>
      </c>
      <c r="D27" s="485"/>
      <c r="E27" s="361"/>
      <c r="F27" s="361"/>
      <c r="G27" s="361"/>
      <c r="H27" s="384"/>
      <c r="I27" s="443"/>
    </row>
    <row r="28" spans="1:11" s="88" customFormat="1" ht="83.25" customHeight="1" thickBot="1" x14ac:dyDescent="0.3">
      <c r="A28" s="930"/>
      <c r="B28" s="860"/>
      <c r="C28" s="474" t="s">
        <v>15</v>
      </c>
      <c r="D28" s="543"/>
      <c r="E28" s="544"/>
      <c r="F28" s="544"/>
      <c r="G28" s="515"/>
      <c r="H28" s="515"/>
      <c r="I28" s="545"/>
    </row>
    <row r="29" spans="1:11" s="88" customFormat="1" ht="83.25" customHeight="1" x14ac:dyDescent="0.25">
      <c r="A29" s="931" t="s">
        <v>4</v>
      </c>
      <c r="B29" s="859">
        <f>B24+1</f>
        <v>46374</v>
      </c>
      <c r="C29" s="451" t="s">
        <v>10</v>
      </c>
      <c r="D29" s="276"/>
      <c r="E29" s="282"/>
      <c r="F29" s="282"/>
      <c r="G29" s="277"/>
      <c r="H29" s="343"/>
      <c r="I29" s="278"/>
    </row>
    <row r="30" spans="1:11" s="88" customFormat="1" ht="83.25" customHeight="1" x14ac:dyDescent="0.25">
      <c r="A30" s="931"/>
      <c r="B30" s="858"/>
      <c r="C30" s="452" t="s">
        <v>11</v>
      </c>
      <c r="D30" s="299"/>
      <c r="E30" s="301"/>
      <c r="F30" s="301"/>
      <c r="G30" s="233"/>
      <c r="H30" s="432"/>
      <c r="I30" s="270"/>
    </row>
    <row r="31" spans="1:11" s="88" customFormat="1" ht="83.25" customHeight="1" x14ac:dyDescent="0.25">
      <c r="A31" s="931"/>
      <c r="B31" s="858"/>
      <c r="C31" s="452" t="s">
        <v>12</v>
      </c>
      <c r="D31" s="267"/>
      <c r="E31" s="234"/>
      <c r="F31" s="234"/>
      <c r="G31" s="234"/>
      <c r="H31" s="301"/>
      <c r="I31" s="300"/>
    </row>
    <row r="32" spans="1:11" s="88" customFormat="1" ht="83.25" customHeight="1" x14ac:dyDescent="0.25">
      <c r="A32" s="931"/>
      <c r="B32" s="858"/>
      <c r="C32" s="452" t="s">
        <v>13</v>
      </c>
      <c r="D32" s="267"/>
      <c r="E32" s="234"/>
      <c r="F32" s="234"/>
      <c r="G32" s="234"/>
      <c r="H32" s="265"/>
      <c r="I32" s="268"/>
    </row>
    <row r="33" spans="1:9" s="88" customFormat="1" ht="83.25" customHeight="1" thickBot="1" x14ac:dyDescent="0.3">
      <c r="A33" s="932"/>
      <c r="B33" s="858"/>
      <c r="C33" s="453" t="s">
        <v>15</v>
      </c>
      <c r="D33" s="271"/>
      <c r="E33" s="272"/>
      <c r="F33" s="272"/>
      <c r="G33" s="272"/>
      <c r="H33" s="272"/>
      <c r="I33" s="273"/>
    </row>
    <row r="34" spans="1:9" s="88" customFormat="1" ht="29.25" customHeight="1" x14ac:dyDescent="0.25">
      <c r="A34" s="858" t="s">
        <v>47</v>
      </c>
      <c r="B34" s="864">
        <f>B29+1</f>
        <v>46375</v>
      </c>
      <c r="C34" s="475" t="s">
        <v>10</v>
      </c>
      <c r="D34" s="562"/>
      <c r="E34" s="563"/>
      <c r="F34" s="563"/>
      <c r="G34" s="563"/>
      <c r="H34" s="563"/>
      <c r="I34" s="564"/>
    </row>
    <row r="35" spans="1:9" s="88" customFormat="1" ht="29.25" customHeight="1" x14ac:dyDescent="0.25">
      <c r="A35" s="858"/>
      <c r="B35" s="858"/>
      <c r="C35" s="476" t="s">
        <v>11</v>
      </c>
      <c r="D35" s="328"/>
      <c r="E35" s="324"/>
      <c r="F35" s="324"/>
      <c r="G35" s="324"/>
      <c r="H35" s="324"/>
      <c r="I35" s="329"/>
    </row>
    <row r="36" spans="1:9" s="88" customFormat="1" ht="29.25" customHeight="1" x14ac:dyDescent="0.25">
      <c r="A36" s="858"/>
      <c r="B36" s="858"/>
      <c r="C36" s="476" t="s">
        <v>12</v>
      </c>
      <c r="D36" s="328"/>
      <c r="E36" s="324"/>
      <c r="F36" s="324"/>
      <c r="G36" s="324"/>
      <c r="H36" s="324"/>
      <c r="I36" s="330"/>
    </row>
    <row r="37" spans="1:9" s="88" customFormat="1" ht="29.25" customHeight="1" x14ac:dyDescent="0.25">
      <c r="A37" s="858"/>
      <c r="B37" s="858"/>
      <c r="C37" s="476" t="s">
        <v>13</v>
      </c>
      <c r="D37" s="328"/>
      <c r="E37" s="324"/>
      <c r="F37" s="324"/>
      <c r="G37" s="324"/>
      <c r="H37" s="324"/>
      <c r="I37" s="329"/>
    </row>
    <row r="38" spans="1:9" s="88" customFormat="1" ht="29.25" customHeight="1" thickBot="1" x14ac:dyDescent="0.3">
      <c r="A38" s="860"/>
      <c r="B38" s="860"/>
      <c r="C38" s="477" t="s">
        <v>15</v>
      </c>
      <c r="D38" s="331"/>
      <c r="E38" s="332"/>
      <c r="F38" s="332"/>
      <c r="G38" s="332"/>
      <c r="H38" s="332"/>
      <c r="I38" s="333"/>
    </row>
    <row r="39" spans="1:9" ht="36" customHeight="1" x14ac:dyDescent="0.25">
      <c r="A39" s="17"/>
      <c r="B39" s="17"/>
      <c r="C39" s="17"/>
      <c r="D39" s="170" t="s">
        <v>86</v>
      </c>
      <c r="E39" s="17"/>
      <c r="F39" s="17"/>
      <c r="G39" s="17"/>
      <c r="H39" s="17"/>
      <c r="I39" s="17"/>
    </row>
    <row r="40" spans="1:9" s="19" customFormat="1" ht="27.75" x14ac:dyDescent="0.4">
      <c r="A40" s="18"/>
      <c r="B40" s="204"/>
      <c r="C40" s="186" t="str">
        <f>'01.09'!C39</f>
        <v>*Л. Речевое общение в профессиональной деятельности*</v>
      </c>
      <c r="D40" s="323">
        <f>'21.12'!D40+COUNTIF(D$8:D$38,$C40)</f>
        <v>5</v>
      </c>
      <c r="E40" s="323">
        <f>'21.12'!E40+COUNTIF(E$8:E$38,$C40)</f>
        <v>5</v>
      </c>
      <c r="F40" s="323">
        <f>'21.12'!F40+COUNTIF(F$8:F$38,$C40)</f>
        <v>5</v>
      </c>
      <c r="G40" s="323">
        <f>'21.12'!G40+COUNTIF(G$8:G$38,$C40)</f>
        <v>5</v>
      </c>
      <c r="H40" s="323">
        <f>'21.12'!H40+COUNTIF(H$8:H$38,$C40)</f>
        <v>5</v>
      </c>
      <c r="I40" s="323">
        <f>'21.12'!I40+COUNTIF(I$8:I$38,$C40)</f>
        <v>5</v>
      </c>
    </row>
    <row r="41" spans="1:9" s="19" customFormat="1" ht="27.75" x14ac:dyDescent="0.4">
      <c r="A41" s="18"/>
      <c r="B41" s="204"/>
      <c r="C41" s="186" t="str">
        <f>'01.09'!C40</f>
        <v>*Пр. Речевое общение в профессиональной деятельности*</v>
      </c>
      <c r="D41" s="323">
        <f>'21.12'!D41+COUNTIF(D$8:D$38,$C41)</f>
        <v>4</v>
      </c>
      <c r="E41" s="323">
        <f>'21.12'!E41+COUNTIF(E$8:E$38,$C41)</f>
        <v>4</v>
      </c>
      <c r="F41" s="323">
        <f>'21.12'!F41+COUNTIF(F$8:F$38,$C41)</f>
        <v>4</v>
      </c>
      <c r="G41" s="323">
        <f>'21.12'!G41+COUNTIF(G$8:G$38,$C41)</f>
        <v>4</v>
      </c>
      <c r="H41" s="323">
        <f>'21.12'!H41+COUNTIF(H$8:H$38,$C41)</f>
        <v>4</v>
      </c>
      <c r="I41" s="323">
        <f>'21.12'!I41+COUNTIF(I$8:I$38,$C41)</f>
        <v>4</v>
      </c>
    </row>
    <row r="42" spans="1:9" s="19" customFormat="1" ht="27.75" x14ac:dyDescent="0.4">
      <c r="A42" s="18"/>
      <c r="B42" s="205"/>
      <c r="C42" s="186" t="str">
        <f>'01.09'!C41</f>
        <v>*Л. Элективные дисциплины по ФКиС: Силовая подготовка*</v>
      </c>
      <c r="D42" s="323">
        <f>'21.12'!D42+COUNTIF(D$8:D$38,$C42)</f>
        <v>1</v>
      </c>
      <c r="E42" s="323">
        <f>'21.12'!E42+COUNTIF(E$8:E$38,$C42)</f>
        <v>1</v>
      </c>
      <c r="F42" s="323">
        <f>'21.12'!F42+COUNTIF(F$8:F$38,$C42)</f>
        <v>1</v>
      </c>
      <c r="G42" s="323">
        <f>'21.12'!G42+COUNTIF(G$8:G$38,$C42)</f>
        <v>1</v>
      </c>
      <c r="H42" s="323">
        <f>'21.12'!H42+COUNTIF(H$8:H$38,$C42)</f>
        <v>1</v>
      </c>
      <c r="I42" s="323">
        <f>'21.12'!I42+COUNTIF(I$8:I$38,$C42)</f>
        <v>1</v>
      </c>
    </row>
    <row r="43" spans="1:9" s="19" customFormat="1" ht="27.75" x14ac:dyDescent="0.4">
      <c r="A43" s="18"/>
      <c r="B43" s="205"/>
      <c r="C43" s="186" t="str">
        <f>'01.09'!C42</f>
        <v>*Пр. Элективные дисциплины по ФКиС: Силовая подготовка*</v>
      </c>
      <c r="D43" s="323">
        <f>'21.12'!D43+COUNTIF(D$8:D$38,$C43)</f>
        <v>8</v>
      </c>
      <c r="E43" s="323">
        <f>'21.12'!E43+COUNTIF(E$8:E$38,$C43)</f>
        <v>9</v>
      </c>
      <c r="F43" s="323">
        <f>'21.12'!F43+COUNTIF(F$8:F$38,$C43)</f>
        <v>9</v>
      </c>
      <c r="G43" s="323">
        <f>'21.12'!G43+COUNTIF(G$8:G$38,$C43)</f>
        <v>9</v>
      </c>
      <c r="H43" s="323">
        <f>'21.12'!H43+COUNTIF(H$8:H$38,$C43)</f>
        <v>9</v>
      </c>
      <c r="I43" s="323">
        <f>'21.12'!I43+COUNTIF(I$8:I$38,$C43)</f>
        <v>8</v>
      </c>
    </row>
    <row r="44" spans="1:9" s="19" customFormat="1" ht="27.75" x14ac:dyDescent="0.4">
      <c r="A44" s="18"/>
      <c r="B44" s="204"/>
      <c r="C44" s="186" t="str">
        <f>'01.09'!C43</f>
        <v>*Л. Анатомия*</v>
      </c>
      <c r="D44" s="323">
        <f>'21.12'!D44+COUNTIF(D$8:D$38,$C44)</f>
        <v>4</v>
      </c>
      <c r="E44" s="323">
        <f>'21.12'!E44+COUNTIF(E$8:E$38,$C44)</f>
        <v>4</v>
      </c>
      <c r="F44" s="323">
        <f>'21.12'!F44+COUNTIF(F$8:F$38,$C44)</f>
        <v>4</v>
      </c>
      <c r="G44" s="323">
        <f>'21.12'!G44+COUNTIF(G$8:G$38,$C44)</f>
        <v>4</v>
      </c>
      <c r="H44" s="323">
        <f>'21.12'!H44+COUNTIF(H$8:H$38,$C44)</f>
        <v>4</v>
      </c>
      <c r="I44" s="323">
        <f>'21.12'!I44+COUNTIF(I$8:I$38,$C44)</f>
        <v>4</v>
      </c>
    </row>
    <row r="45" spans="1:9" s="19" customFormat="1" ht="27.75" x14ac:dyDescent="0.4">
      <c r="A45" s="18"/>
      <c r="B45" s="204"/>
      <c r="C45" s="186" t="str">
        <f>'01.09'!C44</f>
        <v>*Пр. Анатомия*</v>
      </c>
      <c r="D45" s="323">
        <f>'21.12'!D45+COUNTIF(D$8:D$38,$C45)</f>
        <v>4</v>
      </c>
      <c r="E45" s="323">
        <f>'21.12'!E45+COUNTIF(E$8:E$38,$C45)</f>
        <v>4</v>
      </c>
      <c r="F45" s="323">
        <f>'21.12'!F45+COUNTIF(F$8:F$38,$C45)</f>
        <v>4</v>
      </c>
      <c r="G45" s="323">
        <f>'21.12'!G45+COUNTIF(G$8:G$38,$C45)</f>
        <v>4</v>
      </c>
      <c r="H45" s="323">
        <f>'21.12'!H45+COUNTIF(H$8:H$38,$C45)</f>
        <v>4</v>
      </c>
      <c r="I45" s="323">
        <f>'21.12'!I45+COUNTIF(I$8:I$38,$C45)</f>
        <v>4</v>
      </c>
    </row>
    <row r="46" spans="1:9" s="19" customFormat="1" ht="27.75" x14ac:dyDescent="0.4">
      <c r="A46" s="18"/>
      <c r="B46" s="204"/>
      <c r="C46" s="186" t="str">
        <f>'01.09'!C45</f>
        <v>*Л. Теория и методика*</v>
      </c>
      <c r="D46" s="323">
        <f>'21.12'!D46+COUNTIF(D$8:D$38,$C46)</f>
        <v>5</v>
      </c>
      <c r="E46" s="323">
        <f>'21.12'!E46+COUNTIF(E$8:E$38,$C46)</f>
        <v>4</v>
      </c>
      <c r="F46" s="323">
        <f>'21.12'!F46+COUNTIF(F$8:F$38,$C46)</f>
        <v>4</v>
      </c>
      <c r="G46" s="323">
        <f>'21.12'!G46+COUNTIF(G$8:G$38,$C46)</f>
        <v>4</v>
      </c>
      <c r="H46" s="323">
        <f>'21.12'!H46+COUNTIF(H$8:H$38,$C46)</f>
        <v>5</v>
      </c>
      <c r="I46" s="323">
        <f>'21.12'!I46+COUNTIF(I$8:I$38,$C46)</f>
        <v>3</v>
      </c>
    </row>
    <row r="47" spans="1:9" s="19" customFormat="1" ht="27.75" x14ac:dyDescent="0.4">
      <c r="A47" s="18"/>
      <c r="B47" s="204"/>
      <c r="C47" s="186" t="str">
        <f>'01.09'!C46</f>
        <v>*Пр. Теория и методика*</v>
      </c>
      <c r="D47" s="323">
        <f>'21.12'!D47+COUNTIF(D$8:D$38,$C47)</f>
        <v>24</v>
      </c>
      <c r="E47" s="323">
        <f>'21.12'!E47+COUNTIF(E$8:E$38,$C47)</f>
        <v>23</v>
      </c>
      <c r="F47" s="323">
        <f>'21.12'!F47+COUNTIF(F$8:F$38,$C47)</f>
        <v>23</v>
      </c>
      <c r="G47" s="323">
        <f>'21.12'!G47+COUNTIF(G$8:G$38,$C47)</f>
        <v>23</v>
      </c>
      <c r="H47" s="323">
        <f>'21.12'!H47+COUNTIF(H$8:H$38,$C47)</f>
        <v>26</v>
      </c>
      <c r="I47" s="323">
        <f>'21.12'!I47+COUNTIF(I$8:I$38,$C47)</f>
        <v>20</v>
      </c>
    </row>
    <row r="48" spans="1:9" s="19" customFormat="1" ht="27.75" x14ac:dyDescent="0.4">
      <c r="A48" s="18"/>
      <c r="B48" s="204"/>
      <c r="C48" s="186" t="str">
        <f>'01.09'!C47</f>
        <v>*Л. Физическая культура и спорт*</v>
      </c>
      <c r="D48" s="323">
        <f>'21.12'!D48+COUNTIF(D$8:D$38,$C48)</f>
        <v>5</v>
      </c>
      <c r="E48" s="323">
        <f>'21.12'!E48+COUNTIF(E$8:E$38,$C48)</f>
        <v>5</v>
      </c>
      <c r="F48" s="323">
        <f>'21.12'!F48+COUNTIF(F$8:F$38,$C48)</f>
        <v>5</v>
      </c>
      <c r="G48" s="323">
        <f>'21.12'!G48+COUNTIF(G$8:G$38,$C48)</f>
        <v>5</v>
      </c>
      <c r="H48" s="323">
        <f>'21.12'!H48+COUNTIF(H$8:H$38,$C48)</f>
        <v>5</v>
      </c>
      <c r="I48" s="323">
        <f>'21.12'!I48+COUNTIF(I$8:I$38,$C48)</f>
        <v>5</v>
      </c>
    </row>
    <row r="49" spans="1:9" s="19" customFormat="1" ht="27.75" x14ac:dyDescent="0.4">
      <c r="A49" s="18"/>
      <c r="B49" s="204"/>
      <c r="C49" s="186" t="str">
        <f>'01.09'!C48</f>
        <v>*Пр. Физическая культура и спорт*</v>
      </c>
      <c r="D49" s="323">
        <f>'21.12'!D49+COUNTIF(D$8:D$38,$C49)</f>
        <v>5</v>
      </c>
      <c r="E49" s="323">
        <f>'21.12'!E49+COUNTIF(E$8:E$38,$C49)</f>
        <v>5</v>
      </c>
      <c r="F49" s="323">
        <f>'21.12'!F49+COUNTIF(F$8:F$38,$C49)</f>
        <v>5</v>
      </c>
      <c r="G49" s="323">
        <f>'21.12'!G49+COUNTIF(G$8:G$38,$C49)</f>
        <v>5</v>
      </c>
      <c r="H49" s="323">
        <f>'21.12'!H49+COUNTIF(H$8:H$38,$C49)</f>
        <v>5</v>
      </c>
      <c r="I49" s="323">
        <f>'21.12'!I49+COUNTIF(I$8:I$38,$C49)</f>
        <v>5</v>
      </c>
    </row>
    <row r="50" spans="1:9" s="19" customFormat="1" ht="27.75" x14ac:dyDescent="0.4">
      <c r="A50" s="18"/>
      <c r="B50" s="204"/>
      <c r="C50" s="186" t="str">
        <f>'01.09'!C49</f>
        <v>*Л. Информационные технологии*</v>
      </c>
      <c r="D50" s="323">
        <f>'21.12'!D50+COUNTIF(D$8:D$38,$C50)</f>
        <v>2</v>
      </c>
      <c r="E50" s="323">
        <f>'21.12'!E50+COUNTIF(E$8:E$38,$C50)</f>
        <v>2</v>
      </c>
      <c r="F50" s="323">
        <f>'21.12'!F50+COUNTIF(F$8:F$38,$C50)</f>
        <v>2</v>
      </c>
      <c r="G50" s="323">
        <f>'21.12'!G50+COUNTIF(G$8:G$38,$C50)</f>
        <v>2</v>
      </c>
      <c r="H50" s="323">
        <f>'21.12'!H50+COUNTIF(H$8:H$38,$C50)</f>
        <v>2</v>
      </c>
      <c r="I50" s="323">
        <f>'21.12'!I50+COUNTIF(I$8:I$38,$C50)</f>
        <v>2</v>
      </c>
    </row>
    <row r="51" spans="1:9" s="19" customFormat="1" ht="27.75" x14ac:dyDescent="0.4">
      <c r="A51" s="18"/>
      <c r="B51" s="204"/>
      <c r="C51" s="186" t="str">
        <f>'01.09'!C50</f>
        <v>*Пр. Информационные технологии*</v>
      </c>
      <c r="D51" s="323">
        <f>'21.12'!D51+COUNTIF(D$8:D$38,$C51)</f>
        <v>8</v>
      </c>
      <c r="E51" s="323">
        <f>'21.12'!E51+COUNTIF(E$8:E$38,$C51)</f>
        <v>8</v>
      </c>
      <c r="F51" s="323">
        <f>'21.12'!F51+COUNTIF(F$8:F$38,$C51)</f>
        <v>8</v>
      </c>
      <c r="G51" s="323">
        <f>'21.12'!G51+COUNTIF(G$8:G$38,$C51)</f>
        <v>8</v>
      </c>
      <c r="H51" s="323">
        <f>'21.12'!H51+COUNTIF(H$8:H$38,$C51)</f>
        <v>8</v>
      </c>
      <c r="I51" s="323">
        <f>'21.12'!I51+COUNTIF(I$8:I$38,$C51)</f>
        <v>8</v>
      </c>
    </row>
    <row r="52" spans="1:9" s="19" customFormat="1" ht="27.75" x14ac:dyDescent="0.4">
      <c r="A52" s="18"/>
      <c r="B52" s="204"/>
      <c r="C52" s="186" t="str">
        <f>'01.09'!C51</f>
        <v>*Л. Гимнастика*</v>
      </c>
      <c r="D52" s="323">
        <f>'21.12'!D52+COUNTIF(D$8:D$38,$C52)</f>
        <v>3</v>
      </c>
      <c r="E52" s="323">
        <f>'21.12'!E52+COUNTIF(E$8:E$38,$C52)</f>
        <v>3</v>
      </c>
      <c r="F52" s="323">
        <f>'21.12'!F52+COUNTIF(F$8:F$38,$C52)</f>
        <v>3</v>
      </c>
      <c r="G52" s="323">
        <f>'21.12'!G52+COUNTIF(G$8:G$38,$C52)</f>
        <v>3</v>
      </c>
      <c r="H52" s="323">
        <f>'21.12'!H52+COUNTIF(H$8:H$38,$C52)</f>
        <v>3</v>
      </c>
      <c r="I52" s="323">
        <f>'21.12'!I52+COUNTIF(I$8:I$38,$C52)</f>
        <v>3</v>
      </c>
    </row>
    <row r="53" spans="1:9" s="19" customFormat="1" ht="27.75" x14ac:dyDescent="0.4">
      <c r="A53" s="18"/>
      <c r="B53" s="204"/>
      <c r="C53" s="186" t="str">
        <f>'01.09'!C52</f>
        <v>*Пр. Гимнастика*</v>
      </c>
      <c r="D53" s="323">
        <f>'21.12'!D53+COUNTIF(D$8:D$38,$C53)</f>
        <v>8</v>
      </c>
      <c r="E53" s="323">
        <f>'21.12'!E53+COUNTIF(E$8:E$38,$C53)</f>
        <v>13</v>
      </c>
      <c r="F53" s="323">
        <f>'21.12'!F53+COUNTIF(F$8:F$38,$C53)</f>
        <v>13</v>
      </c>
      <c r="G53" s="323">
        <f>'21.12'!G53+COUNTIF(G$8:G$38,$C53)</f>
        <v>12</v>
      </c>
      <c r="H53" s="323">
        <f>'21.12'!H53+COUNTIF(H$8:H$38,$C53)</f>
        <v>13</v>
      </c>
      <c r="I53" s="323">
        <f>'21.12'!I53+COUNTIF(I$8:I$38,$C53)</f>
        <v>12</v>
      </c>
    </row>
    <row r="54" spans="1:9" s="19" customFormat="1" ht="27.75" x14ac:dyDescent="0.4">
      <c r="A54" s="18"/>
      <c r="B54" s="204"/>
      <c r="C54" s="186" t="str">
        <f>'01.09'!C53</f>
        <v>*Л. Волейбол*</v>
      </c>
      <c r="D54" s="323">
        <f>'21.12'!D54+COUNTIF(D$8:D$38,$C54)</f>
        <v>1</v>
      </c>
      <c r="E54" s="323">
        <f>'21.12'!E54+COUNTIF(E$8:E$38,$C54)</f>
        <v>1</v>
      </c>
      <c r="F54" s="323">
        <f>'21.12'!F54+COUNTIF(F$8:F$38,$C54)</f>
        <v>1</v>
      </c>
      <c r="G54" s="323">
        <f>'21.12'!G54+COUNTIF(G$8:G$38,$C54)</f>
        <v>1</v>
      </c>
      <c r="H54" s="323">
        <f>'21.12'!H54+COUNTIF(H$8:H$38,$C54)</f>
        <v>1</v>
      </c>
      <c r="I54" s="323">
        <f>'21.12'!I54+COUNTIF(I$8:I$38,$C54)</f>
        <v>1</v>
      </c>
    </row>
    <row r="55" spans="1:9" s="19" customFormat="1" ht="27.75" x14ac:dyDescent="0.4">
      <c r="A55" s="18"/>
      <c r="B55" s="204"/>
      <c r="C55" s="186" t="str">
        <f>'01.09'!C54</f>
        <v>*Пр. Волейбол*</v>
      </c>
      <c r="D55" s="323">
        <f>'21.12'!D55+COUNTIF(D$8:D$38,$C55)</f>
        <v>16</v>
      </c>
      <c r="E55" s="323">
        <f>'21.12'!E55+COUNTIF(E$8:E$38,$C55)</f>
        <v>16</v>
      </c>
      <c r="F55" s="323">
        <f>'21.12'!F55+COUNTIF(F$8:F$38,$C55)</f>
        <v>8</v>
      </c>
      <c r="G55" s="323">
        <f>'21.12'!G55+COUNTIF(G$8:G$38,$C55)</f>
        <v>8</v>
      </c>
      <c r="H55" s="323">
        <f>'21.12'!H55+COUNTIF(H$8:H$38,$C55)</f>
        <v>16</v>
      </c>
      <c r="I55" s="323">
        <f>'21.12'!I55+COUNTIF(I$8:I$38,$C55)</f>
        <v>16</v>
      </c>
    </row>
    <row r="56" spans="1:9" s="19" customFormat="1" ht="27.75" x14ac:dyDescent="0.4">
      <c r="A56" s="18"/>
      <c r="B56" s="204"/>
      <c r="C56" s="186" t="str">
        <f>'01.09'!C55</f>
        <v>*Л. Лыжные гонки*</v>
      </c>
      <c r="D56" s="323">
        <f>'21.12'!D56+COUNTIF(D$8:D$38,$C56)</f>
        <v>0</v>
      </c>
      <c r="E56" s="323">
        <f>'21.12'!E56+COUNTIF(E$8:E$38,$C56)</f>
        <v>0</v>
      </c>
      <c r="F56" s="323">
        <f>'21.12'!F56+COUNTIF(F$8:F$38,$C56)</f>
        <v>0</v>
      </c>
      <c r="G56" s="323">
        <f>'21.12'!G56+COUNTIF(G$8:G$38,$C56)</f>
        <v>0</v>
      </c>
      <c r="H56" s="323">
        <f>'21.12'!H56+COUNTIF(H$8:H$38,$C56)</f>
        <v>0</v>
      </c>
      <c r="I56" s="323">
        <f>'21.12'!I56+COUNTIF(I$8:I$38,$C56)</f>
        <v>0</v>
      </c>
    </row>
    <row r="57" spans="1:9" s="19" customFormat="1" ht="27.75" x14ac:dyDescent="0.4">
      <c r="A57" s="18"/>
      <c r="B57" s="204"/>
      <c r="C57" s="186" t="str">
        <f>'01.09'!C56</f>
        <v>*Пр. Лыжные гонки*</v>
      </c>
      <c r="D57" s="323">
        <f>'21.12'!D57+COUNTIF(D$8:D$38,$C57)</f>
        <v>0</v>
      </c>
      <c r="E57" s="323">
        <f>'21.12'!E57+COUNTIF(E$8:E$38,$C57)</f>
        <v>0</v>
      </c>
      <c r="F57" s="323">
        <f>'21.12'!F57+COUNTIF(F$8:F$38,$C57)</f>
        <v>0</v>
      </c>
      <c r="G57" s="323">
        <f>'21.12'!G57+COUNTIF(G$8:G$38,$C57)</f>
        <v>0</v>
      </c>
      <c r="H57" s="323">
        <f>'21.12'!H57+COUNTIF(H$8:H$38,$C57)</f>
        <v>0</v>
      </c>
      <c r="I57" s="323">
        <f>'21.12'!I57+COUNTIF(I$8:I$38,$C57)</f>
        <v>0</v>
      </c>
    </row>
    <row r="58" spans="1:9" s="19" customFormat="1" ht="27.75" x14ac:dyDescent="0.4">
      <c r="A58" s="18"/>
      <c r="B58" s="204"/>
      <c r="C58" s="186" t="str">
        <f>'01.09'!C57</f>
        <v>*Л. Использование электронной*</v>
      </c>
      <c r="D58" s="323">
        <f>'21.12'!D58+COUNTIF(D$8:D$38,$C58)</f>
        <v>1</v>
      </c>
      <c r="E58" s="323">
        <f>'21.12'!E58+COUNTIF(E$8:E$38,$C58)</f>
        <v>0</v>
      </c>
      <c r="F58" s="323">
        <f>'21.12'!F58+COUNTIF(F$8:F$38,$C58)</f>
        <v>0</v>
      </c>
      <c r="G58" s="323">
        <f>'21.12'!G58+COUNTIF(G$8:G$38,$C58)</f>
        <v>0</v>
      </c>
      <c r="H58" s="323">
        <f>'21.12'!H58+COUNTIF(H$8:H$38,$C58)</f>
        <v>0</v>
      </c>
      <c r="I58" s="323">
        <f>'21.12'!I58+COUNTIF(I$8:I$38,$C58)</f>
        <v>0</v>
      </c>
    </row>
    <row r="59" spans="1:9" s="19" customFormat="1" ht="27.75" x14ac:dyDescent="0.4">
      <c r="A59" s="18"/>
      <c r="B59" s="204"/>
      <c r="C59" s="186" t="str">
        <f>'01.09'!C58</f>
        <v>*Пр. Использование электронной*</v>
      </c>
      <c r="D59" s="323">
        <f>'21.12'!D59+COUNTIF(D$8:D$38,$C59)</f>
        <v>2</v>
      </c>
      <c r="E59" s="323">
        <f>'21.12'!E59+COUNTIF(E$8:E$38,$C59)</f>
        <v>2</v>
      </c>
      <c r="F59" s="323">
        <f>'21.12'!F59+COUNTIF(F$8:F$38,$C59)</f>
        <v>2</v>
      </c>
      <c r="G59" s="323">
        <f>'21.12'!G59+COUNTIF(G$8:G$38,$C59)</f>
        <v>2</v>
      </c>
      <c r="H59" s="323">
        <f>'21.12'!H59+COUNTIF(H$8:H$38,$C59)</f>
        <v>2</v>
      </c>
      <c r="I59" s="323">
        <f>'21.12'!I59+COUNTIF(I$8:I$38,$C59)</f>
        <v>2</v>
      </c>
    </row>
    <row r="60" spans="1:9" s="19" customFormat="1" ht="27.75" x14ac:dyDescent="0.4">
      <c r="A60" s="18"/>
      <c r="B60" s="204"/>
      <c r="C60" s="186" t="str">
        <f>'01.09'!C59</f>
        <v>*Пр. Иностранный язык*</v>
      </c>
      <c r="D60" s="323">
        <f>'21.12'!D60+COUNTIF(D$8:D$38,$C60)</f>
        <v>8</v>
      </c>
      <c r="E60" s="323">
        <f>'21.12'!E60+COUNTIF(E$8:E$38,$C60)</f>
        <v>8</v>
      </c>
      <c r="F60" s="323">
        <f>'21.12'!F60+COUNTIF(F$8:F$38,$C60)</f>
        <v>8</v>
      </c>
      <c r="G60" s="323">
        <f>'21.12'!G60+COUNTIF(G$8:G$38,$C60)</f>
        <v>8</v>
      </c>
      <c r="H60" s="323">
        <f>'21.12'!H60+COUNTIF(H$8:H$38,$C60)</f>
        <v>8</v>
      </c>
      <c r="I60" s="323">
        <f>'21.12'!I60+COUNTIF(I$8:I$38,$C60)</f>
        <v>8</v>
      </c>
    </row>
    <row r="61" spans="1:9" s="19" customFormat="1" ht="27.75" x14ac:dyDescent="0.4">
      <c r="A61" s="18"/>
      <c r="B61" s="18"/>
      <c r="C61" s="186" t="str">
        <f>'01.09'!C60</f>
        <v>*С1-04А-26*</v>
      </c>
      <c r="D61" s="323">
        <f>'21.12'!D61+COUNTIF(D$8:D$38,$C61)</f>
        <v>0</v>
      </c>
      <c r="E61" s="323">
        <f>'21.12'!E61+COUNTIF(E$8:E$38,$C61)</f>
        <v>0</v>
      </c>
      <c r="F61" s="323">
        <f>'21.12'!F61+COUNTIF(F$8:F$38,$C61)</f>
        <v>0</v>
      </c>
      <c r="G61" s="323">
        <f>'21.12'!G61+COUNTIF(G$8:G$38,$C61)</f>
        <v>17</v>
      </c>
      <c r="H61" s="323">
        <f>'21.12'!H61+COUNTIF(H$8:H$38,$C61)</f>
        <v>0</v>
      </c>
      <c r="I61" s="323">
        <f>'21.12'!I61+COUNTIF(I$8:I$38,$C61)</f>
        <v>0</v>
      </c>
    </row>
    <row r="62" spans="1:9" ht="27.75" x14ac:dyDescent="0.4">
      <c r="A62" s="2"/>
      <c r="B62" s="2"/>
      <c r="C62" s="186" t="str">
        <f>'01.09'!C61</f>
        <v>*С1-04Б-26*</v>
      </c>
      <c r="D62" s="323">
        <f>'21.12'!D62+COUNTIF(D$8:D$38,$C62)</f>
        <v>0</v>
      </c>
      <c r="E62" s="323">
        <f>'21.12'!E62+COUNTIF(E$8:E$38,$C62)</f>
        <v>0</v>
      </c>
      <c r="F62" s="323">
        <f>'21.12'!F62+COUNTIF(F$8:F$38,$C62)</f>
        <v>0</v>
      </c>
      <c r="G62" s="323">
        <f>'21.12'!G62+COUNTIF(G$8:G$38,$C62)</f>
        <v>17</v>
      </c>
      <c r="H62" s="323">
        <f>'21.12'!H62+COUNTIF(H$8:H$38,$C62)</f>
        <v>0</v>
      </c>
      <c r="I62" s="323">
        <f>'21.12'!I62+COUNTIF(I$8:I$38,$C62)</f>
        <v>0</v>
      </c>
    </row>
    <row r="63" spans="1:9" ht="27.75" x14ac:dyDescent="0.4">
      <c r="A63" s="2"/>
      <c r="B63" s="2"/>
      <c r="C63" s="186" t="str">
        <f>'01.09'!C62</f>
        <v>*С1-05А-26*</v>
      </c>
      <c r="D63" s="323">
        <f>'21.12'!D63+COUNTIF(D$8:D$38,$C63)</f>
        <v>0</v>
      </c>
      <c r="E63" s="323">
        <f>'21.12'!E63+COUNTIF(E$8:E$38,$C63)</f>
        <v>0</v>
      </c>
      <c r="F63" s="323">
        <f>'21.12'!F63+COUNTIF(F$8:F$38,$C63)</f>
        <v>0</v>
      </c>
      <c r="G63" s="323">
        <f>'21.12'!G63+COUNTIF(G$8:G$38,$C63)</f>
        <v>0</v>
      </c>
      <c r="H63" s="323">
        <f>'21.12'!H63+COUNTIF(H$8:H$38,$C63)</f>
        <v>8</v>
      </c>
      <c r="I63" s="323">
        <f>'21.12'!I63+COUNTIF(I$8:I$38,$C63)</f>
        <v>0</v>
      </c>
    </row>
    <row r="64" spans="1:9" ht="27.75" x14ac:dyDescent="0.4">
      <c r="A64" s="2"/>
      <c r="B64" s="2"/>
      <c r="C64" s="186" t="str">
        <f>'01.09'!C63</f>
        <v>*С1-05Б-26*</v>
      </c>
      <c r="D64" s="323">
        <f>'21.12'!D64+COUNTIF(D$8:D$38,$C64)</f>
        <v>0</v>
      </c>
      <c r="E64" s="323">
        <f>'21.12'!E64+COUNTIF(E$8:E$38,$C64)</f>
        <v>0</v>
      </c>
      <c r="F64" s="323">
        <f>'21.12'!F64+COUNTIF(F$8:F$38,$C64)</f>
        <v>0</v>
      </c>
      <c r="G64" s="323">
        <f>'21.12'!G64+COUNTIF(G$8:G$38,$C64)</f>
        <v>0</v>
      </c>
      <c r="H64" s="323">
        <f>'21.12'!H64+COUNTIF(H$8:H$38,$C64)</f>
        <v>8</v>
      </c>
      <c r="I64" s="323">
        <f>'21.12'!I64+COUNTIF(I$8:I$38,$C64)</f>
        <v>0</v>
      </c>
    </row>
    <row r="65" spans="1:9" ht="27.75" x14ac:dyDescent="0.4">
      <c r="A65" s="2"/>
      <c r="B65" s="2"/>
      <c r="C65" s="186">
        <f>'01.09'!C64</f>
        <v>0</v>
      </c>
      <c r="D65" s="323">
        <f>'21.12'!D65+COUNTIF(D$8:D$38,$C65)</f>
        <v>0</v>
      </c>
      <c r="E65" s="323">
        <f>'21.12'!E65+COUNTIF(E$8:E$38,$C65)</f>
        <v>0</v>
      </c>
      <c r="F65" s="323">
        <f>'21.12'!F65+COUNTIF(F$8:F$38,$C65)</f>
        <v>0</v>
      </c>
      <c r="G65" s="323">
        <f>'21.12'!G65+COUNTIF(G$8:G$38,$C65)</f>
        <v>0</v>
      </c>
      <c r="H65" s="323">
        <f>'21.12'!H65+COUNTIF(H$8:H$38,$C65)</f>
        <v>0</v>
      </c>
      <c r="I65" s="323">
        <f>'21.12'!I65+COUNTIF(I$8:I$38,$C65)</f>
        <v>0</v>
      </c>
    </row>
    <row r="66" spans="1:9" ht="27.75" x14ac:dyDescent="0.4">
      <c r="A66" s="2"/>
      <c r="B66" s="2"/>
      <c r="C66" s="186">
        <f>'01.09'!C65</f>
        <v>0</v>
      </c>
      <c r="D66" s="323">
        <f>'21.12'!D66+COUNTIF(D$8:D$38,$C66)</f>
        <v>0</v>
      </c>
      <c r="E66" s="323">
        <f>'21.12'!E66+COUNTIF(E$8:E$38,$C66)</f>
        <v>0</v>
      </c>
      <c r="F66" s="323">
        <f>'21.12'!F66+COUNTIF(F$8:F$38,$C66)</f>
        <v>0</v>
      </c>
      <c r="G66" s="323">
        <f>'21.12'!G66+COUNTIF(G$8:G$38,$C66)</f>
        <v>0</v>
      </c>
      <c r="H66" s="323">
        <f>'21.12'!H66+COUNTIF(H$8:H$38,$C66)</f>
        <v>0</v>
      </c>
      <c r="I66" s="323">
        <f>'21.12'!I66+COUNTIF(I$8:I$38,$C66)</f>
        <v>0</v>
      </c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</sheetData>
  <mergeCells count="20">
    <mergeCell ref="B1:I1"/>
    <mergeCell ref="B2:I2"/>
    <mergeCell ref="B3:I3"/>
    <mergeCell ref="B4:I4"/>
    <mergeCell ref="B8:B12"/>
    <mergeCell ref="C6:C7"/>
    <mergeCell ref="A5:I5"/>
    <mergeCell ref="B13:B18"/>
    <mergeCell ref="A8:A12"/>
    <mergeCell ref="B6:B7"/>
    <mergeCell ref="A13:A18"/>
    <mergeCell ref="A6:A7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  <rowBreaks count="1" manualBreakCount="1">
    <brk id="39" max="8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K72"/>
  <sheetViews>
    <sheetView view="pageBreakPreview" zoomScale="40" zoomScaleNormal="40" zoomScaleSheetLayoutView="40" zoomScalePageLayoutView="40" workbookViewId="0">
      <selection activeCell="F7" sqref="F7"/>
    </sheetView>
  </sheetViews>
  <sheetFormatPr defaultRowHeight="15" x14ac:dyDescent="0.25"/>
  <cols>
    <col min="1" max="1" width="4.42578125" customWidth="1"/>
    <col min="2" max="2" width="5.7109375" customWidth="1"/>
    <col min="3" max="3" width="21.42578125" customWidth="1"/>
    <col min="4" max="9" width="64.5703125" customWidth="1"/>
  </cols>
  <sheetData>
    <row r="1" spans="1:9" ht="33.75" customHeight="1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9" ht="33.75" customHeight="1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9" ht="38.25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9" ht="33.75" customHeight="1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9" ht="33.75" customHeight="1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9" ht="29.25" customHeight="1" thickBot="1" x14ac:dyDescent="0.3">
      <c r="A6" s="875" t="s">
        <v>54</v>
      </c>
      <c r="B6" s="875" t="s">
        <v>14</v>
      </c>
      <c r="C6" s="898" t="s">
        <v>55</v>
      </c>
      <c r="D6" s="686" t="s">
        <v>5</v>
      </c>
      <c r="E6" s="687" t="s">
        <v>102</v>
      </c>
      <c r="F6" s="687" t="s">
        <v>101</v>
      </c>
      <c r="G6" s="687" t="s">
        <v>8</v>
      </c>
      <c r="H6" s="687" t="s">
        <v>9</v>
      </c>
      <c r="I6" s="688" t="s">
        <v>253</v>
      </c>
    </row>
    <row r="7" spans="1:9" ht="70.5" thickBot="1" x14ac:dyDescent="0.3">
      <c r="A7" s="876"/>
      <c r="B7" s="876"/>
      <c r="C7" s="899"/>
      <c r="D7" s="674" t="s">
        <v>77</v>
      </c>
      <c r="E7" s="675" t="s">
        <v>252</v>
      </c>
      <c r="F7" s="684" t="s">
        <v>302</v>
      </c>
      <c r="G7" s="675" t="s">
        <v>134</v>
      </c>
      <c r="H7" s="675" t="s">
        <v>98</v>
      </c>
      <c r="I7" s="676" t="s">
        <v>82</v>
      </c>
    </row>
    <row r="8" spans="1:9" ht="75" customHeight="1" x14ac:dyDescent="0.25">
      <c r="A8" s="909" t="s">
        <v>0</v>
      </c>
      <c r="B8" s="897">
        <v>46377</v>
      </c>
      <c r="C8" s="448" t="s">
        <v>10</v>
      </c>
      <c r="D8" s="298"/>
      <c r="E8" s="282"/>
      <c r="F8" s="282"/>
      <c r="G8" s="282"/>
      <c r="H8" s="519"/>
      <c r="I8" s="344"/>
    </row>
    <row r="9" spans="1:9" ht="75" customHeight="1" x14ac:dyDescent="0.25">
      <c r="A9" s="913"/>
      <c r="B9" s="862"/>
      <c r="C9" s="458" t="s">
        <v>11</v>
      </c>
      <c r="D9" s="267"/>
      <c r="E9" s="265"/>
      <c r="F9" s="265"/>
      <c r="G9" s="361"/>
      <c r="H9" s="361"/>
      <c r="I9" s="388"/>
    </row>
    <row r="10" spans="1:9" ht="75" customHeight="1" x14ac:dyDescent="0.25">
      <c r="A10" s="913"/>
      <c r="B10" s="862"/>
      <c r="C10" s="458" t="s">
        <v>12</v>
      </c>
      <c r="D10" s="590"/>
      <c r="E10" s="361"/>
      <c r="F10" s="361"/>
      <c r="G10" s="361"/>
      <c r="H10" s="432"/>
      <c r="I10" s="478"/>
    </row>
    <row r="11" spans="1:9" ht="75" customHeight="1" x14ac:dyDescent="0.25">
      <c r="A11" s="913"/>
      <c r="B11" s="862"/>
      <c r="C11" s="458" t="s">
        <v>13</v>
      </c>
      <c r="D11" s="392"/>
      <c r="E11" s="361"/>
      <c r="F11" s="361"/>
      <c r="G11" s="361"/>
      <c r="H11" s="432"/>
      <c r="I11" s="270"/>
    </row>
    <row r="12" spans="1:9" ht="75" customHeight="1" thickBot="1" x14ac:dyDescent="0.3">
      <c r="A12" s="913"/>
      <c r="B12" s="862"/>
      <c r="C12" s="449" t="s">
        <v>15</v>
      </c>
      <c r="D12" s="586"/>
      <c r="E12" s="312"/>
      <c r="F12" s="312"/>
      <c r="G12" s="312"/>
      <c r="H12" s="312"/>
      <c r="I12" s="335"/>
    </row>
    <row r="13" spans="1:9" ht="75" customHeight="1" x14ac:dyDescent="0.25">
      <c r="A13" s="909" t="s">
        <v>1</v>
      </c>
      <c r="B13" s="861">
        <f>B8+1</f>
        <v>46378</v>
      </c>
      <c r="C13" s="472" t="s">
        <v>10</v>
      </c>
      <c r="D13" s="485"/>
      <c r="E13" s="585"/>
      <c r="F13" s="585"/>
      <c r="G13" s="585"/>
      <c r="H13" s="436"/>
      <c r="I13" s="437"/>
    </row>
    <row r="14" spans="1:9" ht="75" customHeight="1" x14ac:dyDescent="0.25">
      <c r="A14" s="913"/>
      <c r="B14" s="862"/>
      <c r="C14" s="473" t="s">
        <v>11</v>
      </c>
      <c r="D14" s="392"/>
      <c r="E14" s="361"/>
      <c r="F14" s="361"/>
      <c r="G14" s="361"/>
      <c r="H14" s="265"/>
      <c r="I14" s="266"/>
    </row>
    <row r="15" spans="1:9" ht="75" customHeight="1" x14ac:dyDescent="0.25">
      <c r="A15" s="913"/>
      <c r="B15" s="862"/>
      <c r="C15" s="473" t="s">
        <v>12</v>
      </c>
      <c r="D15" s="392"/>
      <c r="E15" s="265"/>
      <c r="F15" s="265"/>
      <c r="G15" s="265"/>
      <c r="H15" s="265"/>
      <c r="I15" s="478"/>
    </row>
    <row r="16" spans="1:9" ht="75" customHeight="1" x14ac:dyDescent="0.25">
      <c r="A16" s="913"/>
      <c r="B16" s="862"/>
      <c r="C16" s="473" t="s">
        <v>13</v>
      </c>
      <c r="D16" s="392"/>
      <c r="E16" s="265"/>
      <c r="F16" s="265"/>
      <c r="G16" s="265"/>
      <c r="H16" s="265"/>
      <c r="I16" s="478"/>
    </row>
    <row r="17" spans="1:11" ht="75" customHeight="1" x14ac:dyDescent="0.25">
      <c r="A17" s="913"/>
      <c r="B17" s="862"/>
      <c r="C17" s="456" t="s">
        <v>15</v>
      </c>
      <c r="D17" s="511"/>
      <c r="E17" s="510"/>
      <c r="F17" s="510"/>
      <c r="G17" s="509"/>
      <c r="H17" s="509"/>
      <c r="I17" s="183"/>
    </row>
    <row r="18" spans="1:11" ht="75" customHeight="1" thickBot="1" x14ac:dyDescent="0.3">
      <c r="A18" s="913"/>
      <c r="B18" s="862"/>
      <c r="C18" s="474" t="s">
        <v>64</v>
      </c>
      <c r="D18" s="576"/>
      <c r="E18" s="404"/>
      <c r="F18" s="404"/>
      <c r="G18" s="577"/>
      <c r="H18" s="577"/>
      <c r="I18" s="578"/>
    </row>
    <row r="19" spans="1:11" ht="75" customHeight="1" x14ac:dyDescent="0.25">
      <c r="A19" s="909" t="s">
        <v>2</v>
      </c>
      <c r="B19" s="861">
        <f>B13+1</f>
        <v>46379</v>
      </c>
      <c r="C19" s="448" t="s">
        <v>10</v>
      </c>
      <c r="D19" s="508"/>
      <c r="E19" s="436"/>
      <c r="F19" s="436"/>
      <c r="G19" s="436"/>
      <c r="H19" s="436"/>
      <c r="I19" s="437"/>
    </row>
    <row r="20" spans="1:11" ht="75" customHeight="1" x14ac:dyDescent="0.25">
      <c r="A20" s="913"/>
      <c r="B20" s="862"/>
      <c r="C20" s="458" t="s">
        <v>11</v>
      </c>
      <c r="D20" s="264"/>
      <c r="E20" s="265"/>
      <c r="F20" s="265"/>
      <c r="G20" s="265"/>
      <c r="H20" s="265"/>
      <c r="I20" s="266"/>
    </row>
    <row r="21" spans="1:11" ht="75" customHeight="1" x14ac:dyDescent="0.25">
      <c r="A21" s="913"/>
      <c r="B21" s="862"/>
      <c r="C21" s="458" t="s">
        <v>12</v>
      </c>
      <c r="D21" s="392"/>
      <c r="E21" s="384"/>
      <c r="F21" s="384"/>
      <c r="G21" s="265"/>
      <c r="H21" s="265"/>
      <c r="I21" s="478"/>
      <c r="K21" s="3"/>
    </row>
    <row r="22" spans="1:11" ht="75" customHeight="1" x14ac:dyDescent="0.25">
      <c r="A22" s="913"/>
      <c r="B22" s="862"/>
      <c r="C22" s="458" t="s">
        <v>13</v>
      </c>
      <c r="D22" s="392"/>
      <c r="E22" s="361"/>
      <c r="F22" s="361"/>
      <c r="G22" s="265"/>
      <c r="H22" s="265"/>
      <c r="I22" s="478"/>
    </row>
    <row r="23" spans="1:11" ht="75" customHeight="1" thickBot="1" x14ac:dyDescent="0.3">
      <c r="A23" s="915"/>
      <c r="B23" s="862"/>
      <c r="C23" s="449" t="s">
        <v>15</v>
      </c>
      <c r="D23" s="206"/>
      <c r="E23" s="429"/>
      <c r="F23" s="429"/>
      <c r="G23" s="207"/>
      <c r="H23" s="207"/>
      <c r="I23" s="208"/>
    </row>
    <row r="24" spans="1:11" ht="75" customHeight="1" x14ac:dyDescent="0.25">
      <c r="A24" s="909" t="s">
        <v>3</v>
      </c>
      <c r="B24" s="861">
        <f>B19+1</f>
        <v>46380</v>
      </c>
      <c r="C24" s="472" t="s">
        <v>10</v>
      </c>
      <c r="D24" s="285"/>
      <c r="E24" s="286"/>
      <c r="F24" s="286"/>
      <c r="G24" s="286"/>
      <c r="H24" s="286"/>
      <c r="I24" s="303"/>
    </row>
    <row r="25" spans="1:11" ht="75" customHeight="1" x14ac:dyDescent="0.25">
      <c r="A25" s="910"/>
      <c r="B25" s="862"/>
      <c r="C25" s="473" t="s">
        <v>11</v>
      </c>
      <c r="D25" s="267"/>
      <c r="E25" s="234"/>
      <c r="F25" s="234"/>
      <c r="G25" s="301"/>
      <c r="H25" s="234"/>
      <c r="I25" s="268"/>
    </row>
    <row r="26" spans="1:11" ht="75" customHeight="1" x14ac:dyDescent="0.25">
      <c r="A26" s="910"/>
      <c r="B26" s="862"/>
      <c r="C26" s="473" t="s">
        <v>12</v>
      </c>
      <c r="D26" s="392"/>
      <c r="E26" s="361"/>
      <c r="F26" s="416"/>
      <c r="G26" s="416"/>
      <c r="H26" s="384"/>
      <c r="I26" s="443"/>
    </row>
    <row r="27" spans="1:11" ht="75" customHeight="1" x14ac:dyDescent="0.25">
      <c r="A27" s="910"/>
      <c r="B27" s="862"/>
      <c r="C27" s="473" t="s">
        <v>13</v>
      </c>
      <c r="D27" s="485"/>
      <c r="E27" s="361"/>
      <c r="F27" s="361"/>
      <c r="G27" s="361"/>
      <c r="H27" s="384"/>
      <c r="I27" s="443"/>
    </row>
    <row r="28" spans="1:11" ht="75" customHeight="1" thickBot="1" x14ac:dyDescent="0.3">
      <c r="A28" s="910"/>
      <c r="B28" s="862"/>
      <c r="C28" s="474" t="s">
        <v>15</v>
      </c>
      <c r="D28" s="543"/>
      <c r="E28" s="544"/>
      <c r="F28" s="544"/>
      <c r="G28" s="515"/>
      <c r="H28" s="515"/>
      <c r="I28" s="545"/>
    </row>
    <row r="29" spans="1:11" ht="75" customHeight="1" x14ac:dyDescent="0.25">
      <c r="A29" s="909" t="s">
        <v>4</v>
      </c>
      <c r="B29" s="861">
        <f>B24+1</f>
        <v>46381</v>
      </c>
      <c r="C29" s="451" t="s">
        <v>10</v>
      </c>
      <c r="D29" s="276"/>
      <c r="E29" s="282"/>
      <c r="F29" s="282"/>
      <c r="G29" s="277"/>
      <c r="H29" s="343"/>
      <c r="I29" s="278"/>
    </row>
    <row r="30" spans="1:11" ht="75" customHeight="1" x14ac:dyDescent="0.25">
      <c r="A30" s="913"/>
      <c r="B30" s="862"/>
      <c r="C30" s="452" t="s">
        <v>11</v>
      </c>
      <c r="D30" s="299"/>
      <c r="E30" s="301"/>
      <c r="F30" s="301"/>
      <c r="G30" s="233"/>
      <c r="H30" s="432"/>
      <c r="I30" s="270"/>
    </row>
    <row r="31" spans="1:11" ht="75" customHeight="1" x14ac:dyDescent="0.25">
      <c r="A31" s="913"/>
      <c r="B31" s="862"/>
      <c r="C31" s="452" t="s">
        <v>12</v>
      </c>
      <c r="D31" s="267"/>
      <c r="E31" s="234"/>
      <c r="F31" s="234"/>
      <c r="G31" s="234"/>
      <c r="H31" s="301"/>
      <c r="I31" s="300"/>
    </row>
    <row r="32" spans="1:11" ht="75" customHeight="1" x14ac:dyDescent="0.25">
      <c r="A32" s="913"/>
      <c r="B32" s="862"/>
      <c r="C32" s="452" t="s">
        <v>13</v>
      </c>
      <c r="D32" s="267"/>
      <c r="E32" s="234"/>
      <c r="F32" s="234"/>
      <c r="G32" s="234"/>
      <c r="H32" s="265"/>
      <c r="I32" s="268"/>
    </row>
    <row r="33" spans="1:9" ht="75" customHeight="1" thickBot="1" x14ac:dyDescent="0.3">
      <c r="A33" s="915"/>
      <c r="B33" s="862"/>
      <c r="C33" s="453" t="s">
        <v>15</v>
      </c>
      <c r="D33" s="271"/>
      <c r="E33" s="272"/>
      <c r="F33" s="272"/>
      <c r="G33" s="272"/>
      <c r="H33" s="272"/>
      <c r="I33" s="273"/>
    </row>
    <row r="34" spans="1:9" ht="43.5" customHeight="1" x14ac:dyDescent="0.25">
      <c r="A34" s="862" t="s">
        <v>47</v>
      </c>
      <c r="B34" s="861">
        <f>B29+1</f>
        <v>46382</v>
      </c>
      <c r="C34" s="475" t="s">
        <v>10</v>
      </c>
      <c r="D34" s="313"/>
      <c r="E34" s="314"/>
      <c r="F34" s="314"/>
      <c r="G34" s="314"/>
      <c r="H34" s="314"/>
      <c r="I34" s="315"/>
    </row>
    <row r="35" spans="1:9" ht="43.5" customHeight="1" x14ac:dyDescent="0.25">
      <c r="A35" s="862"/>
      <c r="B35" s="862"/>
      <c r="C35" s="476" t="s">
        <v>11</v>
      </c>
      <c r="D35" s="316"/>
      <c r="E35" s="317"/>
      <c r="F35" s="317"/>
      <c r="G35" s="317"/>
      <c r="H35" s="318"/>
      <c r="I35" s="317"/>
    </row>
    <row r="36" spans="1:9" ht="43.5" customHeight="1" x14ac:dyDescent="0.25">
      <c r="A36" s="862"/>
      <c r="B36" s="862"/>
      <c r="C36" s="476" t="s">
        <v>12</v>
      </c>
      <c r="D36" s="316"/>
      <c r="E36" s="317"/>
      <c r="F36" s="317"/>
      <c r="G36" s="317"/>
      <c r="H36" s="317"/>
      <c r="I36" s="319"/>
    </row>
    <row r="37" spans="1:9" ht="43.5" customHeight="1" x14ac:dyDescent="0.25">
      <c r="A37" s="862"/>
      <c r="B37" s="862"/>
      <c r="C37" s="476" t="s">
        <v>13</v>
      </c>
      <c r="D37" s="316"/>
      <c r="E37" s="320"/>
      <c r="F37" s="320"/>
      <c r="G37" s="320"/>
      <c r="H37" s="317"/>
      <c r="I37" s="317"/>
    </row>
    <row r="38" spans="1:9" ht="43.5" customHeight="1" thickBot="1" x14ac:dyDescent="0.3">
      <c r="A38" s="863"/>
      <c r="B38" s="863"/>
      <c r="C38" s="477" t="s">
        <v>15</v>
      </c>
      <c r="D38" s="321"/>
      <c r="E38" s="322"/>
      <c r="F38" s="322"/>
      <c r="G38" s="322"/>
      <c r="H38" s="322"/>
      <c r="I38" s="322"/>
    </row>
    <row r="39" spans="1:9" ht="33.75" customHeight="1" x14ac:dyDescent="0.3">
      <c r="A39" s="2"/>
      <c r="B39" s="2"/>
      <c r="C39" s="44"/>
      <c r="D39" s="170" t="s">
        <v>86</v>
      </c>
      <c r="E39" s="44"/>
      <c r="F39" s="44"/>
      <c r="G39" s="44"/>
      <c r="H39" s="44"/>
      <c r="I39" s="44"/>
    </row>
    <row r="40" spans="1:9" s="19" customFormat="1" ht="26.25" x14ac:dyDescent="0.4">
      <c r="A40" s="18"/>
      <c r="B40" s="145"/>
      <c r="C40" s="104" t="str">
        <f>'01.09'!C39</f>
        <v>*Л. Речевое общение в профессиональной деятельности*</v>
      </c>
      <c r="D40" s="105">
        <f>'07.12'!D40+COUNTIF(D$8:D$38,$C40)</f>
        <v>5</v>
      </c>
      <c r="E40" s="105">
        <f>'07.12'!E40+COUNTIF(E$8:E$38,$C40)</f>
        <v>5</v>
      </c>
      <c r="F40" s="105">
        <f>'07.12'!F40+COUNTIF(F$8:F$38,$C40)</f>
        <v>5</v>
      </c>
      <c r="G40" s="105">
        <f>'07.12'!G40+COUNTIF(G$8:G$38,$C40)</f>
        <v>5</v>
      </c>
      <c r="H40" s="105">
        <f>'07.12'!H40+COUNTIF(H$8:H$38,$C40)</f>
        <v>5</v>
      </c>
      <c r="I40" s="105">
        <f>'07.12'!I40+COUNTIF(I$8:I$38,$C40)</f>
        <v>5</v>
      </c>
    </row>
    <row r="41" spans="1:9" s="19" customFormat="1" ht="26.25" x14ac:dyDescent="0.4">
      <c r="A41" s="18"/>
      <c r="B41" s="145"/>
      <c r="C41" s="104" t="str">
        <f>'01.09'!C40</f>
        <v>*Пр. Речевое общение в профессиональной деятельности*</v>
      </c>
      <c r="D41" s="106">
        <f>'07.12'!D41+COUNTIF(D$8:D$38,$C41)</f>
        <v>4</v>
      </c>
      <c r="E41" s="106">
        <f>'07.12'!E41+COUNTIF(E$8:E$38,$C41)</f>
        <v>4</v>
      </c>
      <c r="F41" s="105">
        <f>'07.12'!F41+COUNTIF(F$8:F$38,$C41)</f>
        <v>4</v>
      </c>
      <c r="G41" s="106">
        <f>'07.12'!G41+COUNTIF(G$8:G$38,$C41)</f>
        <v>4</v>
      </c>
      <c r="H41" s="106">
        <f>'07.12'!H41+COUNTIF(H$8:H$38,$C41)</f>
        <v>4</v>
      </c>
      <c r="I41" s="106">
        <f>'07.12'!I41+COUNTIF(I$8:I$38,$C41)</f>
        <v>4</v>
      </c>
    </row>
    <row r="42" spans="1:9" s="19" customFormat="1" ht="26.25" x14ac:dyDescent="0.4">
      <c r="A42" s="18"/>
      <c r="B42" s="145"/>
      <c r="C42" s="104" t="str">
        <f>'01.09'!C41</f>
        <v>*Л. Элективные дисциплины по ФКиС: Силовая подготовка*</v>
      </c>
      <c r="D42" s="105">
        <f>'07.12'!D42+COUNTIF(D$8:D$38,$C42)</f>
        <v>1</v>
      </c>
      <c r="E42" s="105">
        <f>'07.12'!E42+COUNTIF(E$8:E$38,$C42)</f>
        <v>1</v>
      </c>
      <c r="F42" s="105">
        <f>'07.12'!F42+COUNTIF(F$8:F$38,$C42)</f>
        <v>1</v>
      </c>
      <c r="G42" s="105">
        <f>'07.12'!G42+COUNTIF(G$8:G$38,$C42)</f>
        <v>1</v>
      </c>
      <c r="H42" s="105">
        <f>'07.12'!H42+COUNTIF(H$8:H$38,$C42)</f>
        <v>1</v>
      </c>
      <c r="I42" s="105">
        <f>'07.12'!I42+COUNTIF(I$8:I$38,$C42)</f>
        <v>1</v>
      </c>
    </row>
    <row r="43" spans="1:9" s="19" customFormat="1" ht="26.25" x14ac:dyDescent="0.4">
      <c r="A43" s="18"/>
      <c r="B43" s="145"/>
      <c r="C43" s="104" t="str">
        <f>'01.09'!C42</f>
        <v>*Пр. Элективные дисциплины по ФКиС: Силовая подготовка*</v>
      </c>
      <c r="D43" s="106">
        <f>'07.12'!D43+COUNTIF(D$8:D$38,$C43)</f>
        <v>8</v>
      </c>
      <c r="E43" s="106">
        <f>'07.12'!E43+COUNTIF(E$8:E$38,$C43)</f>
        <v>9</v>
      </c>
      <c r="F43" s="105">
        <f>'07.12'!F43+COUNTIF(F$8:F$38,$C43)</f>
        <v>9</v>
      </c>
      <c r="G43" s="106">
        <f>'07.12'!G43+COUNTIF(G$8:G$38,$C43)</f>
        <v>9</v>
      </c>
      <c r="H43" s="106">
        <f>'07.12'!H43+COUNTIF(H$8:H$38,$C43)</f>
        <v>9</v>
      </c>
      <c r="I43" s="106">
        <f>'07.12'!I43+COUNTIF(I$8:I$38,$C43)</f>
        <v>8</v>
      </c>
    </row>
    <row r="44" spans="1:9" s="19" customFormat="1" ht="26.25" x14ac:dyDescent="0.4">
      <c r="A44" s="18"/>
      <c r="B44" s="145"/>
      <c r="C44" s="104" t="str">
        <f>'01.09'!C43</f>
        <v>*Л. Анатомия*</v>
      </c>
      <c r="D44" s="105">
        <f>'07.12'!D44+COUNTIF(D$8:D$38,$C44)</f>
        <v>4</v>
      </c>
      <c r="E44" s="105">
        <f>'07.12'!E44+COUNTIF(E$8:E$38,$C44)</f>
        <v>4</v>
      </c>
      <c r="F44" s="105">
        <f>'07.12'!F44+COUNTIF(F$8:F$38,$C44)</f>
        <v>4</v>
      </c>
      <c r="G44" s="105">
        <f>'07.12'!G44+COUNTIF(G$8:G$38,$C44)</f>
        <v>4</v>
      </c>
      <c r="H44" s="105">
        <f>'07.12'!H44+COUNTIF(H$8:H$38,$C44)</f>
        <v>4</v>
      </c>
      <c r="I44" s="105">
        <f>'07.12'!I44+COUNTIF(I$8:I$38,$C44)</f>
        <v>4</v>
      </c>
    </row>
    <row r="45" spans="1:9" s="19" customFormat="1" ht="26.25" x14ac:dyDescent="0.4">
      <c r="A45" s="18"/>
      <c r="B45" s="145"/>
      <c r="C45" s="104" t="str">
        <f>'01.09'!C44</f>
        <v>*Пр. Анатомия*</v>
      </c>
      <c r="D45" s="106">
        <f>'07.12'!D45+COUNTIF(D$8:D$38,$C45)</f>
        <v>4</v>
      </c>
      <c r="E45" s="106">
        <f>'07.12'!E45+COUNTIF(E$8:E$38,$C45)</f>
        <v>4</v>
      </c>
      <c r="F45" s="105">
        <f>'07.12'!F45+COUNTIF(F$8:F$38,$C45)</f>
        <v>4</v>
      </c>
      <c r="G45" s="106">
        <f>'07.12'!G45+COUNTIF(G$8:G$38,$C45)</f>
        <v>4</v>
      </c>
      <c r="H45" s="106">
        <f>'07.12'!H45+COUNTIF(H$8:H$38,$C45)</f>
        <v>4</v>
      </c>
      <c r="I45" s="106">
        <f>'07.12'!I45+COUNTIF(I$8:I$38,$C45)</f>
        <v>4</v>
      </c>
    </row>
    <row r="46" spans="1:9" s="19" customFormat="1" ht="26.25" x14ac:dyDescent="0.4">
      <c r="A46" s="18"/>
      <c r="B46" s="145"/>
      <c r="C46" s="104" t="str">
        <f>'01.09'!C45</f>
        <v>*Л. Теория и методика*</v>
      </c>
      <c r="D46" s="105">
        <f>'07.12'!D46+COUNTIF(D$8:D$38,$C46)</f>
        <v>5</v>
      </c>
      <c r="E46" s="105">
        <f>'07.12'!E46+COUNTIF(E$8:E$38,$C46)</f>
        <v>4</v>
      </c>
      <c r="F46" s="105">
        <f>'07.12'!F46+COUNTIF(F$8:F$38,$C46)</f>
        <v>4</v>
      </c>
      <c r="G46" s="105">
        <f>'07.12'!G46+COUNTIF(G$8:G$38,$C46)</f>
        <v>4</v>
      </c>
      <c r="H46" s="105">
        <f>'07.12'!H46+COUNTIF(H$8:H$38,$C46)</f>
        <v>5</v>
      </c>
      <c r="I46" s="105">
        <f>'07.12'!I46+COUNTIF(I$8:I$38,$C46)</f>
        <v>3</v>
      </c>
    </row>
    <row r="47" spans="1:9" s="19" customFormat="1" ht="26.25" x14ac:dyDescent="0.4">
      <c r="A47" s="18"/>
      <c r="B47" s="145"/>
      <c r="C47" s="104" t="str">
        <f>'01.09'!C46</f>
        <v>*Пр. Теория и методика*</v>
      </c>
      <c r="D47" s="106">
        <f>'07.12'!D47+COUNTIF(D$8:D$38,$C47)</f>
        <v>24</v>
      </c>
      <c r="E47" s="106">
        <f>'07.12'!E47+COUNTIF(E$8:E$38,$C47)</f>
        <v>23</v>
      </c>
      <c r="F47" s="105">
        <f>'07.12'!F47+COUNTIF(F$8:F$38,$C47)</f>
        <v>23</v>
      </c>
      <c r="G47" s="106">
        <f>'07.12'!G47+COUNTIF(G$8:G$38,$C47)</f>
        <v>23</v>
      </c>
      <c r="H47" s="106">
        <f>'07.12'!H47+COUNTIF(H$8:H$38,$C47)</f>
        <v>26</v>
      </c>
      <c r="I47" s="106">
        <f>'07.12'!I47+COUNTIF(I$8:I$38,$C47)</f>
        <v>20</v>
      </c>
    </row>
    <row r="48" spans="1:9" s="19" customFormat="1" ht="26.25" x14ac:dyDescent="0.4">
      <c r="A48" s="18"/>
      <c r="B48" s="145"/>
      <c r="C48" s="104" t="str">
        <f>'01.09'!C47</f>
        <v>*Л. Физическая культура и спорт*</v>
      </c>
      <c r="D48" s="105">
        <f>'07.12'!D48+COUNTIF(D$8:D$38,$C48)</f>
        <v>5</v>
      </c>
      <c r="E48" s="105">
        <f>'07.12'!E48+COUNTIF(E$8:E$38,$C48)</f>
        <v>5</v>
      </c>
      <c r="F48" s="105">
        <f>'07.12'!F48+COUNTIF(F$8:F$38,$C48)</f>
        <v>5</v>
      </c>
      <c r="G48" s="105">
        <f>'07.12'!G48+COUNTIF(G$8:G$38,$C48)</f>
        <v>5</v>
      </c>
      <c r="H48" s="105">
        <f>'07.12'!H48+COUNTIF(H$8:H$38,$C48)</f>
        <v>5</v>
      </c>
      <c r="I48" s="105">
        <f>'07.12'!I48+COUNTIF(I$8:I$38,$C48)</f>
        <v>5</v>
      </c>
    </row>
    <row r="49" spans="1:9" s="19" customFormat="1" ht="26.25" x14ac:dyDescent="0.4">
      <c r="A49" s="18"/>
      <c r="B49" s="145"/>
      <c r="C49" s="104" t="str">
        <f>'01.09'!C48</f>
        <v>*Пр. Физическая культура и спорт*</v>
      </c>
      <c r="D49" s="106">
        <f>'07.12'!D49+COUNTIF(D$8:D$38,$C49)</f>
        <v>5</v>
      </c>
      <c r="E49" s="106">
        <f>'07.12'!E49+COUNTIF(E$8:E$38,$C49)</f>
        <v>5</v>
      </c>
      <c r="F49" s="105">
        <f>'07.12'!F49+COUNTIF(F$8:F$38,$C49)</f>
        <v>5</v>
      </c>
      <c r="G49" s="106">
        <f>'07.12'!G49+COUNTIF(G$8:G$38,$C49)</f>
        <v>5</v>
      </c>
      <c r="H49" s="106">
        <f>'07.12'!H49+COUNTIF(H$8:H$38,$C49)</f>
        <v>5</v>
      </c>
      <c r="I49" s="106">
        <f>'07.12'!I49+COUNTIF(I$8:I$38,$C49)</f>
        <v>5</v>
      </c>
    </row>
    <row r="50" spans="1:9" s="19" customFormat="1" ht="26.25" x14ac:dyDescent="0.4">
      <c r="A50" s="18"/>
      <c r="B50" s="145"/>
      <c r="C50" s="104" t="str">
        <f>'01.09'!C49</f>
        <v>*Л. Информационные технологии*</v>
      </c>
      <c r="D50" s="105">
        <f>'07.12'!D50+COUNTIF(D$8:D$38,$C50)</f>
        <v>2</v>
      </c>
      <c r="E50" s="105">
        <f>'07.12'!E50+COUNTIF(E$8:E$38,$C50)</f>
        <v>2</v>
      </c>
      <c r="F50" s="105">
        <f>'07.12'!F50+COUNTIF(F$8:F$38,$C50)</f>
        <v>2</v>
      </c>
      <c r="G50" s="105">
        <f>'07.12'!G50+COUNTIF(G$8:G$38,$C50)</f>
        <v>2</v>
      </c>
      <c r="H50" s="105">
        <f>'07.12'!H50+COUNTIF(H$8:H$38,$C50)</f>
        <v>2</v>
      </c>
      <c r="I50" s="105">
        <f>'07.12'!I50+COUNTIF(I$8:I$38,$C50)</f>
        <v>2</v>
      </c>
    </row>
    <row r="51" spans="1:9" s="19" customFormat="1" ht="26.25" x14ac:dyDescent="0.4">
      <c r="A51" s="18"/>
      <c r="B51" s="145"/>
      <c r="C51" s="104" t="str">
        <f>'01.09'!C50</f>
        <v>*Пр. Информационные технологии*</v>
      </c>
      <c r="D51" s="106">
        <f>'07.12'!D51+COUNTIF(D$8:D$38,$C51)</f>
        <v>8</v>
      </c>
      <c r="E51" s="106">
        <f>'07.12'!E51+COUNTIF(E$8:E$38,$C51)</f>
        <v>8</v>
      </c>
      <c r="F51" s="105">
        <f>'07.12'!F51+COUNTIF(F$8:F$38,$C51)</f>
        <v>8</v>
      </c>
      <c r="G51" s="106">
        <f>'07.12'!G51+COUNTIF(G$8:G$38,$C51)</f>
        <v>8</v>
      </c>
      <c r="H51" s="106">
        <f>'07.12'!H51+COUNTIF(H$8:H$38,$C51)</f>
        <v>8</v>
      </c>
      <c r="I51" s="106">
        <f>'07.12'!I51+COUNTIF(I$8:I$38,$C51)</f>
        <v>8</v>
      </c>
    </row>
    <row r="52" spans="1:9" s="19" customFormat="1" ht="26.25" x14ac:dyDescent="0.4">
      <c r="A52" s="18"/>
      <c r="B52" s="145"/>
      <c r="C52" s="104" t="str">
        <f>'01.09'!C51</f>
        <v>*Л. Гимнастика*</v>
      </c>
      <c r="D52" s="105">
        <f>'07.12'!D52+COUNTIF(D$8:D$38,$C52)</f>
        <v>3</v>
      </c>
      <c r="E52" s="105">
        <f>'07.12'!E52+COUNTIF(E$8:E$38,$C52)</f>
        <v>3</v>
      </c>
      <c r="F52" s="105">
        <f>'07.12'!F52+COUNTIF(F$8:F$38,$C52)</f>
        <v>3</v>
      </c>
      <c r="G52" s="105">
        <f>'07.12'!G52+COUNTIF(G$8:G$38,$C52)</f>
        <v>3</v>
      </c>
      <c r="H52" s="105">
        <f>'07.12'!H52+COUNTIF(H$8:H$38,$C52)</f>
        <v>3</v>
      </c>
      <c r="I52" s="105">
        <f>'07.12'!I52+COUNTIF(I$8:I$38,$C52)</f>
        <v>3</v>
      </c>
    </row>
    <row r="53" spans="1:9" s="19" customFormat="1" ht="26.25" x14ac:dyDescent="0.4">
      <c r="A53" s="18"/>
      <c r="B53" s="145"/>
      <c r="C53" s="104" t="str">
        <f>'01.09'!C52</f>
        <v>*Пр. Гимнастика*</v>
      </c>
      <c r="D53" s="106">
        <f>'07.12'!D53+COUNTIF(D$8:D$38,$C53)</f>
        <v>8</v>
      </c>
      <c r="E53" s="106">
        <f>'07.12'!E53+COUNTIF(E$8:E$38,$C53)</f>
        <v>13</v>
      </c>
      <c r="F53" s="105">
        <f>'07.12'!F53+COUNTIF(F$8:F$38,$C53)</f>
        <v>13</v>
      </c>
      <c r="G53" s="106">
        <f>'07.12'!G53+COUNTIF(G$8:G$38,$C53)</f>
        <v>12</v>
      </c>
      <c r="H53" s="106">
        <f>'07.12'!H53+COUNTIF(H$8:H$38,$C53)</f>
        <v>13</v>
      </c>
      <c r="I53" s="106">
        <f>'07.12'!I53+COUNTIF(I$8:I$38,$C53)</f>
        <v>12</v>
      </c>
    </row>
    <row r="54" spans="1:9" s="19" customFormat="1" ht="26.25" x14ac:dyDescent="0.4">
      <c r="A54" s="18"/>
      <c r="B54" s="145"/>
      <c r="C54" s="104" t="str">
        <f>'01.09'!C53</f>
        <v>*Л. Волейбол*</v>
      </c>
      <c r="D54" s="105">
        <f>'07.12'!D54+COUNTIF(D$8:D$38,$C54)</f>
        <v>1</v>
      </c>
      <c r="E54" s="105">
        <f>'07.12'!E54+COUNTIF(E$8:E$38,$C54)</f>
        <v>1</v>
      </c>
      <c r="F54" s="105">
        <f>'07.12'!F54+COUNTIF(F$8:F$38,$C54)</f>
        <v>1</v>
      </c>
      <c r="G54" s="105">
        <f>'07.12'!G54+COUNTIF(G$8:G$38,$C54)</f>
        <v>1</v>
      </c>
      <c r="H54" s="105">
        <f>'07.12'!H54+COUNTIF(H$8:H$38,$C54)</f>
        <v>1</v>
      </c>
      <c r="I54" s="105">
        <f>'07.12'!I54+COUNTIF(I$8:I$38,$C54)</f>
        <v>1</v>
      </c>
    </row>
    <row r="55" spans="1:9" s="19" customFormat="1" ht="26.25" x14ac:dyDescent="0.4">
      <c r="A55" s="18"/>
      <c r="B55" s="145"/>
      <c r="C55" s="104" t="str">
        <f>'01.09'!C54</f>
        <v>*Пр. Волейбол*</v>
      </c>
      <c r="D55" s="106">
        <f>'07.12'!D55+COUNTIF(D$8:D$38,$C55)</f>
        <v>16</v>
      </c>
      <c r="E55" s="106">
        <f>'07.12'!E55+COUNTIF(E$8:E$38,$C55)</f>
        <v>16</v>
      </c>
      <c r="F55" s="105">
        <f>'07.12'!F55+COUNTIF(F$8:F$38,$C55)</f>
        <v>8</v>
      </c>
      <c r="G55" s="106">
        <f>'07.12'!G55+COUNTIF(G$8:G$38,$C55)</f>
        <v>8</v>
      </c>
      <c r="H55" s="106">
        <f>'07.12'!H55+COUNTIF(H$8:H$38,$C55)</f>
        <v>16</v>
      </c>
      <c r="I55" s="106">
        <f>'07.12'!I55+COUNTIF(I$8:I$38,$C55)</f>
        <v>16</v>
      </c>
    </row>
    <row r="56" spans="1:9" s="19" customFormat="1" ht="26.25" x14ac:dyDescent="0.4">
      <c r="A56" s="18"/>
      <c r="B56" s="145"/>
      <c r="C56" s="104" t="str">
        <f>'01.09'!C55</f>
        <v>*Л. Лыжные гонки*</v>
      </c>
      <c r="D56" s="105">
        <f>'07.12'!D56+COUNTIF(D$8:D$38,$C56)</f>
        <v>0</v>
      </c>
      <c r="E56" s="105">
        <f>'07.12'!E56+COUNTIF(E$8:E$38,$C56)</f>
        <v>0</v>
      </c>
      <c r="F56" s="105">
        <f>'07.12'!F56+COUNTIF(F$8:F$38,$C56)</f>
        <v>0</v>
      </c>
      <c r="G56" s="105">
        <f>'07.12'!G56+COUNTIF(G$8:G$38,$C56)</f>
        <v>0</v>
      </c>
      <c r="H56" s="105">
        <f>'07.12'!H56+COUNTIF(H$8:H$38,$C56)</f>
        <v>0</v>
      </c>
      <c r="I56" s="105">
        <f>'07.12'!I56+COUNTIF(I$8:I$38,$C56)</f>
        <v>0</v>
      </c>
    </row>
    <row r="57" spans="1:9" s="19" customFormat="1" ht="26.25" x14ac:dyDescent="0.4">
      <c r="A57" s="18"/>
      <c r="B57" s="145"/>
      <c r="C57" s="104" t="str">
        <f>'01.09'!C56</f>
        <v>*Пр. Лыжные гонки*</v>
      </c>
      <c r="D57" s="106">
        <f>'07.12'!D57+COUNTIF(D$8:D$38,$C57)</f>
        <v>0</v>
      </c>
      <c r="E57" s="106">
        <f>'07.12'!E57+COUNTIF(E$8:E$38,$C57)</f>
        <v>0</v>
      </c>
      <c r="F57" s="105">
        <f>'07.12'!F57+COUNTIF(F$8:F$38,$C57)</f>
        <v>0</v>
      </c>
      <c r="G57" s="106">
        <f>'07.12'!G57+COUNTIF(G$8:G$38,$C57)</f>
        <v>0</v>
      </c>
      <c r="H57" s="106">
        <f>'07.12'!H57+COUNTIF(H$8:H$38,$C57)</f>
        <v>0</v>
      </c>
      <c r="I57" s="106">
        <f>'07.12'!I57+COUNTIF(I$8:I$38,$C57)</f>
        <v>0</v>
      </c>
    </row>
    <row r="58" spans="1:9" s="19" customFormat="1" ht="26.25" x14ac:dyDescent="0.4">
      <c r="A58" s="18"/>
      <c r="B58" s="145"/>
      <c r="C58" s="104" t="str">
        <f>'01.09'!C57</f>
        <v>*Л. Использование электронной*</v>
      </c>
      <c r="D58" s="105">
        <f>'07.12'!D58+COUNTIF(D$8:D$38,$C58)</f>
        <v>1</v>
      </c>
      <c r="E58" s="105">
        <f>'07.12'!E58+COUNTIF(E$8:E$38,$C58)</f>
        <v>0</v>
      </c>
      <c r="F58" s="105">
        <f>'07.12'!F58+COUNTIF(F$8:F$38,$C58)</f>
        <v>0</v>
      </c>
      <c r="G58" s="105">
        <f>'07.12'!G58+COUNTIF(G$8:G$38,$C58)</f>
        <v>0</v>
      </c>
      <c r="H58" s="105">
        <f>'07.12'!H58+COUNTIF(H$8:H$38,$C58)</f>
        <v>0</v>
      </c>
      <c r="I58" s="105">
        <f>'07.12'!I58+COUNTIF(I$8:I$38,$C58)</f>
        <v>0</v>
      </c>
    </row>
    <row r="59" spans="1:9" s="19" customFormat="1" ht="26.25" x14ac:dyDescent="0.4">
      <c r="A59" s="18"/>
      <c r="B59" s="18"/>
      <c r="C59" s="104" t="str">
        <f>'01.09'!C58</f>
        <v>*Пр. Использование электронной*</v>
      </c>
      <c r="D59" s="106">
        <f>'07.12'!D59+COUNTIF(D$8:D$38,$C59)</f>
        <v>2</v>
      </c>
      <c r="E59" s="106">
        <f>'07.12'!E59+COUNTIF(E$8:E$38,$C59)</f>
        <v>2</v>
      </c>
      <c r="F59" s="105">
        <f>'07.12'!F59+COUNTIF(F$8:F$38,$C59)</f>
        <v>2</v>
      </c>
      <c r="G59" s="106">
        <f>'07.12'!G59+COUNTIF(G$8:G$38,$C59)</f>
        <v>2</v>
      </c>
      <c r="H59" s="106">
        <f>'07.12'!H59+COUNTIF(H$8:H$38,$C59)</f>
        <v>2</v>
      </c>
      <c r="I59" s="106">
        <f>'07.12'!I59+COUNTIF(I$8:I$38,$C59)</f>
        <v>2</v>
      </c>
    </row>
    <row r="60" spans="1:9" s="19" customFormat="1" ht="26.25" x14ac:dyDescent="0.4">
      <c r="A60" s="18"/>
      <c r="B60" s="18"/>
      <c r="C60" s="104" t="str">
        <f>'01.09'!C59</f>
        <v>*Пр. Иностранный язык*</v>
      </c>
      <c r="D60" s="105">
        <f>'07.12'!D60+COUNTIF(D$8:D$38,$C60)</f>
        <v>8</v>
      </c>
      <c r="E60" s="105">
        <f>'07.12'!E60+COUNTIF(E$8:E$38,$C60)</f>
        <v>8</v>
      </c>
      <c r="F60" s="105">
        <f>'07.12'!F60+COUNTIF(F$8:F$38,$C60)</f>
        <v>8</v>
      </c>
      <c r="G60" s="105">
        <f>'07.12'!G60+COUNTIF(G$8:G$38,$C60)</f>
        <v>8</v>
      </c>
      <c r="H60" s="105">
        <f>'07.12'!H60+COUNTIF(H$8:H$38,$C60)</f>
        <v>8</v>
      </c>
      <c r="I60" s="105">
        <f>'07.12'!I60+COUNTIF(I$8:I$38,$C60)</f>
        <v>8</v>
      </c>
    </row>
    <row r="61" spans="1:9" s="19" customFormat="1" ht="26.25" x14ac:dyDescent="0.4">
      <c r="A61" s="18"/>
      <c r="B61" s="18"/>
      <c r="C61" s="104" t="str">
        <f>'01.09'!C60</f>
        <v>*С1-04А-26*</v>
      </c>
      <c r="D61" s="105">
        <f>'07.12'!D61+COUNTIF(D$8:D$38,$C61)</f>
        <v>0</v>
      </c>
      <c r="E61" s="105">
        <f>'07.12'!E61+COUNTIF(E$8:E$38,$C61)</f>
        <v>0</v>
      </c>
      <c r="F61" s="105">
        <f>'07.12'!F61+COUNTIF(F$8:F$38,$C61)</f>
        <v>0</v>
      </c>
      <c r="G61" s="105">
        <f>'07.12'!G61+COUNTIF(G$8:G$38,$C61)</f>
        <v>17</v>
      </c>
      <c r="H61" s="105">
        <f>'07.12'!H61+COUNTIF(H$8:H$38,$C61)</f>
        <v>0</v>
      </c>
      <c r="I61" s="105">
        <f>'07.12'!I61+COUNTIF(I$8:I$38,$C61)</f>
        <v>0</v>
      </c>
    </row>
    <row r="62" spans="1:9" ht="26.25" x14ac:dyDescent="0.4">
      <c r="A62" s="2"/>
      <c r="B62" s="2"/>
      <c r="C62" s="104" t="str">
        <f>'01.09'!C61</f>
        <v>*С1-04Б-26*</v>
      </c>
      <c r="D62" s="106">
        <f>'07.12'!D62+COUNTIF(D$8:D$38,$C62)</f>
        <v>0</v>
      </c>
      <c r="E62" s="106">
        <f>'07.12'!E62+COUNTIF(E$8:E$38,$C62)</f>
        <v>0</v>
      </c>
      <c r="F62" s="105">
        <f>'07.12'!F62+COUNTIF(F$8:F$38,$C62)</f>
        <v>0</v>
      </c>
      <c r="G62" s="106">
        <f>'07.12'!G62+COUNTIF(G$8:G$38,$C62)</f>
        <v>17</v>
      </c>
      <c r="H62" s="106">
        <f>'07.12'!H62+COUNTIF(H$8:H$38,$C62)</f>
        <v>0</v>
      </c>
      <c r="I62" s="106">
        <f>'07.12'!I62+COUNTIF(I$8:I$38,$C62)</f>
        <v>0</v>
      </c>
    </row>
    <row r="63" spans="1:9" ht="26.25" x14ac:dyDescent="0.4">
      <c r="A63" s="2"/>
      <c r="B63" s="2"/>
      <c r="C63" s="104" t="str">
        <f>'01.09'!C62</f>
        <v>*С1-05А-26*</v>
      </c>
      <c r="D63" s="105">
        <f>'07.12'!D63+COUNTIF(D$8:D$38,$C63)</f>
        <v>0</v>
      </c>
      <c r="E63" s="105">
        <f>'07.12'!E63+COUNTIF(E$8:E$38,$C63)</f>
        <v>0</v>
      </c>
      <c r="F63" s="105">
        <f>'07.12'!F63+COUNTIF(F$8:F$38,$C63)</f>
        <v>0</v>
      </c>
      <c r="G63" s="105">
        <f>'07.12'!G63+COUNTIF(G$8:G$38,$C63)</f>
        <v>0</v>
      </c>
      <c r="H63" s="105">
        <f>'07.12'!H63+COUNTIF(H$8:H$38,$C63)</f>
        <v>8</v>
      </c>
      <c r="I63" s="105">
        <f>'07.12'!I63+COUNTIF(I$8:I$38,$C63)</f>
        <v>0</v>
      </c>
    </row>
    <row r="64" spans="1:9" ht="26.25" x14ac:dyDescent="0.4">
      <c r="A64" s="2"/>
      <c r="B64" s="2"/>
      <c r="C64" s="104" t="str">
        <f>'01.09'!C63</f>
        <v>*С1-05Б-26*</v>
      </c>
      <c r="D64" s="105">
        <f>'07.12'!D64+COUNTIF(D$8:D$38,$C64)</f>
        <v>0</v>
      </c>
      <c r="E64" s="105">
        <f>'07.12'!E64+COUNTIF(E$8:E$38,$C64)</f>
        <v>0</v>
      </c>
      <c r="F64" s="105">
        <f>'07.12'!F64+COUNTIF(F$8:F$38,$C64)</f>
        <v>0</v>
      </c>
      <c r="G64" s="105">
        <f>'07.12'!G64+COUNTIF(G$8:G$38,$C64)</f>
        <v>0</v>
      </c>
      <c r="H64" s="105">
        <f>'07.12'!H64+COUNTIF(H$8:H$38,$C64)</f>
        <v>8</v>
      </c>
      <c r="I64" s="105">
        <f>'07.12'!I64+COUNTIF(I$8:I$38,$C64)</f>
        <v>0</v>
      </c>
    </row>
    <row r="65" spans="1:9" ht="26.25" x14ac:dyDescent="0.4">
      <c r="A65" s="2"/>
      <c r="B65" s="2"/>
      <c r="C65" s="104">
        <f>'01.09'!C64</f>
        <v>0</v>
      </c>
      <c r="D65" s="106">
        <f>'07.12'!D65+COUNTIF(D$8:D$38,$C65)</f>
        <v>0</v>
      </c>
      <c r="E65" s="106">
        <f>'07.12'!E65+COUNTIF(E$8:E$38,$C65)</f>
        <v>0</v>
      </c>
      <c r="F65" s="105">
        <f>'07.12'!F65+COUNTIF(F$8:F$38,$C65)</f>
        <v>0</v>
      </c>
      <c r="G65" s="106">
        <f>'07.12'!G65+COUNTIF(G$8:G$38,$C65)</f>
        <v>0</v>
      </c>
      <c r="H65" s="106">
        <f>'07.12'!H65+COUNTIF(H$8:H$38,$C65)</f>
        <v>0</v>
      </c>
      <c r="I65" s="106">
        <f>'07.12'!I65+COUNTIF(I$8:I$38,$C65)</f>
        <v>0</v>
      </c>
    </row>
    <row r="66" spans="1:9" ht="26.25" x14ac:dyDescent="0.4">
      <c r="A66" s="2"/>
      <c r="B66" s="2"/>
      <c r="C66" s="104">
        <f>'01.09'!C65</f>
        <v>0</v>
      </c>
      <c r="D66" s="105">
        <f>'07.12'!D66+COUNTIF(D$8:D$38,$C66)</f>
        <v>0</v>
      </c>
      <c r="E66" s="105">
        <f>'07.12'!E66+COUNTIF(E$8:E$38,$C66)</f>
        <v>0</v>
      </c>
      <c r="F66" s="105">
        <f>'07.12'!F66+COUNTIF(F$8:F$38,$C66)</f>
        <v>0</v>
      </c>
      <c r="G66" s="105">
        <f>'07.12'!G66+COUNTIF(G$8:G$38,$C66)</f>
        <v>0</v>
      </c>
      <c r="H66" s="105">
        <f>'07.12'!H66+COUNTIF(H$8:H$38,$C66)</f>
        <v>0</v>
      </c>
      <c r="I66" s="105">
        <f>'07.12'!I66+COUNTIF(I$8:I$38,$C66)</f>
        <v>0</v>
      </c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</sheetData>
  <mergeCells count="20">
    <mergeCell ref="B1:I1"/>
    <mergeCell ref="B2:I2"/>
    <mergeCell ref="B3:I3"/>
    <mergeCell ref="B4:I4"/>
    <mergeCell ref="A5:I5"/>
    <mergeCell ref="A34:A38"/>
    <mergeCell ref="B34:B38"/>
    <mergeCell ref="A29:A33"/>
    <mergeCell ref="B29:B33"/>
    <mergeCell ref="C6:C7"/>
    <mergeCell ref="B8:B12"/>
    <mergeCell ref="B13:B18"/>
    <mergeCell ref="A13:A18"/>
    <mergeCell ref="A24:A28"/>
    <mergeCell ref="B19:B23"/>
    <mergeCell ref="B24:B28"/>
    <mergeCell ref="A19:A23"/>
    <mergeCell ref="A8:A12"/>
    <mergeCell ref="A6:A7"/>
    <mergeCell ref="B6:B7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view="pageBreakPreview" topLeftCell="A34" zoomScale="40" zoomScaleNormal="40" zoomScaleSheetLayoutView="40" zoomScalePageLayoutView="40" workbookViewId="0">
      <selection activeCell="C62" sqref="C62:C63"/>
    </sheetView>
  </sheetViews>
  <sheetFormatPr defaultRowHeight="15" x14ac:dyDescent="0.25"/>
  <cols>
    <col min="1" max="1" width="4.42578125" customWidth="1"/>
    <col min="2" max="2" width="5.85546875" customWidth="1"/>
    <col min="3" max="3" width="29" customWidth="1"/>
    <col min="4" max="9" width="54.85546875" customWidth="1"/>
  </cols>
  <sheetData>
    <row r="1" spans="1:9" ht="34.5" customHeight="1" x14ac:dyDescent="0.3">
      <c r="A1" s="167"/>
      <c r="B1" s="843" t="s">
        <v>127</v>
      </c>
      <c r="C1" s="843"/>
      <c r="D1" s="843"/>
      <c r="E1" s="843"/>
      <c r="F1" s="843"/>
      <c r="G1" s="843"/>
      <c r="H1" s="843"/>
      <c r="I1" s="843"/>
    </row>
    <row r="2" spans="1:9" ht="34.5" customHeight="1" x14ac:dyDescent="0.3">
      <c r="A2" s="168"/>
      <c r="B2" s="843" t="s">
        <v>91</v>
      </c>
      <c r="C2" s="843"/>
      <c r="D2" s="843"/>
      <c r="E2" s="843"/>
      <c r="F2" s="843"/>
      <c r="G2" s="843"/>
      <c r="H2" s="843"/>
      <c r="I2" s="843"/>
    </row>
    <row r="3" spans="1:9" ht="32.25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  <c r="I3" s="892"/>
    </row>
    <row r="4" spans="1:9" ht="34.5" customHeight="1" x14ac:dyDescent="0.25">
      <c r="A4" s="169"/>
      <c r="B4" s="843" t="s">
        <v>112</v>
      </c>
      <c r="C4" s="843"/>
      <c r="D4" s="843"/>
      <c r="E4" s="843"/>
      <c r="F4" s="843"/>
      <c r="G4" s="843"/>
      <c r="H4" s="843"/>
      <c r="I4" s="843"/>
    </row>
    <row r="5" spans="1:9" ht="33.75" customHeight="1" thickBot="1" x14ac:dyDescent="0.3">
      <c r="A5" s="787" t="s">
        <v>254</v>
      </c>
      <c r="B5" s="787"/>
      <c r="C5" s="787"/>
      <c r="D5" s="787"/>
      <c r="E5" s="787"/>
      <c r="F5" s="787"/>
      <c r="G5" s="787"/>
      <c r="H5" s="787"/>
      <c r="I5" s="787"/>
    </row>
    <row r="6" spans="1:9" ht="21" hidden="1" thickBot="1" x14ac:dyDescent="0.35">
      <c r="A6" s="41"/>
      <c r="B6" s="40"/>
      <c r="C6" s="40"/>
      <c r="D6" s="40"/>
      <c r="E6" s="40"/>
      <c r="F6" s="40"/>
      <c r="G6" s="40"/>
      <c r="H6" s="40"/>
      <c r="I6" s="40"/>
    </row>
    <row r="7" spans="1:9" ht="30.75" customHeight="1" thickBot="1" x14ac:dyDescent="0.3">
      <c r="A7" s="866" t="s">
        <v>54</v>
      </c>
      <c r="B7" s="866" t="s">
        <v>14</v>
      </c>
      <c r="C7" s="841" t="s">
        <v>55</v>
      </c>
      <c r="D7" s="686" t="s">
        <v>5</v>
      </c>
      <c r="E7" s="687" t="s">
        <v>102</v>
      </c>
      <c r="F7" s="687" t="s">
        <v>101</v>
      </c>
      <c r="G7" s="687" t="s">
        <v>8</v>
      </c>
      <c r="H7" s="687" t="s">
        <v>9</v>
      </c>
      <c r="I7" s="688" t="s">
        <v>253</v>
      </c>
    </row>
    <row r="8" spans="1:9" ht="93.75" thickBot="1" x14ac:dyDescent="0.3">
      <c r="A8" s="867"/>
      <c r="B8" s="867"/>
      <c r="C8" s="842"/>
      <c r="D8" s="674" t="s">
        <v>77</v>
      </c>
      <c r="E8" s="675" t="s">
        <v>252</v>
      </c>
      <c r="F8" s="684" t="s">
        <v>302</v>
      </c>
      <c r="G8" s="675" t="s">
        <v>134</v>
      </c>
      <c r="H8" s="675" t="s">
        <v>98</v>
      </c>
      <c r="I8" s="676" t="s">
        <v>82</v>
      </c>
    </row>
    <row r="9" spans="1:9" ht="91.5" customHeight="1" x14ac:dyDescent="0.25">
      <c r="A9" s="928" t="s">
        <v>0</v>
      </c>
      <c r="B9" s="859">
        <v>46384</v>
      </c>
      <c r="C9" s="530" t="s">
        <v>10</v>
      </c>
      <c r="D9" s="298"/>
      <c r="E9" s="282"/>
      <c r="F9" s="282"/>
      <c r="G9" s="282"/>
      <c r="H9" s="519"/>
      <c r="I9" s="344"/>
    </row>
    <row r="10" spans="1:9" ht="91.5" customHeight="1" x14ac:dyDescent="0.25">
      <c r="A10" s="931"/>
      <c r="B10" s="858"/>
      <c r="C10" s="458" t="s">
        <v>11</v>
      </c>
      <c r="D10" s="267"/>
      <c r="E10" s="265"/>
      <c r="F10" s="265"/>
      <c r="G10" s="351"/>
      <c r="H10" s="351"/>
      <c r="I10" s="520"/>
    </row>
    <row r="11" spans="1:9" ht="91.5" customHeight="1" x14ac:dyDescent="0.25">
      <c r="A11" s="931"/>
      <c r="B11" s="858"/>
      <c r="C11" s="458" t="s">
        <v>12</v>
      </c>
      <c r="D11" s="546"/>
      <c r="E11" s="351"/>
      <c r="F11" s="351"/>
      <c r="G11" s="351"/>
      <c r="H11" s="444"/>
      <c r="I11" s="478"/>
    </row>
    <row r="12" spans="1:9" ht="91.5" customHeight="1" x14ac:dyDescent="0.25">
      <c r="A12" s="931"/>
      <c r="B12" s="858"/>
      <c r="C12" s="458" t="s">
        <v>13</v>
      </c>
      <c r="D12" s="353"/>
      <c r="E12" s="351"/>
      <c r="F12" s="351"/>
      <c r="G12" s="351"/>
      <c r="H12" s="432"/>
      <c r="I12" s="270"/>
    </row>
    <row r="13" spans="1:9" ht="91.5" customHeight="1" thickBot="1" x14ac:dyDescent="0.3">
      <c r="A13" s="931"/>
      <c r="B13" s="934"/>
      <c r="C13" s="531" t="s">
        <v>15</v>
      </c>
      <c r="D13" s="532"/>
      <c r="E13" s="312"/>
      <c r="F13" s="312"/>
      <c r="G13" s="312"/>
      <c r="H13" s="312"/>
      <c r="I13" s="335"/>
    </row>
    <row r="14" spans="1:9" ht="91.5" customHeight="1" x14ac:dyDescent="0.25">
      <c r="A14" s="928" t="s">
        <v>1</v>
      </c>
      <c r="B14" s="933">
        <f>B9+1</f>
        <v>46385</v>
      </c>
      <c r="C14" s="472" t="s">
        <v>10</v>
      </c>
      <c r="D14" s="354"/>
      <c r="E14" s="487"/>
      <c r="F14" s="487"/>
      <c r="G14" s="487"/>
      <c r="H14" s="436"/>
      <c r="I14" s="460"/>
    </row>
    <row r="15" spans="1:9" ht="91.5" customHeight="1" x14ac:dyDescent="0.25">
      <c r="A15" s="931"/>
      <c r="B15" s="858"/>
      <c r="C15" s="473" t="s">
        <v>11</v>
      </c>
      <c r="D15" s="353"/>
      <c r="E15" s="351"/>
      <c r="F15" s="351"/>
      <c r="G15" s="351"/>
      <c r="H15" s="265"/>
      <c r="I15" s="460"/>
    </row>
    <row r="16" spans="1:9" ht="91.5" customHeight="1" x14ac:dyDescent="0.25">
      <c r="A16" s="931"/>
      <c r="B16" s="858"/>
      <c r="C16" s="473" t="s">
        <v>12</v>
      </c>
      <c r="D16" s="353"/>
      <c r="E16" s="265"/>
      <c r="F16" s="265"/>
      <c r="G16" s="265"/>
      <c r="H16" s="265"/>
      <c r="I16" s="460"/>
    </row>
    <row r="17" spans="1:11" ht="91.5" customHeight="1" x14ac:dyDescent="0.25">
      <c r="A17" s="931"/>
      <c r="B17" s="858"/>
      <c r="C17" s="473" t="s">
        <v>13</v>
      </c>
      <c r="D17" s="353"/>
      <c r="E17" s="265"/>
      <c r="F17" s="265"/>
      <c r="G17" s="265"/>
      <c r="H17" s="265"/>
      <c r="I17" s="460"/>
    </row>
    <row r="18" spans="1:11" ht="91.5" customHeight="1" x14ac:dyDescent="0.25">
      <c r="A18" s="931"/>
      <c r="B18" s="934"/>
      <c r="C18" s="456" t="s">
        <v>15</v>
      </c>
      <c r="D18" s="511"/>
      <c r="E18" s="510"/>
      <c r="F18" s="510"/>
      <c r="G18" s="509"/>
      <c r="H18" s="509"/>
      <c r="I18" s="183"/>
    </row>
    <row r="19" spans="1:11" ht="91.5" customHeight="1" thickBot="1" x14ac:dyDescent="0.3">
      <c r="A19" s="932"/>
      <c r="B19" s="860"/>
      <c r="C19" s="474" t="s">
        <v>64</v>
      </c>
      <c r="D19" s="512"/>
      <c r="E19" s="471"/>
      <c r="F19" s="471"/>
      <c r="G19" s="513"/>
      <c r="H19" s="513"/>
      <c r="I19" s="514"/>
      <c r="K19" s="3"/>
    </row>
    <row r="20" spans="1:11" ht="91.5" customHeight="1" x14ac:dyDescent="0.25">
      <c r="A20" s="931" t="s">
        <v>2</v>
      </c>
      <c r="B20" s="859">
        <f>B14+1</f>
        <v>46386</v>
      </c>
      <c r="C20" s="451" t="s">
        <v>10</v>
      </c>
      <c r="D20" s="508"/>
      <c r="E20" s="436"/>
      <c r="F20" s="436"/>
      <c r="G20" s="351"/>
      <c r="H20" s="436"/>
      <c r="I20" s="437"/>
    </row>
    <row r="21" spans="1:11" ht="91.5" customHeight="1" x14ac:dyDescent="0.25">
      <c r="A21" s="931"/>
      <c r="B21" s="858"/>
      <c r="C21" s="452" t="s">
        <v>11</v>
      </c>
      <c r="D21" s="264"/>
      <c r="E21" s="265"/>
      <c r="F21" s="265"/>
      <c r="G21" s="265"/>
      <c r="H21" s="265"/>
      <c r="I21" s="266"/>
    </row>
    <row r="22" spans="1:11" ht="91.5" customHeight="1" x14ac:dyDescent="0.25">
      <c r="A22" s="931"/>
      <c r="B22" s="858"/>
      <c r="C22" s="452" t="s">
        <v>12</v>
      </c>
      <c r="D22" s="353"/>
      <c r="E22" s="377"/>
      <c r="F22" s="377"/>
      <c r="G22" s="265"/>
      <c r="H22" s="265"/>
      <c r="I22" s="460"/>
      <c r="K22" s="3"/>
    </row>
    <row r="23" spans="1:11" ht="91.5" customHeight="1" x14ac:dyDescent="0.25">
      <c r="A23" s="931"/>
      <c r="B23" s="858"/>
      <c r="C23" s="452" t="s">
        <v>13</v>
      </c>
      <c r="D23" s="353"/>
      <c r="E23" s="351"/>
      <c r="F23" s="351"/>
      <c r="G23" s="265"/>
      <c r="H23" s="265"/>
      <c r="I23" s="478"/>
    </row>
    <row r="24" spans="1:11" ht="91.5" customHeight="1" thickBot="1" x14ac:dyDescent="0.3">
      <c r="A24" s="932"/>
      <c r="B24" s="858"/>
      <c r="C24" s="453" t="s">
        <v>15</v>
      </c>
      <c r="D24" s="206"/>
      <c r="E24" s="429"/>
      <c r="F24" s="429"/>
      <c r="G24" s="207"/>
      <c r="H24" s="207"/>
      <c r="I24" s="208"/>
    </row>
    <row r="25" spans="1:11" ht="90" customHeight="1" x14ac:dyDescent="0.25">
      <c r="A25" s="928" t="s">
        <v>3</v>
      </c>
      <c r="B25" s="864">
        <f>B20+1</f>
        <v>46387</v>
      </c>
      <c r="C25" s="472" t="s">
        <v>10</v>
      </c>
      <c r="D25" s="610"/>
      <c r="E25" s="611"/>
      <c r="F25" s="611"/>
      <c r="G25" s="611"/>
      <c r="H25" s="611"/>
      <c r="I25" s="612"/>
    </row>
    <row r="26" spans="1:11" ht="90" customHeight="1" x14ac:dyDescent="0.25">
      <c r="A26" s="939"/>
      <c r="B26" s="858"/>
      <c r="C26" s="473" t="s">
        <v>11</v>
      </c>
      <c r="D26" s="495"/>
      <c r="E26" s="538"/>
      <c r="F26" s="538"/>
      <c r="G26" s="538"/>
      <c r="H26" s="538"/>
      <c r="I26" s="539"/>
    </row>
    <row r="27" spans="1:11" ht="90" customHeight="1" x14ac:dyDescent="0.25">
      <c r="A27" s="939"/>
      <c r="B27" s="858"/>
      <c r="C27" s="473" t="s">
        <v>12</v>
      </c>
      <c r="D27" s="504"/>
      <c r="E27" s="505"/>
      <c r="F27" s="613"/>
      <c r="G27" s="613"/>
      <c r="H27" s="605"/>
      <c r="I27" s="614"/>
    </row>
    <row r="28" spans="1:11" ht="90" customHeight="1" x14ac:dyDescent="0.25">
      <c r="A28" s="939"/>
      <c r="B28" s="858"/>
      <c r="C28" s="473" t="s">
        <v>13</v>
      </c>
      <c r="D28" s="615"/>
      <c r="E28" s="505"/>
      <c r="F28" s="505"/>
      <c r="G28" s="505"/>
      <c r="H28" s="605"/>
      <c r="I28" s="614"/>
    </row>
    <row r="29" spans="1:11" ht="90" customHeight="1" thickBot="1" x14ac:dyDescent="0.3">
      <c r="A29" s="940"/>
      <c r="B29" s="858"/>
      <c r="C29" s="474" t="s">
        <v>15</v>
      </c>
      <c r="D29" s="616"/>
      <c r="E29" s="617"/>
      <c r="F29" s="617"/>
      <c r="G29" s="618"/>
      <c r="H29" s="618"/>
      <c r="I29" s="619"/>
    </row>
    <row r="30" spans="1:11" ht="90" customHeight="1" x14ac:dyDescent="0.25">
      <c r="A30" s="936" t="s">
        <v>4</v>
      </c>
      <c r="B30" s="881">
        <f>B25+1</f>
        <v>46388</v>
      </c>
      <c r="C30" s="530" t="s">
        <v>10</v>
      </c>
      <c r="D30" s="533"/>
      <c r="E30" s="493"/>
      <c r="F30" s="493"/>
      <c r="G30" s="534"/>
      <c r="H30" s="502"/>
      <c r="I30" s="535"/>
    </row>
    <row r="31" spans="1:11" ht="90" customHeight="1" x14ac:dyDescent="0.25">
      <c r="A31" s="937"/>
      <c r="B31" s="882"/>
      <c r="C31" s="458" t="s">
        <v>11</v>
      </c>
      <c r="D31" s="620"/>
      <c r="E31" s="366"/>
      <c r="F31" s="366"/>
      <c r="G31" s="536"/>
      <c r="H31" s="497"/>
      <c r="I31" s="537"/>
    </row>
    <row r="32" spans="1:11" ht="90" customHeight="1" x14ac:dyDescent="0.25">
      <c r="A32" s="937"/>
      <c r="B32" s="882"/>
      <c r="C32" s="458" t="s">
        <v>12</v>
      </c>
      <c r="D32" s="495"/>
      <c r="E32" s="538"/>
      <c r="F32" s="538"/>
      <c r="G32" s="538"/>
      <c r="H32" s="366"/>
      <c r="I32" s="539"/>
    </row>
    <row r="33" spans="1:9" ht="90" customHeight="1" x14ac:dyDescent="0.25">
      <c r="A33" s="937"/>
      <c r="B33" s="882"/>
      <c r="C33" s="458" t="s">
        <v>13</v>
      </c>
      <c r="D33" s="495"/>
      <c r="E33" s="538"/>
      <c r="F33" s="538"/>
      <c r="G33" s="538"/>
      <c r="H33" s="494"/>
      <c r="I33" s="539"/>
    </row>
    <row r="34" spans="1:9" ht="90" customHeight="1" thickBot="1" x14ac:dyDescent="0.3">
      <c r="A34" s="938"/>
      <c r="B34" s="882"/>
      <c r="C34" s="531" t="s">
        <v>15</v>
      </c>
      <c r="D34" s="540"/>
      <c r="E34" s="541"/>
      <c r="F34" s="541"/>
      <c r="G34" s="541"/>
      <c r="H34" s="541"/>
      <c r="I34" s="542"/>
    </row>
    <row r="35" spans="1:9" ht="26.25" x14ac:dyDescent="0.25">
      <c r="A35" s="935" t="s">
        <v>47</v>
      </c>
      <c r="B35" s="881">
        <f>B30+1</f>
        <v>46389</v>
      </c>
      <c r="C35" s="203" t="s">
        <v>10</v>
      </c>
      <c r="D35" s="621"/>
      <c r="E35" s="622"/>
      <c r="F35" s="622"/>
      <c r="G35" s="622"/>
      <c r="H35" s="622"/>
      <c r="I35" s="623"/>
    </row>
    <row r="36" spans="1:9" ht="26.25" x14ac:dyDescent="0.25">
      <c r="A36" s="882"/>
      <c r="B36" s="882"/>
      <c r="C36" s="201" t="s">
        <v>11</v>
      </c>
      <c r="D36" s="624"/>
      <c r="E36" s="625"/>
      <c r="F36" s="625"/>
      <c r="G36" s="625"/>
      <c r="H36" s="625"/>
      <c r="I36" s="626"/>
    </row>
    <row r="37" spans="1:9" ht="26.25" x14ac:dyDescent="0.25">
      <c r="A37" s="882"/>
      <c r="B37" s="882"/>
      <c r="C37" s="201" t="s">
        <v>12</v>
      </c>
      <c r="D37" s="624"/>
      <c r="E37" s="625"/>
      <c r="F37" s="625"/>
      <c r="G37" s="625"/>
      <c r="H37" s="625"/>
      <c r="I37" s="627"/>
    </row>
    <row r="38" spans="1:9" ht="26.25" x14ac:dyDescent="0.25">
      <c r="A38" s="882"/>
      <c r="B38" s="882"/>
      <c r="C38" s="201" t="s">
        <v>13</v>
      </c>
      <c r="D38" s="624"/>
      <c r="E38" s="625"/>
      <c r="F38" s="625"/>
      <c r="G38" s="625"/>
      <c r="H38" s="625"/>
      <c r="I38" s="626"/>
    </row>
    <row r="39" spans="1:9" ht="27" thickBot="1" x14ac:dyDescent="0.3">
      <c r="A39" s="883"/>
      <c r="B39" s="883"/>
      <c r="C39" s="202" t="s">
        <v>15</v>
      </c>
      <c r="D39" s="628"/>
      <c r="E39" s="629"/>
      <c r="F39" s="629"/>
      <c r="G39" s="629"/>
      <c r="H39" s="629"/>
      <c r="I39" s="630"/>
    </row>
    <row r="40" spans="1:9" ht="28.5" customHeight="1" x14ac:dyDescent="0.3">
      <c r="A40" s="2"/>
      <c r="B40" s="2"/>
      <c r="C40" s="44"/>
      <c r="D40" s="170" t="s">
        <v>86</v>
      </c>
      <c r="E40" s="44"/>
      <c r="F40" s="44"/>
      <c r="G40" s="44"/>
      <c r="H40" s="44"/>
      <c r="I40" s="44"/>
    </row>
    <row r="41" spans="1:9" s="19" customFormat="1" ht="26.25" x14ac:dyDescent="0.4">
      <c r="A41" s="18"/>
      <c r="B41" s="631">
        <v>5</v>
      </c>
      <c r="C41" s="413" t="str">
        <f>'01.09'!C39</f>
        <v>*Л. Речевое общение в профессиональной деятельности*</v>
      </c>
      <c r="D41" s="107">
        <f>'14.12'!D40+COUNTIF(D$9:D$39,$C41)</f>
        <v>5</v>
      </c>
      <c r="E41" s="107">
        <f>'14.12'!E40+COUNTIF(E$9:E$39,$C41)</f>
        <v>5</v>
      </c>
      <c r="F41" s="107">
        <f>'14.12'!F40+COUNTIF(F$9:F$39,$C41)</f>
        <v>5</v>
      </c>
      <c r="G41" s="107">
        <f>'14.12'!G40+COUNTIF(G$9:G$39,$C41)</f>
        <v>5</v>
      </c>
      <c r="H41" s="107">
        <f>'14.12'!H40+COUNTIF(H$9:H$39,$C41)</f>
        <v>5</v>
      </c>
      <c r="I41" s="107">
        <f>'14.12'!I40+COUNTIF(I$9:I$39,$C41)</f>
        <v>5</v>
      </c>
    </row>
    <row r="42" spans="1:9" s="19" customFormat="1" ht="26.25" x14ac:dyDescent="0.4">
      <c r="A42" s="18"/>
      <c r="B42" s="631">
        <v>11</v>
      </c>
      <c r="C42" s="413" t="str">
        <f>'01.09'!C40</f>
        <v>*Пр. Речевое общение в профессиональной деятельности*</v>
      </c>
      <c r="D42" s="107">
        <f>'14.12'!D41+COUNTIF(D$9:D$39,$C42)</f>
        <v>4</v>
      </c>
      <c r="E42" s="107">
        <f>'14.12'!E41+COUNTIF(E$9:E$39,$C42)</f>
        <v>4</v>
      </c>
      <c r="F42" s="107">
        <f>'14.12'!F41+COUNTIF(F$9:F$39,$C42)</f>
        <v>4</v>
      </c>
      <c r="G42" s="107">
        <f>'14.12'!G41+COUNTIF(G$9:G$39,$C42)</f>
        <v>4</v>
      </c>
      <c r="H42" s="107">
        <f>'14.12'!H41+COUNTIF(H$9:H$39,$C42)</f>
        <v>4</v>
      </c>
      <c r="I42" s="107">
        <f>'14.12'!I41+COUNTIF(I$9:I$39,$C42)</f>
        <v>4</v>
      </c>
    </row>
    <row r="43" spans="1:9" s="19" customFormat="1" ht="26.25" x14ac:dyDescent="0.4">
      <c r="A43" s="18"/>
      <c r="B43" s="632">
        <v>1</v>
      </c>
      <c r="C43" s="413" t="str">
        <f>'01.09'!C41</f>
        <v>*Л. Элективные дисциплины по ФКиС: Силовая подготовка*</v>
      </c>
      <c r="D43" s="107">
        <f>'14.12'!D42+COUNTIF(D$9:D$39,$C43)</f>
        <v>1</v>
      </c>
      <c r="E43" s="107">
        <f>'14.12'!E42+COUNTIF(E$9:E$39,$C43)</f>
        <v>1</v>
      </c>
      <c r="F43" s="107">
        <f>'14.12'!F42+COUNTIF(F$9:F$39,$C43)</f>
        <v>1</v>
      </c>
      <c r="G43" s="107">
        <f>'14.12'!G42+COUNTIF(G$9:G$39,$C43)</f>
        <v>1</v>
      </c>
      <c r="H43" s="107">
        <f>'14.12'!H42+COUNTIF(H$9:H$39,$C43)</f>
        <v>1</v>
      </c>
      <c r="I43" s="107">
        <f>'14.12'!I42+COUNTIF(I$9:I$39,$C43)</f>
        <v>1</v>
      </c>
    </row>
    <row r="44" spans="1:9" s="19" customFormat="1" ht="26.25" x14ac:dyDescent="0.4">
      <c r="A44" s="18"/>
      <c r="B44" s="632">
        <v>9</v>
      </c>
      <c r="C44" s="413" t="str">
        <f>'01.09'!C42</f>
        <v>*Пр. Элективные дисциплины по ФКиС: Силовая подготовка*</v>
      </c>
      <c r="D44" s="107">
        <f>'14.12'!D43+COUNTIF(D$9:D$39,$C44)</f>
        <v>8</v>
      </c>
      <c r="E44" s="107">
        <f>'14.12'!E43+COUNTIF(E$9:E$39,$C44)</f>
        <v>9</v>
      </c>
      <c r="F44" s="107">
        <f>'14.12'!F43+COUNTIF(F$9:F$39,$C44)</f>
        <v>9</v>
      </c>
      <c r="G44" s="107">
        <f>'14.12'!G43+COUNTIF(G$9:G$39,$C44)</f>
        <v>9</v>
      </c>
      <c r="H44" s="107">
        <f>'14.12'!H43+COUNTIF(H$9:H$39,$C44)</f>
        <v>9</v>
      </c>
      <c r="I44" s="107">
        <f>'14.12'!I43+COUNTIF(I$9:I$39,$C44)</f>
        <v>8</v>
      </c>
    </row>
    <row r="45" spans="1:9" s="19" customFormat="1" ht="26.25" x14ac:dyDescent="0.4">
      <c r="A45" s="18"/>
      <c r="B45" s="631">
        <v>4</v>
      </c>
      <c r="C45" s="413" t="str">
        <f>'01.09'!C43</f>
        <v>*Л. Анатомия*</v>
      </c>
      <c r="D45" s="107">
        <f>'14.12'!D44+COUNTIF(D$9:D$39,$C45)</f>
        <v>4</v>
      </c>
      <c r="E45" s="107">
        <f>'14.12'!E44+COUNTIF(E$9:E$39,$C45)</f>
        <v>4</v>
      </c>
      <c r="F45" s="107">
        <f>'14.12'!F44+COUNTIF(F$9:F$39,$C45)</f>
        <v>4</v>
      </c>
      <c r="G45" s="107">
        <f>'14.12'!G44+COUNTIF(G$9:G$39,$C45)</f>
        <v>4</v>
      </c>
      <c r="H45" s="107">
        <f>'14.12'!H44+COUNTIF(H$9:H$39,$C45)</f>
        <v>4</v>
      </c>
      <c r="I45" s="107">
        <f>'14.12'!I44+COUNTIF(I$9:I$39,$C45)</f>
        <v>4</v>
      </c>
    </row>
    <row r="46" spans="1:9" s="19" customFormat="1" ht="26.25" x14ac:dyDescent="0.4">
      <c r="A46" s="18"/>
      <c r="B46" s="631">
        <v>12</v>
      </c>
      <c r="C46" s="413" t="str">
        <f>'01.09'!C44</f>
        <v>*Пр. Анатомия*</v>
      </c>
      <c r="D46" s="107">
        <f>'14.12'!D45+COUNTIF(D$9:D$39,$C46)</f>
        <v>4</v>
      </c>
      <c r="E46" s="107">
        <f>'14.12'!E45+COUNTIF(E$9:E$39,$C46)</f>
        <v>4</v>
      </c>
      <c r="F46" s="107">
        <f>'14.12'!F45+COUNTIF(F$9:F$39,$C46)</f>
        <v>4</v>
      </c>
      <c r="G46" s="107">
        <f>'14.12'!G45+COUNTIF(G$9:G$39,$C46)</f>
        <v>4</v>
      </c>
      <c r="H46" s="107">
        <f>'14.12'!H45+COUNTIF(H$9:H$39,$C46)</f>
        <v>4</v>
      </c>
      <c r="I46" s="107">
        <f>'14.12'!I45+COUNTIF(I$9:I$39,$C46)</f>
        <v>4</v>
      </c>
    </row>
    <row r="47" spans="1:9" s="19" customFormat="1" ht="26.25" x14ac:dyDescent="0.4">
      <c r="A47" s="18"/>
      <c r="B47" s="631">
        <v>5</v>
      </c>
      <c r="C47" s="413" t="str">
        <f>'01.09'!C45</f>
        <v>*Л. Теория и методика*</v>
      </c>
      <c r="D47" s="107">
        <f>'14.12'!D46+COUNTIF(D$9:D$39,$C47)</f>
        <v>5</v>
      </c>
      <c r="E47" s="107">
        <f>'14.12'!E46+COUNTIF(E$9:E$39,$C47)</f>
        <v>4</v>
      </c>
      <c r="F47" s="107">
        <f>'14.12'!F46+COUNTIF(F$9:F$39,$C47)</f>
        <v>4</v>
      </c>
      <c r="G47" s="107">
        <f>'14.12'!G46+COUNTIF(G$9:G$39,$C47)</f>
        <v>4</v>
      </c>
      <c r="H47" s="107">
        <f>'14.12'!H46+COUNTIF(H$9:H$39,$C47)</f>
        <v>5</v>
      </c>
      <c r="I47" s="107">
        <f>'14.12'!I46+COUNTIF(I$9:I$39,$C47)</f>
        <v>3</v>
      </c>
    </row>
    <row r="48" spans="1:9" s="19" customFormat="1" ht="26.25" x14ac:dyDescent="0.4">
      <c r="A48" s="18"/>
      <c r="B48" s="631">
        <v>45</v>
      </c>
      <c r="C48" s="413" t="str">
        <f>'01.09'!C46</f>
        <v>*Пр. Теория и методика*</v>
      </c>
      <c r="D48" s="107">
        <f>'14.12'!D47+COUNTIF(D$9:D$39,$C48)</f>
        <v>24</v>
      </c>
      <c r="E48" s="107">
        <f>'14.12'!E47+COUNTIF(E$9:E$39,$C48)</f>
        <v>23</v>
      </c>
      <c r="F48" s="107">
        <f>'14.12'!F47+COUNTIF(F$9:F$39,$C48)</f>
        <v>23</v>
      </c>
      <c r="G48" s="107">
        <f>'14.12'!G47+COUNTIF(G$9:G$39,$C48)</f>
        <v>23</v>
      </c>
      <c r="H48" s="107">
        <f>'14.12'!H47+COUNTIF(H$9:H$39,$C48)</f>
        <v>26</v>
      </c>
      <c r="I48" s="107">
        <f>'14.12'!I47+COUNTIF(I$9:I$39,$C48)</f>
        <v>20</v>
      </c>
    </row>
    <row r="49" spans="1:9" s="19" customFormat="1" ht="26.25" x14ac:dyDescent="0.4">
      <c r="A49" s="18"/>
      <c r="B49" s="631">
        <v>5</v>
      </c>
      <c r="C49" s="413" t="str">
        <f>'01.09'!C47</f>
        <v>*Л. Физическая культура и спорт*</v>
      </c>
      <c r="D49" s="107">
        <f>'14.12'!D48+COUNTIF(D$9:D$39,$C49)</f>
        <v>5</v>
      </c>
      <c r="E49" s="107">
        <f>'14.12'!E48+COUNTIF(E$9:E$39,$C49)</f>
        <v>5</v>
      </c>
      <c r="F49" s="107">
        <f>'14.12'!F48+COUNTIF(F$9:F$39,$C49)</f>
        <v>5</v>
      </c>
      <c r="G49" s="107">
        <f>'14.12'!G48+COUNTIF(G$9:G$39,$C49)</f>
        <v>5</v>
      </c>
      <c r="H49" s="107">
        <f>'14.12'!H48+COUNTIF(H$9:H$39,$C49)</f>
        <v>5</v>
      </c>
      <c r="I49" s="107">
        <f>'14.12'!I48+COUNTIF(I$9:I$39,$C49)</f>
        <v>5</v>
      </c>
    </row>
    <row r="50" spans="1:9" s="19" customFormat="1" ht="26.25" x14ac:dyDescent="0.4">
      <c r="A50" s="18"/>
      <c r="B50" s="631">
        <v>5</v>
      </c>
      <c r="C50" s="413" t="str">
        <f>'01.09'!C48</f>
        <v>*Пр. Физическая культура и спорт*</v>
      </c>
      <c r="D50" s="107">
        <f>'14.12'!D49+COUNTIF(D$9:D$39,$C50)</f>
        <v>5</v>
      </c>
      <c r="E50" s="107">
        <f>'14.12'!E49+COUNTIF(E$9:E$39,$C50)</f>
        <v>5</v>
      </c>
      <c r="F50" s="107">
        <f>'14.12'!F49+COUNTIF(F$9:F$39,$C50)</f>
        <v>5</v>
      </c>
      <c r="G50" s="107">
        <f>'14.12'!G49+COUNTIF(G$9:G$39,$C50)</f>
        <v>5</v>
      </c>
      <c r="H50" s="107">
        <f>'14.12'!H49+COUNTIF(H$9:H$39,$C50)</f>
        <v>5</v>
      </c>
      <c r="I50" s="107">
        <f>'14.12'!I49+COUNTIF(I$9:I$39,$C50)</f>
        <v>5</v>
      </c>
    </row>
    <row r="51" spans="1:9" s="19" customFormat="1" ht="26.25" x14ac:dyDescent="0.4">
      <c r="A51" s="18"/>
      <c r="B51" s="631">
        <v>2</v>
      </c>
      <c r="C51" s="413" t="str">
        <f>'01.09'!C49</f>
        <v>*Л. Информационные технологии*</v>
      </c>
      <c r="D51" s="107">
        <f>'14.12'!D50+COUNTIF(D$9:D$39,$C51)</f>
        <v>2</v>
      </c>
      <c r="E51" s="107">
        <f>'14.12'!E50+COUNTIF(E$9:E$39,$C51)</f>
        <v>2</v>
      </c>
      <c r="F51" s="107">
        <f>'14.12'!F50+COUNTIF(F$9:F$39,$C51)</f>
        <v>2</v>
      </c>
      <c r="G51" s="107">
        <f>'14.12'!G50+COUNTIF(G$9:G$39,$C51)</f>
        <v>2</v>
      </c>
      <c r="H51" s="107">
        <f>'14.12'!H50+COUNTIF(H$9:H$39,$C51)</f>
        <v>2</v>
      </c>
      <c r="I51" s="107">
        <f>'14.12'!I50+COUNTIF(I$9:I$39,$C51)</f>
        <v>2</v>
      </c>
    </row>
    <row r="52" spans="1:9" s="19" customFormat="1" ht="26.25" x14ac:dyDescent="0.4">
      <c r="A52" s="18"/>
      <c r="B52" s="631">
        <v>14</v>
      </c>
      <c r="C52" s="413" t="str">
        <f>'01.09'!C50</f>
        <v>*Пр. Информационные технологии*</v>
      </c>
      <c r="D52" s="107">
        <f>'14.12'!D51+COUNTIF(D$9:D$39,$C52)</f>
        <v>8</v>
      </c>
      <c r="E52" s="107">
        <f>'14.12'!E51+COUNTIF(E$9:E$39,$C52)</f>
        <v>8</v>
      </c>
      <c r="F52" s="107">
        <f>'14.12'!F51+COUNTIF(F$9:F$39,$C52)</f>
        <v>8</v>
      </c>
      <c r="G52" s="107">
        <f>'14.12'!G51+COUNTIF(G$9:G$39,$C52)</f>
        <v>8</v>
      </c>
      <c r="H52" s="107">
        <f>'14.12'!H51+COUNTIF(H$9:H$39,$C52)</f>
        <v>8</v>
      </c>
      <c r="I52" s="107">
        <f>'14.12'!I51+COUNTIF(I$9:I$39,$C52)</f>
        <v>8</v>
      </c>
    </row>
    <row r="53" spans="1:9" s="19" customFormat="1" ht="26.25" x14ac:dyDescent="0.4">
      <c r="A53" s="18"/>
      <c r="B53" s="631">
        <v>3</v>
      </c>
      <c r="C53" s="413" t="str">
        <f>'01.09'!C51</f>
        <v>*Л. Гимнастика*</v>
      </c>
      <c r="D53" s="107">
        <f>'14.12'!D52+COUNTIF(D$9:D$39,$C53)</f>
        <v>3</v>
      </c>
      <c r="E53" s="107">
        <f>'14.12'!E52+COUNTIF(E$9:E$39,$C53)</f>
        <v>3</v>
      </c>
      <c r="F53" s="107">
        <f>'14.12'!F52+COUNTIF(F$9:F$39,$C53)</f>
        <v>3</v>
      </c>
      <c r="G53" s="107">
        <f>'14.12'!G52+COUNTIF(G$9:G$39,$C53)</f>
        <v>3</v>
      </c>
      <c r="H53" s="107">
        <f>'14.12'!H52+COUNTIF(H$9:H$39,$C53)</f>
        <v>3</v>
      </c>
      <c r="I53" s="107">
        <f>'14.12'!I52+COUNTIF(I$9:I$39,$C53)</f>
        <v>3</v>
      </c>
    </row>
    <row r="54" spans="1:9" s="19" customFormat="1" ht="26.25" x14ac:dyDescent="0.4">
      <c r="A54" s="18"/>
      <c r="B54" s="633">
        <v>20</v>
      </c>
      <c r="C54" s="413" t="str">
        <f>'01.09'!C52</f>
        <v>*Пр. Гимнастика*</v>
      </c>
      <c r="D54" s="107">
        <f>'14.12'!D53+COUNTIF(D$9:D$39,$C54)</f>
        <v>8</v>
      </c>
      <c r="E54" s="107">
        <f>'14.12'!E53+COUNTIF(E$9:E$39,$C54)</f>
        <v>13</v>
      </c>
      <c r="F54" s="107">
        <f>'14.12'!F53+COUNTIF(F$9:F$39,$C54)</f>
        <v>13</v>
      </c>
      <c r="G54" s="107">
        <f>'14.12'!G53+COUNTIF(G$9:G$39,$C54)</f>
        <v>12</v>
      </c>
      <c r="H54" s="107">
        <f>'14.12'!H53+COUNTIF(H$9:H$39,$C54)</f>
        <v>13</v>
      </c>
      <c r="I54" s="107">
        <f>'14.12'!I53+COUNTIF(I$9:I$39,$C54)</f>
        <v>12</v>
      </c>
    </row>
    <row r="55" spans="1:9" s="19" customFormat="1" ht="26.25" x14ac:dyDescent="0.4">
      <c r="A55" s="18"/>
      <c r="B55" s="631">
        <v>1</v>
      </c>
      <c r="C55" s="413" t="str">
        <f>'01.09'!C53</f>
        <v>*Л. Волейбол*</v>
      </c>
      <c r="D55" s="107">
        <f>'14.12'!D54+COUNTIF(D$9:D$39,$C55)</f>
        <v>1</v>
      </c>
      <c r="E55" s="107">
        <f>'14.12'!E54+COUNTIF(E$9:E$39,$C55)</f>
        <v>1</v>
      </c>
      <c r="F55" s="107">
        <f>'14.12'!F54+COUNTIF(F$9:F$39,$C55)</f>
        <v>1</v>
      </c>
      <c r="G55" s="107">
        <f>'14.12'!G54+COUNTIF(G$9:G$39,$C55)</f>
        <v>1</v>
      </c>
      <c r="H55" s="107">
        <f>'14.12'!H54+COUNTIF(H$9:H$39,$C55)</f>
        <v>1</v>
      </c>
      <c r="I55" s="107">
        <f>'14.12'!I54+COUNTIF(I$9:I$39,$C55)</f>
        <v>1</v>
      </c>
    </row>
    <row r="56" spans="1:9" s="19" customFormat="1" ht="26.25" x14ac:dyDescent="0.4">
      <c r="A56" s="18"/>
      <c r="B56" s="631">
        <v>23</v>
      </c>
      <c r="C56" s="413" t="str">
        <f>'01.09'!C54</f>
        <v>*Пр. Волейбол*</v>
      </c>
      <c r="D56" s="107">
        <f>'14.12'!D55+COUNTIF(D$9:D$39,$C56)</f>
        <v>16</v>
      </c>
      <c r="E56" s="107">
        <f>'14.12'!E55+COUNTIF(E$9:E$39,$C56)</f>
        <v>16</v>
      </c>
      <c r="F56" s="107">
        <f>'14.12'!F55+COUNTIF(F$9:F$39,$C56)</f>
        <v>8</v>
      </c>
      <c r="G56" s="107">
        <f>'14.12'!G55+COUNTIF(G$9:G$39,$C56)</f>
        <v>8</v>
      </c>
      <c r="H56" s="107">
        <f>'14.12'!H55+COUNTIF(H$9:H$39,$C56)</f>
        <v>16</v>
      </c>
      <c r="I56" s="107">
        <f>'14.12'!I55+COUNTIF(I$9:I$39,$C56)</f>
        <v>16</v>
      </c>
    </row>
    <row r="57" spans="1:9" s="19" customFormat="1" ht="26.25" x14ac:dyDescent="0.4">
      <c r="A57" s="18"/>
      <c r="B57" s="631">
        <v>1</v>
      </c>
      <c r="C57" s="413" t="str">
        <f>'01.09'!C55</f>
        <v>*Л. Лыжные гонки*</v>
      </c>
      <c r="D57" s="107">
        <f>'14.12'!D56+COUNTIF(D$9:D$39,$C57)</f>
        <v>0</v>
      </c>
      <c r="E57" s="217">
        <f>'14.12'!E56+COUNTIF(E$9:E$39,$C57)</f>
        <v>0</v>
      </c>
      <c r="F57" s="107">
        <f>'14.12'!F56+COUNTIF(F$9:F$39,$C57)</f>
        <v>0</v>
      </c>
      <c r="G57" s="217">
        <f>'14.12'!G56+COUNTIF(G$9:G$39,$C57)</f>
        <v>0</v>
      </c>
      <c r="H57" s="217">
        <f>'14.12'!H56+COUNTIF(H$9:H$39,$C57)</f>
        <v>0</v>
      </c>
      <c r="I57" s="217">
        <f>'14.12'!I56+COUNTIF(I$9:I$39,$C57)</f>
        <v>0</v>
      </c>
    </row>
    <row r="58" spans="1:9" s="19" customFormat="1" ht="26.25" x14ac:dyDescent="0.4">
      <c r="A58" s="18"/>
      <c r="B58" s="631">
        <v>31</v>
      </c>
      <c r="C58" s="413" t="str">
        <f>'01.09'!C56</f>
        <v>*Пр. Лыжные гонки*</v>
      </c>
      <c r="D58" s="107">
        <f>'14.12'!D57+COUNTIF(D$9:D$39,$C58)</f>
        <v>0</v>
      </c>
      <c r="E58" s="107">
        <f>'14.12'!E57+COUNTIF(E$9:E$39,$C58)</f>
        <v>0</v>
      </c>
      <c r="F58" s="107">
        <f>'14.12'!F57+COUNTIF(F$9:F$39,$C58)</f>
        <v>0</v>
      </c>
      <c r="G58" s="107">
        <f>'14.12'!G57+COUNTIF(G$9:G$39,$C58)</f>
        <v>0</v>
      </c>
      <c r="H58" s="107">
        <f>'14.12'!H57+COUNTIF(H$9:H$39,$C58)</f>
        <v>0</v>
      </c>
      <c r="I58" s="107">
        <f>'14.12'!I57+COUNTIF(I$9:I$39,$C58)</f>
        <v>0</v>
      </c>
    </row>
    <row r="59" spans="1:9" s="19" customFormat="1" ht="26.25" x14ac:dyDescent="0.4">
      <c r="A59" s="18"/>
      <c r="B59" s="631">
        <v>1</v>
      </c>
      <c r="C59" s="413" t="str">
        <f>'01.09'!C57</f>
        <v>*Л. Использование электронной*</v>
      </c>
      <c r="D59" s="107">
        <f>'14.12'!D58+COUNTIF(D$9:D$39,$C59)</f>
        <v>1</v>
      </c>
      <c r="E59" s="662">
        <f>'14.12'!E58+COUNTIF(E$9:E$39,$C59)</f>
        <v>0</v>
      </c>
      <c r="F59" s="662">
        <f>'14.12'!F58+COUNTIF(F$9:F$39,$C59)</f>
        <v>0</v>
      </c>
      <c r="G59" s="662">
        <f>'14.12'!G58+COUNTIF(G$9:G$39,$C59)</f>
        <v>0</v>
      </c>
      <c r="H59" s="662">
        <f>'14.12'!H58+COUNTIF(H$9:H$39,$C59)</f>
        <v>0</v>
      </c>
      <c r="I59" s="662">
        <f>'14.12'!I58+COUNTIF(I$9:I$39,$C59)</f>
        <v>0</v>
      </c>
    </row>
    <row r="60" spans="1:9" s="19" customFormat="1" ht="26.25" x14ac:dyDescent="0.4">
      <c r="A60" s="18"/>
      <c r="B60" s="631">
        <v>2</v>
      </c>
      <c r="C60" s="745" t="str">
        <f>'01.09'!C58</f>
        <v>*Пр. Использование электронной*</v>
      </c>
      <c r="D60" s="107">
        <f>'14.12'!D59+COUNTIF(D$9:D$39,$C60)</f>
        <v>2</v>
      </c>
      <c r="E60" s="107">
        <f>'14.12'!E59+COUNTIF(E$9:E$39,$C60)</f>
        <v>2</v>
      </c>
      <c r="F60" s="107">
        <f>'14.12'!F59+COUNTIF(F$9:F$39,$C60)</f>
        <v>2</v>
      </c>
      <c r="G60" s="107">
        <f>'14.12'!G59+COUNTIF(G$9:G$39,$C60)</f>
        <v>2</v>
      </c>
      <c r="H60" s="107">
        <f>'14.12'!H59+COUNTIF(H$9:H$39,$C60)</f>
        <v>2</v>
      </c>
      <c r="I60" s="107">
        <f>'14.12'!I59+COUNTIF(I$9:I$39,$C60)</f>
        <v>2</v>
      </c>
    </row>
    <row r="61" spans="1:9" s="19" customFormat="1" ht="26.25" x14ac:dyDescent="0.4">
      <c r="A61" s="18"/>
      <c r="B61" s="631">
        <v>16</v>
      </c>
      <c r="C61" s="104" t="str">
        <f>'01.09'!C59</f>
        <v>*Пр. Иностранный язык*</v>
      </c>
      <c r="D61" s="107">
        <f>'14.12'!D60+COUNTIF(D$9:D$39,$C61)</f>
        <v>8</v>
      </c>
      <c r="E61" s="107">
        <f>'14.12'!E60+COUNTIF(E$9:E$39,$C61)</f>
        <v>8</v>
      </c>
      <c r="F61" s="107">
        <f>'14.12'!F60+COUNTIF(F$9:F$39,$C61)</f>
        <v>8</v>
      </c>
      <c r="G61" s="107">
        <f>'14.12'!G60+COUNTIF(G$9:G$39,$C61)</f>
        <v>8</v>
      </c>
      <c r="H61" s="107">
        <f>'14.12'!H60+COUNTIF(H$9:H$39,$C61)</f>
        <v>8</v>
      </c>
      <c r="I61" s="107">
        <f>'14.12'!I60+COUNTIF(I$9:I$39,$C61)</f>
        <v>8</v>
      </c>
    </row>
    <row r="62" spans="1:9" s="19" customFormat="1" ht="26.25" x14ac:dyDescent="0.4">
      <c r="A62" s="18"/>
      <c r="B62" s="145">
        <v>11</v>
      </c>
      <c r="C62" s="104" t="str">
        <f>'01.09'!C60</f>
        <v>*С1-04А-26*</v>
      </c>
      <c r="D62" s="662">
        <f>'14.12'!D61+COUNTIF(D$9:D$39,$C62)</f>
        <v>0</v>
      </c>
      <c r="E62" s="662">
        <f>'14.12'!E61+COUNTIF(E$9:E$39,$C62)</f>
        <v>0</v>
      </c>
      <c r="F62" s="662">
        <f>'14.12'!F61+COUNTIF(F$9:F$39,$C62)</f>
        <v>0</v>
      </c>
      <c r="G62" s="107">
        <f>'14.12'!G61+COUNTIF(G$9:G$39,$C62)</f>
        <v>17</v>
      </c>
      <c r="H62" s="662">
        <f>'14.12'!H61+COUNTIF(H$9:H$39,$C62)</f>
        <v>0</v>
      </c>
      <c r="I62" s="662">
        <f>'14.12'!I61+COUNTIF(I$9:I$39,$C62)</f>
        <v>0</v>
      </c>
    </row>
    <row r="63" spans="1:9" ht="26.25" x14ac:dyDescent="0.4">
      <c r="A63" s="2"/>
      <c r="B63" s="631">
        <v>11</v>
      </c>
      <c r="C63" s="104" t="str">
        <f>'01.09'!C61</f>
        <v>*С1-04Б-26*</v>
      </c>
      <c r="D63" s="662">
        <f>'14.12'!D62+COUNTIF(D$9:D$39,$C63)</f>
        <v>0</v>
      </c>
      <c r="E63" s="662">
        <f>'14.12'!E62+COUNTIF(E$9:E$39,$C63)</f>
        <v>0</v>
      </c>
      <c r="F63" s="662">
        <f>'14.12'!F62+COUNTIF(F$9:F$39,$C63)</f>
        <v>0</v>
      </c>
      <c r="G63" s="107">
        <f>'14.12'!G62+COUNTIF(G$9:G$39,$C63)</f>
        <v>17</v>
      </c>
      <c r="H63" s="662">
        <f>'14.12'!H62+COUNTIF(H$9:H$39,$C63)</f>
        <v>0</v>
      </c>
      <c r="I63" s="662">
        <f>'14.12'!I62+COUNTIF(I$9:I$39,$C63)</f>
        <v>0</v>
      </c>
    </row>
    <row r="64" spans="1:9" ht="26.25" x14ac:dyDescent="0.4">
      <c r="A64" s="2"/>
      <c r="B64" s="631">
        <v>11</v>
      </c>
      <c r="C64" s="104" t="str">
        <f>'01.09'!C62</f>
        <v>*С1-05А-26*</v>
      </c>
      <c r="D64" s="662">
        <f>'14.12'!D63+COUNTIF(D$9:D$39,$C64)</f>
        <v>0</v>
      </c>
      <c r="E64" s="662">
        <f>'14.12'!E63+COUNTIF(E$9:E$39,$C64)</f>
        <v>0</v>
      </c>
      <c r="F64" s="662">
        <f>'14.12'!F63+COUNTIF(F$9:F$39,$C64)</f>
        <v>0</v>
      </c>
      <c r="G64" s="662">
        <f>'14.12'!G63+COUNTIF(G$9:G$39,$C64)</f>
        <v>0</v>
      </c>
      <c r="H64" s="107">
        <f>'14.12'!H63+COUNTIF(H$9:H$39,$C64)</f>
        <v>8</v>
      </c>
      <c r="I64" s="662">
        <f>'14.12'!I63+COUNTIF(I$9:I$39,$C64)</f>
        <v>0</v>
      </c>
    </row>
    <row r="65" spans="1:9" ht="26.25" x14ac:dyDescent="0.4">
      <c r="A65" s="2"/>
      <c r="B65" s="631">
        <v>11</v>
      </c>
      <c r="C65" s="104" t="str">
        <f>'01.09'!C63</f>
        <v>*С1-05Б-26*</v>
      </c>
      <c r="D65" s="662">
        <f>'14.12'!D64+COUNTIF(D$9:D$39,$C65)</f>
        <v>0</v>
      </c>
      <c r="E65" s="662">
        <f>'14.12'!E64+COUNTIF(E$9:E$39,$C65)</f>
        <v>0</v>
      </c>
      <c r="F65" s="662">
        <f>'14.12'!F64+COUNTIF(F$9:F$39,$C65)</f>
        <v>0</v>
      </c>
      <c r="G65" s="662">
        <f>'14.12'!G64+COUNTIF(G$9:G$39,$C65)</f>
        <v>0</v>
      </c>
      <c r="H65" s="107">
        <f>'14.12'!H64+COUNTIF(H$9:H$39,$C65)</f>
        <v>8</v>
      </c>
      <c r="I65" s="662">
        <f>'14.12'!I64+COUNTIF(I$9:I$39,$C65)</f>
        <v>0</v>
      </c>
    </row>
    <row r="66" spans="1:9" ht="26.25" x14ac:dyDescent="0.4">
      <c r="A66" s="2"/>
      <c r="B66" s="2"/>
      <c r="C66" s="104">
        <f>'01.09'!C64</f>
        <v>0</v>
      </c>
      <c r="D66" s="107">
        <f>'14.12'!D65+COUNTIF(D$9:D$39,$C66)</f>
        <v>0</v>
      </c>
      <c r="E66" s="107">
        <f>'14.12'!E65+COUNTIF(E$9:E$39,$C66)</f>
        <v>0</v>
      </c>
      <c r="F66" s="107">
        <f>'14.12'!F65+COUNTIF(F$9:F$39,$C66)</f>
        <v>0</v>
      </c>
      <c r="G66" s="107">
        <f>'14.12'!G65+COUNTIF(G$9:G$39,$C66)</f>
        <v>0</v>
      </c>
      <c r="H66" s="107">
        <f>'14.12'!H65+COUNTIF(H$9:H$39,$C66)</f>
        <v>0</v>
      </c>
      <c r="I66" s="107">
        <f>'14.12'!I65+COUNTIF(I$9:I$39,$C66)</f>
        <v>0</v>
      </c>
    </row>
    <row r="67" spans="1:9" ht="26.25" x14ac:dyDescent="0.4">
      <c r="A67" s="2"/>
      <c r="B67" s="2"/>
      <c r="C67" s="104">
        <f>'01.09'!C65</f>
        <v>0</v>
      </c>
      <c r="D67" s="107">
        <f>'14.12'!D66+COUNTIF(D$9:D$39,$C67)</f>
        <v>0</v>
      </c>
      <c r="E67" s="107">
        <f>'14.12'!E66+COUNTIF(E$9:E$39,$C67)</f>
        <v>0</v>
      </c>
      <c r="F67" s="107">
        <f>'14.12'!F66+COUNTIF(F$9:F$39,$C67)</f>
        <v>0</v>
      </c>
      <c r="G67" s="107">
        <f>'14.12'!G66+COUNTIF(G$9:G$39,$C67)</f>
        <v>0</v>
      </c>
      <c r="H67" s="107">
        <f>'14.12'!H66+COUNTIF(H$9:H$39,$C67)</f>
        <v>0</v>
      </c>
      <c r="I67" s="107">
        <f>'14.12'!I66+COUNTIF(I$9:I$39,$C67)</f>
        <v>0</v>
      </c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</sheetData>
  <mergeCells count="20">
    <mergeCell ref="A5:I5"/>
    <mergeCell ref="B1:I1"/>
    <mergeCell ref="B2:I2"/>
    <mergeCell ref="B3:I3"/>
    <mergeCell ref="B4:I4"/>
    <mergeCell ref="A35:A39"/>
    <mergeCell ref="B35:B39"/>
    <mergeCell ref="A7:A8"/>
    <mergeCell ref="C7:C8"/>
    <mergeCell ref="A30:A34"/>
    <mergeCell ref="B30:B34"/>
    <mergeCell ref="A9:A13"/>
    <mergeCell ref="B9:B13"/>
    <mergeCell ref="A14:A19"/>
    <mergeCell ref="B14:B19"/>
    <mergeCell ref="A20:A24"/>
    <mergeCell ref="B20:B24"/>
    <mergeCell ref="A25:A29"/>
    <mergeCell ref="B25:B29"/>
    <mergeCell ref="B7:B8"/>
  </mergeCells>
  <phoneticPr fontId="3" type="noConversion"/>
  <conditionalFormatting sqref="D41:I41 F42:F58">
    <cfRule type="cellIs" dxfId="50" priority="28" operator="lessThan">
      <formula>5</formula>
    </cfRule>
  </conditionalFormatting>
  <conditionalFormatting sqref="D42:E42 G42:I42">
    <cfRule type="cellIs" dxfId="49" priority="27" operator="lessThan">
      <formula>11</formula>
    </cfRule>
  </conditionalFormatting>
  <conditionalFormatting sqref="D43:E43 G43:I43">
    <cfRule type="cellIs" dxfId="48" priority="26" operator="lessThan">
      <formula>1</formula>
    </cfRule>
  </conditionalFormatting>
  <conditionalFormatting sqref="D44:E44 G44:I44">
    <cfRule type="cellIs" dxfId="47" priority="25" operator="lessThan">
      <formula>9</formula>
    </cfRule>
  </conditionalFormatting>
  <conditionalFormatting sqref="D45:E45 G45:I45">
    <cfRule type="cellIs" dxfId="46" priority="24" operator="lessThan">
      <formula>4</formula>
    </cfRule>
  </conditionalFormatting>
  <conditionalFormatting sqref="D46:E46 G46:I46">
    <cfRule type="cellIs" dxfId="45" priority="23" operator="lessThan">
      <formula>12</formula>
    </cfRule>
  </conditionalFormatting>
  <conditionalFormatting sqref="D47:E47 G47:I47">
    <cfRule type="cellIs" dxfId="44" priority="22" operator="lessThan">
      <formula>5</formula>
    </cfRule>
  </conditionalFormatting>
  <conditionalFormatting sqref="D48:E48 G48:I48">
    <cfRule type="cellIs" dxfId="43" priority="21" operator="lessThan">
      <formula>45</formula>
    </cfRule>
  </conditionalFormatting>
  <conditionalFormatting sqref="D49:E49 G49:I49">
    <cfRule type="cellIs" dxfId="42" priority="20" operator="lessThan">
      <formula>5</formula>
    </cfRule>
  </conditionalFormatting>
  <conditionalFormatting sqref="D50:E50 G50:I50">
    <cfRule type="cellIs" dxfId="41" priority="19" operator="lessThan">
      <formula>5</formula>
    </cfRule>
  </conditionalFormatting>
  <conditionalFormatting sqref="D51:E51 G51:I51">
    <cfRule type="cellIs" dxfId="40" priority="18" operator="lessThan">
      <formula>2</formula>
    </cfRule>
  </conditionalFormatting>
  <conditionalFormatting sqref="D52:E52 G52:I52">
    <cfRule type="cellIs" dxfId="39" priority="17" operator="lessThan">
      <formula>14</formula>
    </cfRule>
  </conditionalFormatting>
  <conditionalFormatting sqref="D53:E53 G53:I53">
    <cfRule type="cellIs" dxfId="38" priority="16" operator="lessThan">
      <formula>3</formula>
    </cfRule>
  </conditionalFormatting>
  <conditionalFormatting sqref="D54:E54 G54:I54">
    <cfRule type="cellIs" dxfId="37" priority="15" operator="lessThan">
      <formula>20</formula>
    </cfRule>
  </conditionalFormatting>
  <conditionalFormatting sqref="D55:E55 G55:I55">
    <cfRule type="cellIs" dxfId="36" priority="14" operator="lessThan">
      <formula>1</formula>
    </cfRule>
  </conditionalFormatting>
  <conditionalFormatting sqref="D56:E56 G56:I56">
    <cfRule type="cellIs" dxfId="35" priority="13" operator="lessThan">
      <formula>23</formula>
    </cfRule>
  </conditionalFormatting>
  <conditionalFormatting sqref="D57:E57 G57:I57">
    <cfRule type="cellIs" dxfId="34" priority="12" operator="lessThan">
      <formula>1</formula>
    </cfRule>
  </conditionalFormatting>
  <conditionalFormatting sqref="D58:E58 G58:I58">
    <cfRule type="cellIs" dxfId="33" priority="11" operator="lessThan">
      <formula>31</formula>
    </cfRule>
  </conditionalFormatting>
  <conditionalFormatting sqref="D59">
    <cfRule type="cellIs" dxfId="32" priority="10" operator="lessThan">
      <formula>1</formula>
    </cfRule>
  </conditionalFormatting>
  <conditionalFormatting sqref="D60:E60 G60:I60">
    <cfRule type="cellIs" dxfId="31" priority="9" operator="lessThan">
      <formula>2</formula>
    </cfRule>
  </conditionalFormatting>
  <conditionalFormatting sqref="D61:I61">
    <cfRule type="cellIs" dxfId="30" priority="5" operator="lessThan">
      <formula>5</formula>
    </cfRule>
    <cfRule type="cellIs" dxfId="29" priority="4" operator="greaterThan">
      <formula>16</formula>
    </cfRule>
    <cfRule type="cellIs" dxfId="28" priority="3" operator="lessThan">
      <formula>5</formula>
    </cfRule>
    <cfRule type="cellIs" dxfId="27" priority="2" operator="lessThan">
      <formula>16</formula>
    </cfRule>
  </conditionalFormatting>
  <conditionalFormatting sqref="D60:I60">
    <cfRule type="cellIs" dxfId="26" priority="1" operator="lessThan">
      <formula>2</formula>
    </cfRule>
  </conditionalFormatting>
  <pageMargins left="0.19685039370078741" right="0.19685039370078741" top="0.19685039370078741" bottom="0.74803149606299213" header="0.19685039370078741" footer="0.31496062992125984"/>
  <pageSetup paperSize="9" scale="27" fitToWidth="0" fitToHeight="0" orientation="portrait" r:id="rId1"/>
  <rowBreaks count="1" manualBreakCount="1">
    <brk id="40" max="8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view="pageBreakPreview" zoomScale="40" zoomScaleNormal="40" zoomScaleSheetLayoutView="40" zoomScalePageLayoutView="40" workbookViewId="0">
      <selection activeCell="E8" sqref="E8"/>
    </sheetView>
  </sheetViews>
  <sheetFormatPr defaultRowHeight="15" x14ac:dyDescent="0.25"/>
  <cols>
    <col min="1" max="1" width="4.42578125" customWidth="1"/>
    <col min="2" max="2" width="8" customWidth="1"/>
    <col min="3" max="3" width="35" customWidth="1"/>
    <col min="4" max="8" width="63.140625" customWidth="1"/>
  </cols>
  <sheetData>
    <row r="1" spans="1:8" ht="34.5" customHeight="1" x14ac:dyDescent="0.3">
      <c r="A1" s="167"/>
      <c r="B1" s="843" t="s">
        <v>127</v>
      </c>
      <c r="C1" s="843"/>
      <c r="D1" s="843"/>
      <c r="E1" s="843"/>
      <c r="F1" s="843"/>
      <c r="G1" s="843"/>
      <c r="H1" s="843"/>
    </row>
    <row r="2" spans="1:8" ht="34.5" customHeight="1" x14ac:dyDescent="0.3">
      <c r="A2" s="168"/>
      <c r="B2" s="843" t="s">
        <v>91</v>
      </c>
      <c r="C2" s="843"/>
      <c r="D2" s="843"/>
      <c r="E2" s="843"/>
      <c r="F2" s="843"/>
      <c r="G2" s="843"/>
      <c r="H2" s="843"/>
    </row>
    <row r="3" spans="1:8" ht="32.25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</row>
    <row r="4" spans="1:8" ht="34.5" customHeight="1" x14ac:dyDescent="0.25">
      <c r="A4" s="169"/>
      <c r="B4" s="843" t="s">
        <v>112</v>
      </c>
      <c r="C4" s="843"/>
      <c r="D4" s="843"/>
      <c r="E4" s="843"/>
      <c r="F4" s="843"/>
      <c r="G4" s="843"/>
      <c r="H4" s="843"/>
    </row>
    <row r="5" spans="1:8" ht="33.75" customHeight="1" thickBot="1" x14ac:dyDescent="0.3">
      <c r="A5" s="787" t="s">
        <v>128</v>
      </c>
      <c r="B5" s="787"/>
      <c r="C5" s="787"/>
      <c r="D5" s="787"/>
      <c r="E5" s="787"/>
      <c r="F5" s="787"/>
      <c r="G5" s="787"/>
      <c r="H5" s="787"/>
    </row>
    <row r="6" spans="1:8" ht="21" hidden="1" thickBot="1" x14ac:dyDescent="0.35">
      <c r="A6" s="41"/>
      <c r="B6" s="40"/>
      <c r="C6" s="40"/>
      <c r="D6" s="40"/>
      <c r="E6" s="40"/>
      <c r="F6" s="40"/>
      <c r="G6" s="40"/>
      <c r="H6" s="40"/>
    </row>
    <row r="7" spans="1:8" ht="30.75" customHeight="1" thickBot="1" x14ac:dyDescent="0.3">
      <c r="A7" s="866" t="s">
        <v>54</v>
      </c>
      <c r="B7" s="866" t="s">
        <v>14</v>
      </c>
      <c r="C7" s="841" t="s">
        <v>55</v>
      </c>
      <c r="D7" s="230" t="s">
        <v>5</v>
      </c>
      <c r="E7" s="231" t="s">
        <v>6</v>
      </c>
      <c r="F7" s="231" t="s">
        <v>7</v>
      </c>
      <c r="G7" s="231" t="s">
        <v>8</v>
      </c>
      <c r="H7" s="232" t="s">
        <v>9</v>
      </c>
    </row>
    <row r="8" spans="1:8" ht="132" thickBot="1" x14ac:dyDescent="0.3">
      <c r="A8" s="867"/>
      <c r="B8" s="867"/>
      <c r="C8" s="842"/>
      <c r="D8" s="283" t="s">
        <v>113</v>
      </c>
      <c r="E8" s="569" t="s">
        <v>137</v>
      </c>
      <c r="F8" s="352" t="s">
        <v>134</v>
      </c>
      <c r="G8" s="352" t="s">
        <v>98</v>
      </c>
      <c r="H8" s="421" t="s">
        <v>82</v>
      </c>
    </row>
    <row r="9" spans="1:8" ht="125.25" customHeight="1" x14ac:dyDescent="0.25">
      <c r="A9" s="928" t="s">
        <v>0</v>
      </c>
      <c r="B9" s="859">
        <v>46181</v>
      </c>
      <c r="C9" s="200" t="s">
        <v>10</v>
      </c>
      <c r="D9" s="298"/>
      <c r="E9" s="282"/>
      <c r="F9" s="282"/>
      <c r="G9" s="360"/>
      <c r="H9" s="344"/>
    </row>
    <row r="10" spans="1:8" ht="102.75" customHeight="1" x14ac:dyDescent="0.25">
      <c r="A10" s="931"/>
      <c r="B10" s="858"/>
      <c r="C10" s="201" t="s">
        <v>11</v>
      </c>
      <c r="D10" s="267"/>
      <c r="E10" s="265"/>
      <c r="F10" s="361"/>
      <c r="G10" s="361"/>
      <c r="H10" s="388"/>
    </row>
    <row r="11" spans="1:8" ht="102.75" customHeight="1" x14ac:dyDescent="0.25">
      <c r="A11" s="931"/>
      <c r="B11" s="858"/>
      <c r="C11" s="201" t="s">
        <v>12</v>
      </c>
      <c r="D11" s="590"/>
      <c r="E11" s="361"/>
      <c r="F11" s="361"/>
      <c r="G11" s="432"/>
      <c r="H11" s="478"/>
    </row>
    <row r="12" spans="1:8" ht="102.75" customHeight="1" x14ac:dyDescent="0.25">
      <c r="A12" s="931"/>
      <c r="B12" s="858"/>
      <c r="C12" s="201" t="s">
        <v>13</v>
      </c>
      <c r="D12" s="392"/>
      <c r="E12" s="361"/>
      <c r="F12" s="361"/>
      <c r="G12" s="432"/>
      <c r="H12" s="270"/>
    </row>
    <row r="13" spans="1:8" ht="36.75" customHeight="1" thickBot="1" x14ac:dyDescent="0.3">
      <c r="A13" s="931"/>
      <c r="B13" s="934"/>
      <c r="C13" s="551" t="s">
        <v>15</v>
      </c>
      <c r="D13" s="586"/>
      <c r="E13" s="312"/>
      <c r="F13" s="312"/>
      <c r="G13" s="312"/>
      <c r="H13" s="335"/>
    </row>
    <row r="14" spans="1:8" ht="102.75" customHeight="1" x14ac:dyDescent="0.25">
      <c r="A14" s="941" t="s">
        <v>1</v>
      </c>
      <c r="B14" s="942">
        <f>B9+1</f>
        <v>46182</v>
      </c>
      <c r="C14" s="200" t="s">
        <v>10</v>
      </c>
      <c r="D14" s="575"/>
      <c r="E14" s="360"/>
      <c r="F14" s="360"/>
      <c r="G14" s="286"/>
      <c r="H14" s="591"/>
    </row>
    <row r="15" spans="1:8" ht="102.75" customHeight="1" x14ac:dyDescent="0.25">
      <c r="A15" s="858"/>
      <c r="B15" s="943"/>
      <c r="C15" s="201" t="s">
        <v>11</v>
      </c>
      <c r="D15" s="392"/>
      <c r="E15" s="361"/>
      <c r="F15" s="361"/>
      <c r="G15" s="265"/>
      <c r="H15" s="478"/>
    </row>
    <row r="16" spans="1:8" ht="114" customHeight="1" x14ac:dyDescent="0.25">
      <c r="A16" s="858"/>
      <c r="B16" s="943"/>
      <c r="C16" s="201" t="s">
        <v>12</v>
      </c>
      <c r="D16" s="392"/>
      <c r="E16" s="265"/>
      <c r="F16" s="265"/>
      <c r="G16" s="265"/>
      <c r="H16" s="478"/>
    </row>
    <row r="17" spans="1:10" ht="91.5" customHeight="1" x14ac:dyDescent="0.25">
      <c r="A17" s="858"/>
      <c r="B17" s="943"/>
      <c r="C17" s="201" t="s">
        <v>13</v>
      </c>
      <c r="D17" s="392"/>
      <c r="E17" s="265"/>
      <c r="F17" s="265"/>
      <c r="G17" s="265"/>
      <c r="H17" s="478"/>
    </row>
    <row r="18" spans="1:10" ht="88.5" customHeight="1" x14ac:dyDescent="0.25">
      <c r="A18" s="858"/>
      <c r="B18" s="943"/>
      <c r="C18" s="201" t="s">
        <v>15</v>
      </c>
      <c r="D18" s="511"/>
      <c r="E18" s="510"/>
      <c r="F18" s="509"/>
      <c r="G18" s="509"/>
      <c r="H18" s="183"/>
    </row>
    <row r="19" spans="1:10" ht="70.5" customHeight="1" thickBot="1" x14ac:dyDescent="0.3">
      <c r="A19" s="860"/>
      <c r="B19" s="944"/>
      <c r="C19" s="551" t="s">
        <v>64</v>
      </c>
      <c r="D19" s="576"/>
      <c r="E19" s="404"/>
      <c r="F19" s="577"/>
      <c r="G19" s="577"/>
      <c r="H19" s="578"/>
      <c r="J19" s="3"/>
    </row>
    <row r="20" spans="1:10" ht="55.5" customHeight="1" x14ac:dyDescent="0.25">
      <c r="A20" s="928" t="s">
        <v>2</v>
      </c>
      <c r="B20" s="933">
        <f>B14+1</f>
        <v>46183</v>
      </c>
      <c r="C20" s="200" t="s">
        <v>10</v>
      </c>
      <c r="D20" s="552"/>
      <c r="E20" s="436"/>
      <c r="F20" s="585"/>
      <c r="G20" s="436"/>
      <c r="H20" s="437"/>
    </row>
    <row r="21" spans="1:10" ht="100.5" customHeight="1" x14ac:dyDescent="0.25">
      <c r="A21" s="931"/>
      <c r="B21" s="858"/>
      <c r="C21" s="201" t="s">
        <v>11</v>
      </c>
      <c r="D21" s="553"/>
      <c r="E21" s="265"/>
      <c r="F21" s="265"/>
      <c r="G21" s="265"/>
      <c r="H21" s="266"/>
    </row>
    <row r="22" spans="1:10" ht="111.75" customHeight="1" x14ac:dyDescent="0.25">
      <c r="A22" s="931"/>
      <c r="B22" s="858"/>
      <c r="C22" s="201" t="s">
        <v>12</v>
      </c>
      <c r="D22" s="384"/>
      <c r="E22" s="384"/>
      <c r="F22" s="265"/>
      <c r="G22" s="265"/>
      <c r="H22" s="478"/>
      <c r="J22" s="3"/>
    </row>
    <row r="23" spans="1:10" ht="108" customHeight="1" x14ac:dyDescent="0.25">
      <c r="A23" s="931"/>
      <c r="B23" s="858"/>
      <c r="C23" s="201" t="s">
        <v>13</v>
      </c>
      <c r="D23" s="384"/>
      <c r="E23" s="361"/>
      <c r="F23" s="265"/>
      <c r="G23" s="265"/>
      <c r="H23" s="478"/>
    </row>
    <row r="24" spans="1:10" ht="36.75" customHeight="1" thickBot="1" x14ac:dyDescent="0.3">
      <c r="A24" s="932"/>
      <c r="B24" s="860"/>
      <c r="C24" s="551" t="s">
        <v>15</v>
      </c>
      <c r="D24" s="554"/>
      <c r="E24" s="515"/>
      <c r="F24" s="557"/>
      <c r="G24" s="557"/>
      <c r="H24" s="558"/>
    </row>
    <row r="25" spans="1:10" ht="76.5" customHeight="1" x14ac:dyDescent="0.25">
      <c r="A25" s="928" t="s">
        <v>3</v>
      </c>
      <c r="B25" s="933">
        <f>B20+1</f>
        <v>46184</v>
      </c>
      <c r="C25" s="252" t="s">
        <v>10</v>
      </c>
      <c r="D25" s="285"/>
      <c r="E25" s="286"/>
      <c r="F25" s="286"/>
      <c r="G25" s="286"/>
      <c r="H25" s="303"/>
    </row>
    <row r="26" spans="1:10" ht="80.25" customHeight="1" x14ac:dyDescent="0.25">
      <c r="A26" s="939"/>
      <c r="B26" s="858"/>
      <c r="C26" s="253" t="s">
        <v>11</v>
      </c>
      <c r="D26" s="392"/>
      <c r="E26" s="234"/>
      <c r="F26" s="234"/>
      <c r="G26" s="234"/>
      <c r="H26" s="268"/>
    </row>
    <row r="27" spans="1:10" ht="127.5" customHeight="1" x14ac:dyDescent="0.25">
      <c r="A27" s="939"/>
      <c r="B27" s="858"/>
      <c r="C27" s="253" t="s">
        <v>12</v>
      </c>
      <c r="D27" s="590"/>
      <c r="E27" s="361"/>
      <c r="F27" s="361"/>
      <c r="G27" s="361"/>
      <c r="H27" s="384"/>
    </row>
    <row r="28" spans="1:10" ht="127.5" customHeight="1" x14ac:dyDescent="0.25">
      <c r="A28" s="939"/>
      <c r="B28" s="858"/>
      <c r="C28" s="253" t="s">
        <v>13</v>
      </c>
      <c r="D28" s="590"/>
      <c r="E28" s="361"/>
      <c r="F28" s="361"/>
      <c r="G28" s="361"/>
      <c r="H28" s="388"/>
    </row>
    <row r="29" spans="1:10" ht="76.5" customHeight="1" thickBot="1" x14ac:dyDescent="0.3">
      <c r="A29" s="940"/>
      <c r="B29" s="860"/>
      <c r="C29" s="254" t="s">
        <v>15</v>
      </c>
      <c r="D29" s="206"/>
      <c r="E29" s="438"/>
      <c r="F29" s="429"/>
      <c r="G29" s="429"/>
      <c r="H29" s="431"/>
    </row>
    <row r="30" spans="1:10" ht="76.5" customHeight="1" x14ac:dyDescent="0.25">
      <c r="A30" s="936" t="s">
        <v>4</v>
      </c>
      <c r="B30" s="889">
        <f>B25+1</f>
        <v>46185</v>
      </c>
      <c r="C30" s="555" t="s">
        <v>10</v>
      </c>
      <c r="D30" s="592"/>
      <c r="E30" s="593"/>
      <c r="F30" s="594"/>
      <c r="G30" s="305"/>
      <c r="H30" s="595"/>
    </row>
    <row r="31" spans="1:10" ht="76.5" customHeight="1" x14ac:dyDescent="0.25">
      <c r="A31" s="937"/>
      <c r="B31" s="882"/>
      <c r="C31" s="458" t="s">
        <v>11</v>
      </c>
      <c r="D31" s="267"/>
      <c r="E31" s="233"/>
      <c r="F31" s="233"/>
      <c r="G31" s="432"/>
      <c r="H31" s="270"/>
    </row>
    <row r="32" spans="1:10" ht="76.5" customHeight="1" x14ac:dyDescent="0.25">
      <c r="A32" s="937"/>
      <c r="B32" s="882"/>
      <c r="C32" s="458" t="s">
        <v>12</v>
      </c>
      <c r="D32" s="267"/>
      <c r="E32" s="234"/>
      <c r="F32" s="234"/>
      <c r="G32" s="234"/>
      <c r="H32" s="268"/>
    </row>
    <row r="33" spans="1:8" ht="76.5" customHeight="1" x14ac:dyDescent="0.25">
      <c r="A33" s="937"/>
      <c r="B33" s="882"/>
      <c r="C33" s="458" t="s">
        <v>13</v>
      </c>
      <c r="D33" s="267"/>
      <c r="E33" s="234"/>
      <c r="F33" s="234"/>
      <c r="G33" s="265"/>
      <c r="H33" s="268"/>
    </row>
    <row r="34" spans="1:8" ht="76.5" customHeight="1" thickBot="1" x14ac:dyDescent="0.3">
      <c r="A34" s="938"/>
      <c r="B34" s="882"/>
      <c r="C34" s="531" t="s">
        <v>15</v>
      </c>
      <c r="D34" s="271"/>
      <c r="E34" s="272"/>
      <c r="F34" s="272"/>
      <c r="G34" s="272"/>
      <c r="H34" s="273"/>
    </row>
    <row r="35" spans="1:8" ht="65.25" customHeight="1" x14ac:dyDescent="0.25">
      <c r="A35" s="935" t="s">
        <v>47</v>
      </c>
      <c r="B35" s="881">
        <f>B30+1</f>
        <v>46186</v>
      </c>
      <c r="C35" s="203" t="s">
        <v>10</v>
      </c>
      <c r="D35" s="325"/>
      <c r="E35" s="326"/>
      <c r="F35" s="326"/>
      <c r="G35" s="326"/>
      <c r="H35" s="327"/>
    </row>
    <row r="36" spans="1:8" ht="65.25" customHeight="1" x14ac:dyDescent="0.25">
      <c r="A36" s="882"/>
      <c r="B36" s="882"/>
      <c r="C36" s="201" t="s">
        <v>11</v>
      </c>
      <c r="D36" s="328"/>
      <c r="E36" s="324"/>
      <c r="F36" s="324"/>
      <c r="G36" s="324"/>
      <c r="H36" s="329"/>
    </row>
    <row r="37" spans="1:8" ht="65.25" customHeight="1" x14ac:dyDescent="0.25">
      <c r="A37" s="882"/>
      <c r="B37" s="882"/>
      <c r="C37" s="201" t="s">
        <v>12</v>
      </c>
      <c r="D37" s="328"/>
      <c r="E37" s="324"/>
      <c r="F37" s="324"/>
      <c r="G37" s="324"/>
      <c r="H37" s="330"/>
    </row>
    <row r="38" spans="1:8" ht="65.25" customHeight="1" x14ac:dyDescent="0.25">
      <c r="A38" s="882"/>
      <c r="B38" s="882"/>
      <c r="C38" s="201" t="s">
        <v>13</v>
      </c>
      <c r="D38" s="328"/>
      <c r="E38" s="324"/>
      <c r="F38" s="324"/>
      <c r="G38" s="324"/>
      <c r="H38" s="329"/>
    </row>
    <row r="39" spans="1:8" ht="65.25" customHeight="1" thickBot="1" x14ac:dyDescent="0.3">
      <c r="A39" s="883"/>
      <c r="B39" s="883"/>
      <c r="C39" s="202" t="s">
        <v>15</v>
      </c>
      <c r="D39" s="331"/>
      <c r="E39" s="332"/>
      <c r="F39" s="332"/>
      <c r="G39" s="332"/>
      <c r="H39" s="333"/>
    </row>
    <row r="40" spans="1:8" ht="28.5" customHeight="1" x14ac:dyDescent="0.3">
      <c r="A40" s="2"/>
      <c r="B40" s="2"/>
      <c r="C40" s="44"/>
      <c r="D40" s="170" t="s">
        <v>86</v>
      </c>
      <c r="E40" s="44"/>
      <c r="F40" s="44"/>
      <c r="G40" s="44"/>
      <c r="H40" s="44"/>
    </row>
    <row r="41" spans="1:8" s="19" customFormat="1" ht="26.25" x14ac:dyDescent="0.4">
      <c r="A41" s="18"/>
      <c r="B41" s="204"/>
      <c r="C41" s="413" t="str">
        <f>'01.09'!C39</f>
        <v>*Л. Речевое общение в профессиональной деятельности*</v>
      </c>
      <c r="D41" s="107">
        <f>'28.12'!D41+COUNTIF(D$9:D$39,$C41)</f>
        <v>5</v>
      </c>
      <c r="E41" s="107">
        <f>'28.12'!E41+COUNTIF(E$9:E$39,$C41)</f>
        <v>5</v>
      </c>
      <c r="F41" s="107">
        <f>'28.12'!G41+COUNTIF(F$9:F$39,$C41)</f>
        <v>5</v>
      </c>
      <c r="G41" s="107">
        <f>'28.12'!H41+COUNTIF(G$9:G$39,$C41)</f>
        <v>5</v>
      </c>
      <c r="H41" s="107">
        <f>'28.12'!I41+COUNTIF(H$9:H$39,$C41)</f>
        <v>5</v>
      </c>
    </row>
    <row r="42" spans="1:8" s="19" customFormat="1" ht="26.25" x14ac:dyDescent="0.4">
      <c r="A42" s="18"/>
      <c r="B42" s="204"/>
      <c r="C42" s="413" t="str">
        <f>'01.09'!C40</f>
        <v>*Пр. Речевое общение в профессиональной деятельности*</v>
      </c>
      <c r="D42" s="107">
        <f>'28.12'!D42+COUNTIF(D$9:D$39,$C42)</f>
        <v>4</v>
      </c>
      <c r="E42" s="107">
        <f>'28.12'!E42+COUNTIF(E$9:E$39,$C42)</f>
        <v>4</v>
      </c>
      <c r="F42" s="107">
        <f>'28.12'!G42+COUNTIF(F$9:F$39,$C42)</f>
        <v>4</v>
      </c>
      <c r="G42" s="107">
        <f>'28.12'!H42+COUNTIF(G$9:G$39,$C42)</f>
        <v>4</v>
      </c>
      <c r="H42" s="107">
        <f>'28.12'!I42+COUNTIF(H$9:H$39,$C42)</f>
        <v>4</v>
      </c>
    </row>
    <row r="43" spans="1:8" s="19" customFormat="1" ht="26.25" x14ac:dyDescent="0.4">
      <c r="A43" s="18"/>
      <c r="B43" s="205"/>
      <c r="C43" s="413" t="str">
        <f>'01.09'!C41</f>
        <v>*Л. Элективные дисциплины по ФКиС: Силовая подготовка*</v>
      </c>
      <c r="D43" s="107">
        <f>'28.12'!D43+COUNTIF(D$9:D$39,$C43)</f>
        <v>1</v>
      </c>
      <c r="E43" s="107">
        <f>'28.12'!E43+COUNTIF(E$9:E$39,$C43)</f>
        <v>1</v>
      </c>
      <c r="F43" s="107">
        <f>'28.12'!G43+COUNTIF(F$9:F$39,$C43)</f>
        <v>1</v>
      </c>
      <c r="G43" s="107">
        <f>'28.12'!H43+COUNTIF(G$9:G$39,$C43)</f>
        <v>1</v>
      </c>
      <c r="H43" s="107">
        <f>'28.12'!I43+COUNTIF(H$9:H$39,$C43)</f>
        <v>1</v>
      </c>
    </row>
    <row r="44" spans="1:8" s="19" customFormat="1" ht="26.25" x14ac:dyDescent="0.4">
      <c r="A44" s="18"/>
      <c r="B44" s="205"/>
      <c r="C44" s="413" t="str">
        <f>'01.09'!C42</f>
        <v>*Пр. Элективные дисциплины по ФКиС: Силовая подготовка*</v>
      </c>
      <c r="D44" s="107">
        <f>'28.12'!D44+COUNTIF(D$9:D$39,$C44)</f>
        <v>8</v>
      </c>
      <c r="E44" s="107">
        <f>'28.12'!E44+COUNTIF(E$9:E$39,$C44)</f>
        <v>9</v>
      </c>
      <c r="F44" s="107">
        <f>'28.12'!G44+COUNTIF(F$9:F$39,$C44)</f>
        <v>9</v>
      </c>
      <c r="G44" s="107">
        <f>'28.12'!H44+COUNTIF(G$9:G$39,$C44)</f>
        <v>9</v>
      </c>
      <c r="H44" s="107">
        <f>'28.12'!I44+COUNTIF(H$9:H$39,$C44)</f>
        <v>8</v>
      </c>
    </row>
    <row r="45" spans="1:8" s="19" customFormat="1" ht="26.25" x14ac:dyDescent="0.4">
      <c r="A45" s="18"/>
      <c r="B45" s="204"/>
      <c r="C45" s="413" t="str">
        <f>'01.09'!C43</f>
        <v>*Л. Анатомия*</v>
      </c>
      <c r="D45" s="107">
        <f>'28.12'!D45+COUNTIF(D$9:D$39,$C45)</f>
        <v>4</v>
      </c>
      <c r="E45" s="107">
        <f>'28.12'!E45+COUNTIF(E$9:E$39,$C45)</f>
        <v>4</v>
      </c>
      <c r="F45" s="107">
        <f>'28.12'!G45+COUNTIF(F$9:F$39,$C45)</f>
        <v>4</v>
      </c>
      <c r="G45" s="107">
        <f>'28.12'!H45+COUNTIF(G$9:G$39,$C45)</f>
        <v>4</v>
      </c>
      <c r="H45" s="107">
        <f>'28.12'!I45+COUNTIF(H$9:H$39,$C45)</f>
        <v>4</v>
      </c>
    </row>
    <row r="46" spans="1:8" s="19" customFormat="1" ht="26.25" x14ac:dyDescent="0.4">
      <c r="A46" s="18"/>
      <c r="B46" s="204"/>
      <c r="C46" s="413" t="str">
        <f>'01.09'!C44</f>
        <v>*Пр. Анатомия*</v>
      </c>
      <c r="D46" s="107">
        <f>'28.12'!D46+COUNTIF(D$9:D$39,$C46)</f>
        <v>4</v>
      </c>
      <c r="E46" s="107">
        <f>'28.12'!E46+COUNTIF(E$9:E$39,$C46)</f>
        <v>4</v>
      </c>
      <c r="F46" s="107">
        <f>'28.12'!G46+COUNTIF(F$9:F$39,$C46)</f>
        <v>4</v>
      </c>
      <c r="G46" s="107">
        <f>'28.12'!H46+COUNTIF(G$9:G$39,$C46)</f>
        <v>4</v>
      </c>
      <c r="H46" s="107">
        <f>'28.12'!I46+COUNTIF(H$9:H$39,$C46)</f>
        <v>4</v>
      </c>
    </row>
    <row r="47" spans="1:8" s="19" customFormat="1" ht="26.25" x14ac:dyDescent="0.4">
      <c r="A47" s="18"/>
      <c r="B47" s="204"/>
      <c r="C47" s="413" t="str">
        <f>'01.09'!C45</f>
        <v>*Л. Теория и методика*</v>
      </c>
      <c r="D47" s="107">
        <f>'28.12'!D47+COUNTIF(D$9:D$39,$C47)</f>
        <v>5</v>
      </c>
      <c r="E47" s="107">
        <f>'28.12'!E47+COUNTIF(E$9:E$39,$C47)</f>
        <v>4</v>
      </c>
      <c r="F47" s="107">
        <f>'28.12'!G47+COUNTIF(F$9:F$39,$C47)</f>
        <v>4</v>
      </c>
      <c r="G47" s="107">
        <f>'28.12'!H47+COUNTIF(G$9:G$39,$C47)</f>
        <v>5</v>
      </c>
      <c r="H47" s="107">
        <f>'28.12'!I47+COUNTIF(H$9:H$39,$C47)</f>
        <v>3</v>
      </c>
    </row>
    <row r="48" spans="1:8" s="19" customFormat="1" ht="26.25" x14ac:dyDescent="0.4">
      <c r="A48" s="18"/>
      <c r="B48" s="204"/>
      <c r="C48" s="413" t="str">
        <f>'01.09'!C46</f>
        <v>*Пр. Теория и методика*</v>
      </c>
      <c r="D48" s="107">
        <f>'28.12'!D48+COUNTIF(D$9:D$39,$C48)</f>
        <v>24</v>
      </c>
      <c r="E48" s="107">
        <f>'28.12'!E48+COUNTIF(E$9:E$39,$C48)</f>
        <v>23</v>
      </c>
      <c r="F48" s="107">
        <f>'28.12'!G48+COUNTIF(F$9:F$39,$C48)</f>
        <v>23</v>
      </c>
      <c r="G48" s="107">
        <f>'28.12'!H48+COUNTIF(G$9:G$39,$C48)</f>
        <v>26</v>
      </c>
      <c r="H48" s="107">
        <f>'28.12'!I48+COUNTIF(H$9:H$39,$C48)</f>
        <v>20</v>
      </c>
    </row>
    <row r="49" spans="1:8" s="19" customFormat="1" ht="26.25" x14ac:dyDescent="0.4">
      <c r="A49" s="18"/>
      <c r="B49" s="204"/>
      <c r="C49" s="413" t="str">
        <f>'01.09'!C47</f>
        <v>*Л. Физическая культура и спорт*</v>
      </c>
      <c r="D49" s="107">
        <f>'28.12'!D49+COUNTIF(D$9:D$39,$C49)</f>
        <v>5</v>
      </c>
      <c r="E49" s="107">
        <f>'28.12'!E49+COUNTIF(E$9:E$39,$C49)</f>
        <v>5</v>
      </c>
      <c r="F49" s="107">
        <f>'28.12'!G49+COUNTIF(F$9:F$39,$C49)</f>
        <v>5</v>
      </c>
      <c r="G49" s="107">
        <f>'28.12'!H49+COUNTIF(G$9:G$39,$C49)</f>
        <v>5</v>
      </c>
      <c r="H49" s="107">
        <f>'28.12'!I49+COUNTIF(H$9:H$39,$C49)</f>
        <v>5</v>
      </c>
    </row>
    <row r="50" spans="1:8" s="19" customFormat="1" ht="26.25" x14ac:dyDescent="0.4">
      <c r="A50" s="18"/>
      <c r="B50" s="204"/>
      <c r="C50" s="413" t="str">
        <f>'01.09'!C48</f>
        <v>*Пр. Физическая культура и спорт*</v>
      </c>
      <c r="D50" s="107">
        <f>'28.12'!D50+COUNTIF(D$9:D$39,$C50)</f>
        <v>5</v>
      </c>
      <c r="E50" s="107">
        <f>'28.12'!E50+COUNTIF(E$9:E$39,$C50)</f>
        <v>5</v>
      </c>
      <c r="F50" s="107">
        <f>'28.12'!G50+COUNTIF(F$9:F$39,$C50)</f>
        <v>5</v>
      </c>
      <c r="G50" s="107">
        <f>'28.12'!H50+COUNTIF(G$9:G$39,$C50)</f>
        <v>5</v>
      </c>
      <c r="H50" s="107">
        <f>'28.12'!I50+COUNTIF(H$9:H$39,$C50)</f>
        <v>5</v>
      </c>
    </row>
    <row r="51" spans="1:8" s="19" customFormat="1" ht="26.25" x14ac:dyDescent="0.4">
      <c r="A51" s="18"/>
      <c r="B51" s="204"/>
      <c r="C51" s="413" t="str">
        <f>'01.09'!C49</f>
        <v>*Л. Информационные технологии*</v>
      </c>
      <c r="D51" s="107">
        <f>'28.12'!D51+COUNTIF(D$9:D$39,$C51)</f>
        <v>2</v>
      </c>
      <c r="E51" s="107">
        <f>'28.12'!E51+COUNTIF(E$9:E$39,$C51)</f>
        <v>2</v>
      </c>
      <c r="F51" s="107">
        <f>'28.12'!G51+COUNTIF(F$9:F$39,$C51)</f>
        <v>2</v>
      </c>
      <c r="G51" s="107">
        <f>'28.12'!H51+COUNTIF(G$9:G$39,$C51)</f>
        <v>2</v>
      </c>
      <c r="H51" s="107">
        <f>'28.12'!I51+COUNTIF(H$9:H$39,$C51)</f>
        <v>2</v>
      </c>
    </row>
    <row r="52" spans="1:8" s="19" customFormat="1" ht="26.25" x14ac:dyDescent="0.4">
      <c r="A52" s="18"/>
      <c r="B52" s="204"/>
      <c r="C52" s="413" t="str">
        <f>'01.09'!C50</f>
        <v>*Пр. Информационные технологии*</v>
      </c>
      <c r="D52" s="107">
        <f>'28.12'!D52+COUNTIF(D$9:D$39,$C52)</f>
        <v>8</v>
      </c>
      <c r="E52" s="107">
        <f>'28.12'!E52+COUNTIF(E$9:E$39,$C52)</f>
        <v>8</v>
      </c>
      <c r="F52" s="107">
        <f>'28.12'!G52+COUNTIF(F$9:F$39,$C52)</f>
        <v>8</v>
      </c>
      <c r="G52" s="107">
        <f>'28.12'!H52+COUNTIF(G$9:G$39,$C52)</f>
        <v>8</v>
      </c>
      <c r="H52" s="107">
        <f>'28.12'!I52+COUNTIF(H$9:H$39,$C52)</f>
        <v>8</v>
      </c>
    </row>
    <row r="53" spans="1:8" s="19" customFormat="1" ht="26.25" x14ac:dyDescent="0.4">
      <c r="A53" s="18"/>
      <c r="B53" s="204"/>
      <c r="C53" s="413" t="str">
        <f>'01.09'!C51</f>
        <v>*Л. Гимнастика*</v>
      </c>
      <c r="D53" s="107">
        <f>'28.12'!D53+COUNTIF(D$9:D$39,$C53)</f>
        <v>3</v>
      </c>
      <c r="E53" s="107">
        <f>'28.12'!E53+COUNTIF(E$9:E$39,$C53)</f>
        <v>3</v>
      </c>
      <c r="F53" s="107">
        <f>'28.12'!G53+COUNTIF(F$9:F$39,$C53)</f>
        <v>3</v>
      </c>
      <c r="G53" s="107">
        <f>'28.12'!H53+COUNTIF(G$9:G$39,$C53)</f>
        <v>3</v>
      </c>
      <c r="H53" s="107">
        <f>'28.12'!I53+COUNTIF(H$9:H$39,$C53)</f>
        <v>3</v>
      </c>
    </row>
    <row r="54" spans="1:8" s="19" customFormat="1" ht="26.25" x14ac:dyDescent="0.4">
      <c r="A54" s="18"/>
      <c r="B54" s="204"/>
      <c r="C54" s="413" t="str">
        <f>'01.09'!C52</f>
        <v>*Пр. Гимнастика*</v>
      </c>
      <c r="D54" s="107">
        <f>'28.12'!D54+COUNTIF(D$9:D$39,$C54)</f>
        <v>8</v>
      </c>
      <c r="E54" s="107">
        <f>'28.12'!E54+COUNTIF(E$9:E$39,$C54)</f>
        <v>13</v>
      </c>
      <c r="F54" s="107">
        <f>'28.12'!G54+COUNTIF(F$9:F$39,$C54)</f>
        <v>12</v>
      </c>
      <c r="G54" s="107">
        <f>'28.12'!H54+COUNTIF(G$9:G$39,$C54)</f>
        <v>13</v>
      </c>
      <c r="H54" s="107">
        <f>'28.12'!I54+COUNTIF(H$9:H$39,$C54)</f>
        <v>12</v>
      </c>
    </row>
    <row r="55" spans="1:8" s="19" customFormat="1" ht="26.25" x14ac:dyDescent="0.4">
      <c r="A55" s="18"/>
      <c r="B55" s="204"/>
      <c r="C55" s="413" t="str">
        <f>'01.09'!C53</f>
        <v>*Л. Волейбол*</v>
      </c>
      <c r="D55" s="107">
        <f>'28.12'!D55+COUNTIF(D$9:D$39,$C55)</f>
        <v>1</v>
      </c>
      <c r="E55" s="107">
        <f>'28.12'!E55+COUNTIF(E$9:E$39,$C55)</f>
        <v>1</v>
      </c>
      <c r="F55" s="107">
        <f>'28.12'!G55+COUNTIF(F$9:F$39,$C55)</f>
        <v>1</v>
      </c>
      <c r="G55" s="107">
        <f>'28.12'!H55+COUNTIF(G$9:G$39,$C55)</f>
        <v>1</v>
      </c>
      <c r="H55" s="107">
        <f>'28.12'!I55+COUNTIF(H$9:H$39,$C55)</f>
        <v>1</v>
      </c>
    </row>
    <row r="56" spans="1:8" s="19" customFormat="1" ht="26.25" x14ac:dyDescent="0.4">
      <c r="A56" s="18"/>
      <c r="B56" s="204"/>
      <c r="C56" s="413" t="str">
        <f>'01.09'!C54</f>
        <v>*Пр. Волейбол*</v>
      </c>
      <c r="D56" s="107">
        <f>'28.12'!D56+COUNTIF(D$9:D$39,$C56)</f>
        <v>16</v>
      </c>
      <c r="E56" s="107">
        <f>'28.12'!E56+COUNTIF(E$9:E$39,$C56)</f>
        <v>16</v>
      </c>
      <c r="F56" s="107">
        <f>'28.12'!G56+COUNTIF(F$9:F$39,$C56)</f>
        <v>8</v>
      </c>
      <c r="G56" s="107">
        <f>'28.12'!H56+COUNTIF(G$9:G$39,$C56)</f>
        <v>16</v>
      </c>
      <c r="H56" s="107">
        <f>'28.12'!I56+COUNTIF(H$9:H$39,$C56)</f>
        <v>16</v>
      </c>
    </row>
    <row r="57" spans="1:8" s="19" customFormat="1" ht="26.25" x14ac:dyDescent="0.4">
      <c r="A57" s="18"/>
      <c r="B57" s="204"/>
      <c r="C57" s="413" t="str">
        <f>'01.09'!C55</f>
        <v>*Л. Лыжные гонки*</v>
      </c>
      <c r="D57" s="107">
        <f>'28.12'!D57+COUNTIF(D$9:D$39,$C57)</f>
        <v>0</v>
      </c>
      <c r="E57" s="107">
        <f>'28.12'!E57+COUNTIF(E$9:E$39,$C57)</f>
        <v>0</v>
      </c>
      <c r="F57" s="107">
        <f>'28.12'!G57+COUNTIF(F$9:F$39,$C57)</f>
        <v>0</v>
      </c>
      <c r="G57" s="107">
        <f>'28.12'!H57+COUNTIF(G$9:G$39,$C57)</f>
        <v>0</v>
      </c>
      <c r="H57" s="107">
        <f>'28.12'!I57+COUNTIF(H$9:H$39,$C57)</f>
        <v>0</v>
      </c>
    </row>
    <row r="58" spans="1:8" s="19" customFormat="1" ht="26.25" x14ac:dyDescent="0.4">
      <c r="A58" s="18"/>
      <c r="B58" s="204"/>
      <c r="C58" s="413" t="str">
        <f>'01.09'!C56</f>
        <v>*Пр. Лыжные гонки*</v>
      </c>
      <c r="D58" s="107">
        <f>'28.12'!D58+COUNTIF(D$9:D$39,$C58)</f>
        <v>0</v>
      </c>
      <c r="E58" s="107">
        <f>'28.12'!E58+COUNTIF(E$9:E$39,$C58)</f>
        <v>0</v>
      </c>
      <c r="F58" s="107">
        <f>'28.12'!G58+COUNTIF(F$9:F$39,$C58)</f>
        <v>0</v>
      </c>
      <c r="G58" s="107">
        <f>'28.12'!H58+COUNTIF(G$9:G$39,$C58)</f>
        <v>0</v>
      </c>
      <c r="H58" s="107">
        <f>'28.12'!I58+COUNTIF(H$9:H$39,$C58)</f>
        <v>0</v>
      </c>
    </row>
    <row r="59" spans="1:8" s="19" customFormat="1" ht="26.25" x14ac:dyDescent="0.4">
      <c r="A59" s="18"/>
      <c r="B59" s="204"/>
      <c r="C59" s="413" t="str">
        <f>'01.09'!C57</f>
        <v>*Л. Использование электронной*</v>
      </c>
      <c r="D59" s="107">
        <f>'28.12'!D59+COUNTIF(D$9:D$39,$C59)</f>
        <v>1</v>
      </c>
      <c r="E59" s="107">
        <f>'28.12'!E59+COUNTIF(E$9:E$39,$C59)</f>
        <v>0</v>
      </c>
      <c r="F59" s="107">
        <f>'28.12'!G59+COUNTIF(F$9:F$39,$C59)</f>
        <v>0</v>
      </c>
      <c r="G59" s="107">
        <f>'28.12'!H59+COUNTIF(G$9:G$39,$C59)</f>
        <v>0</v>
      </c>
      <c r="H59" s="107">
        <f>'28.12'!I59+COUNTIF(H$9:H$39,$C59)</f>
        <v>0</v>
      </c>
    </row>
    <row r="60" spans="1:8" s="19" customFormat="1" ht="26.25" x14ac:dyDescent="0.4">
      <c r="A60" s="18"/>
      <c r="B60" s="204"/>
      <c r="C60" s="104" t="str">
        <f>'01.09'!C58</f>
        <v>*Пр. Использование электронной*</v>
      </c>
      <c r="D60" s="107">
        <f>'28.12'!D60+COUNTIF(D$9:D$39,$C60)</f>
        <v>2</v>
      </c>
      <c r="E60" s="107">
        <f>'28.12'!E60+COUNTIF(E$9:E$39,$C60)</f>
        <v>2</v>
      </c>
      <c r="F60" s="107">
        <f>'28.12'!G60+COUNTIF(F$9:F$39,$C60)</f>
        <v>2</v>
      </c>
      <c r="G60" s="107">
        <f>'28.12'!H60+COUNTIF(G$9:G$39,$C60)</f>
        <v>2</v>
      </c>
      <c r="H60" s="107">
        <f>'28.12'!I60+COUNTIF(H$9:H$39,$C60)</f>
        <v>2</v>
      </c>
    </row>
    <row r="61" spans="1:8" s="19" customFormat="1" ht="26.25" x14ac:dyDescent="0.4">
      <c r="A61" s="18"/>
      <c r="B61" s="204"/>
      <c r="C61" s="104" t="str">
        <f>'01.09'!C59</f>
        <v>*Пр. Иностранный язык*</v>
      </c>
      <c r="D61" s="107">
        <f>'28.12'!D61+COUNTIF(D$9:D$39,$C61)</f>
        <v>8</v>
      </c>
      <c r="E61" s="107">
        <f>'28.12'!E61+COUNTIF(E$9:E$39,$C61)</f>
        <v>8</v>
      </c>
      <c r="F61" s="107">
        <f>'28.12'!G61+COUNTIF(F$9:F$39,$C61)</f>
        <v>8</v>
      </c>
      <c r="G61" s="107">
        <f>'28.12'!H61+COUNTIF(G$9:G$39,$C61)</f>
        <v>8</v>
      </c>
      <c r="H61" s="107">
        <f>'28.12'!I61+COUNTIF(H$9:H$39,$C61)</f>
        <v>8</v>
      </c>
    </row>
    <row r="62" spans="1:8" s="19" customFormat="1" ht="26.25" x14ac:dyDescent="0.4">
      <c r="A62" s="18"/>
      <c r="B62" s="45"/>
      <c r="C62" s="104" t="str">
        <f>'01.09'!C60</f>
        <v>*С1-04А-26*</v>
      </c>
      <c r="D62" s="107">
        <f>'28.12'!D62+COUNTIF(D$9:D$39,$C62)</f>
        <v>0</v>
      </c>
      <c r="E62" s="107">
        <f>'28.12'!E62+COUNTIF(E$9:E$39,$C62)</f>
        <v>0</v>
      </c>
      <c r="F62" s="107">
        <f>'28.12'!G62+COUNTIF(F$9:F$39,$C62)</f>
        <v>17</v>
      </c>
      <c r="G62" s="107">
        <f>'28.12'!H62+COUNTIF(G$9:G$39,$C62)</f>
        <v>0</v>
      </c>
      <c r="H62" s="107">
        <f>'28.12'!I62+COUNTIF(H$9:H$39,$C62)</f>
        <v>0</v>
      </c>
    </row>
    <row r="63" spans="1:8" ht="26.25" x14ac:dyDescent="0.4">
      <c r="A63" s="2"/>
      <c r="B63" s="2"/>
      <c r="C63" s="104" t="str">
        <f>'01.09'!C61</f>
        <v>*С1-04Б-26*</v>
      </c>
      <c r="D63" s="107">
        <f>'28.12'!D63+COUNTIF(D$9:D$39,$C63)</f>
        <v>0</v>
      </c>
      <c r="E63" s="107">
        <f>'28.12'!E63+COUNTIF(E$9:E$39,$C63)</f>
        <v>0</v>
      </c>
      <c r="F63" s="107">
        <f>'28.12'!G63+COUNTIF(F$9:F$39,$C63)</f>
        <v>17</v>
      </c>
      <c r="G63" s="107">
        <f>'28.12'!H63+COUNTIF(G$9:G$39,$C63)</f>
        <v>0</v>
      </c>
      <c r="H63" s="107">
        <f>'28.12'!I63+COUNTIF(H$9:H$39,$C63)</f>
        <v>0</v>
      </c>
    </row>
    <row r="64" spans="1:8" ht="26.25" x14ac:dyDescent="0.4">
      <c r="A64" s="2"/>
      <c r="B64" s="2"/>
      <c r="C64" s="104" t="str">
        <f>'01.09'!C62</f>
        <v>*С1-05А-26*</v>
      </c>
      <c r="D64" s="107">
        <f>'28.12'!D64+COUNTIF(D$9:D$39,$C64)</f>
        <v>0</v>
      </c>
      <c r="E64" s="107">
        <f>'28.12'!E64+COUNTIF(E$9:E$39,$C64)</f>
        <v>0</v>
      </c>
      <c r="F64" s="107">
        <f>'28.12'!G64+COUNTIF(F$9:F$39,$C64)</f>
        <v>0</v>
      </c>
      <c r="G64" s="107">
        <f>'28.12'!H64+COUNTIF(G$9:G$39,$C64)</f>
        <v>8</v>
      </c>
      <c r="H64" s="107">
        <f>'28.12'!I64+COUNTIF(H$9:H$39,$C64)</f>
        <v>0</v>
      </c>
    </row>
    <row r="65" spans="1:8" ht="26.25" x14ac:dyDescent="0.4">
      <c r="A65" s="2"/>
      <c r="B65" s="2"/>
      <c r="C65" s="104" t="str">
        <f>'01.09'!C63</f>
        <v>*С1-05Б-26*</v>
      </c>
      <c r="D65" s="107">
        <f>'28.12'!D65+COUNTIF(D$9:D$39,$C65)</f>
        <v>0</v>
      </c>
      <c r="E65" s="107">
        <f>'28.12'!E65+COUNTIF(E$9:E$39,$C65)</f>
        <v>0</v>
      </c>
      <c r="F65" s="107">
        <f>'28.12'!G65+COUNTIF(F$9:F$39,$C65)</f>
        <v>0</v>
      </c>
      <c r="G65" s="107">
        <f>'28.12'!H65+COUNTIF(G$9:G$39,$C65)</f>
        <v>8</v>
      </c>
      <c r="H65" s="107">
        <f>'28.12'!I65+COUNTIF(H$9:H$39,$C65)</f>
        <v>0</v>
      </c>
    </row>
    <row r="66" spans="1:8" ht="26.25" x14ac:dyDescent="0.4">
      <c r="A66" s="2"/>
      <c r="B66" s="2"/>
      <c r="C66" s="104">
        <f>'01.09'!C64</f>
        <v>0</v>
      </c>
      <c r="D66" s="107">
        <f>'28.12'!D66+COUNTIF(D$9:D$39,$C66)</f>
        <v>0</v>
      </c>
      <c r="E66" s="107">
        <f>'28.12'!E66+COUNTIF(E$9:E$39,$C66)</f>
        <v>0</v>
      </c>
      <c r="F66" s="107">
        <f>'28.12'!G66+COUNTIF(F$9:F$39,$C66)</f>
        <v>0</v>
      </c>
      <c r="G66" s="107">
        <f>'28.12'!H66+COUNTIF(G$9:G$39,$C66)</f>
        <v>0</v>
      </c>
      <c r="H66" s="107">
        <f>'28.12'!I66+COUNTIF(H$9:H$39,$C66)</f>
        <v>0</v>
      </c>
    </row>
    <row r="67" spans="1:8" ht="26.25" x14ac:dyDescent="0.4">
      <c r="A67" s="2"/>
      <c r="B67" s="2"/>
      <c r="C67" s="104">
        <f>'01.09'!C65</f>
        <v>0</v>
      </c>
      <c r="D67" s="107">
        <f>'28.12'!D67+COUNTIF(D$9:D$39,$C67)</f>
        <v>0</v>
      </c>
      <c r="E67" s="107">
        <f>'28.12'!E67+COUNTIF(E$9:E$39,$C67)</f>
        <v>0</v>
      </c>
      <c r="F67" s="107">
        <f>'28.12'!G67+COUNTIF(F$9:F$39,$C67)</f>
        <v>0</v>
      </c>
      <c r="G67" s="107">
        <f>'28.12'!H67+COUNTIF(G$9:G$39,$C67)</f>
        <v>0</v>
      </c>
      <c r="H67" s="107">
        <f>'28.12'!I67+COUNTIF(H$9:H$39,$C67)</f>
        <v>0</v>
      </c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</sheetData>
  <mergeCells count="20">
    <mergeCell ref="A7:A8"/>
    <mergeCell ref="B7:B8"/>
    <mergeCell ref="C7:C8"/>
    <mergeCell ref="B1:H1"/>
    <mergeCell ref="B2:H2"/>
    <mergeCell ref="B3:H3"/>
    <mergeCell ref="B4:H4"/>
    <mergeCell ref="A5:H5"/>
    <mergeCell ref="A9:A13"/>
    <mergeCell ref="B9:B13"/>
    <mergeCell ref="A14:A19"/>
    <mergeCell ref="B14:B19"/>
    <mergeCell ref="A20:A24"/>
    <mergeCell ref="B20:B24"/>
    <mergeCell ref="A25:A29"/>
    <mergeCell ref="B25:B29"/>
    <mergeCell ref="A30:A34"/>
    <mergeCell ref="B30:B34"/>
    <mergeCell ref="A35:A39"/>
    <mergeCell ref="B35:B39"/>
  </mergeCells>
  <pageMargins left="0.19685039370078741" right="0.19685039370078741" top="0.19685039370078741" bottom="0.74803149606299213" header="0.19685039370078741" footer="0.31496062992125984"/>
  <pageSetup paperSize="9" scale="27" fitToWidth="0" fitToHeight="0" orientation="portrait" r:id="rId1"/>
  <rowBreaks count="1" manualBreakCount="1">
    <brk id="40" max="7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view="pageBreakPreview" zoomScale="40" zoomScaleNormal="40" zoomScaleSheetLayoutView="40" zoomScalePageLayoutView="40" workbookViewId="0">
      <selection activeCell="E12" sqref="E12"/>
    </sheetView>
  </sheetViews>
  <sheetFormatPr defaultRowHeight="15" x14ac:dyDescent="0.25"/>
  <cols>
    <col min="1" max="1" width="4.42578125" customWidth="1"/>
    <col min="2" max="2" width="8" customWidth="1"/>
    <col min="3" max="3" width="35.42578125" customWidth="1"/>
    <col min="4" max="8" width="63.140625" customWidth="1"/>
  </cols>
  <sheetData>
    <row r="1" spans="1:8" ht="34.5" customHeight="1" x14ac:dyDescent="0.3">
      <c r="A1" s="167"/>
      <c r="B1" s="843" t="s">
        <v>127</v>
      </c>
      <c r="C1" s="843"/>
      <c r="D1" s="843"/>
      <c r="E1" s="843"/>
      <c r="F1" s="843"/>
      <c r="G1" s="843"/>
      <c r="H1" s="843"/>
    </row>
    <row r="2" spans="1:8" ht="34.5" customHeight="1" x14ac:dyDescent="0.3">
      <c r="A2" s="168"/>
      <c r="B2" s="843" t="s">
        <v>91</v>
      </c>
      <c r="C2" s="843"/>
      <c r="D2" s="843"/>
      <c r="E2" s="843"/>
      <c r="F2" s="843"/>
      <c r="G2" s="843"/>
      <c r="H2" s="843"/>
    </row>
    <row r="3" spans="1:8" ht="32.25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</row>
    <row r="4" spans="1:8" ht="34.5" customHeight="1" x14ac:dyDescent="0.25">
      <c r="A4" s="169"/>
      <c r="B4" s="843" t="s">
        <v>112</v>
      </c>
      <c r="C4" s="843"/>
      <c r="D4" s="843"/>
      <c r="E4" s="843"/>
      <c r="F4" s="843"/>
      <c r="G4" s="843"/>
      <c r="H4" s="843"/>
    </row>
    <row r="5" spans="1:8" ht="33.75" customHeight="1" thickBot="1" x14ac:dyDescent="0.3">
      <c r="A5" s="787" t="s">
        <v>128</v>
      </c>
      <c r="B5" s="787"/>
      <c r="C5" s="787"/>
      <c r="D5" s="787"/>
      <c r="E5" s="787"/>
      <c r="F5" s="787"/>
      <c r="G5" s="787"/>
      <c r="H5" s="787"/>
    </row>
    <row r="6" spans="1:8" ht="21" hidden="1" thickBot="1" x14ac:dyDescent="0.35">
      <c r="A6" s="41"/>
      <c r="B6" s="40"/>
      <c r="C6" s="40"/>
      <c r="D6" s="40"/>
      <c r="E6" s="40"/>
      <c r="F6" s="40"/>
      <c r="G6" s="40"/>
      <c r="H6" s="40"/>
    </row>
    <row r="7" spans="1:8" ht="30.75" customHeight="1" thickBot="1" x14ac:dyDescent="0.3">
      <c r="A7" s="866" t="s">
        <v>54</v>
      </c>
      <c r="B7" s="866" t="s">
        <v>14</v>
      </c>
      <c r="C7" s="841" t="s">
        <v>55</v>
      </c>
      <c r="D7" s="230" t="s">
        <v>5</v>
      </c>
      <c r="E7" s="231" t="s">
        <v>6</v>
      </c>
      <c r="F7" s="231" t="s">
        <v>7</v>
      </c>
      <c r="G7" s="231" t="s">
        <v>8</v>
      </c>
      <c r="H7" s="232" t="s">
        <v>9</v>
      </c>
    </row>
    <row r="8" spans="1:8" ht="132" thickBot="1" x14ac:dyDescent="0.3">
      <c r="A8" s="867"/>
      <c r="B8" s="867"/>
      <c r="C8" s="842"/>
      <c r="D8" s="283" t="s">
        <v>113</v>
      </c>
      <c r="E8" s="569" t="s">
        <v>137</v>
      </c>
      <c r="F8" s="352" t="s">
        <v>134</v>
      </c>
      <c r="G8" s="352" t="s">
        <v>98</v>
      </c>
      <c r="H8" s="421" t="s">
        <v>82</v>
      </c>
    </row>
    <row r="9" spans="1:8" ht="102.75" customHeight="1" x14ac:dyDescent="0.25">
      <c r="A9" s="928" t="s">
        <v>0</v>
      </c>
      <c r="B9" s="859">
        <v>46188</v>
      </c>
      <c r="C9" s="200" t="s">
        <v>10</v>
      </c>
      <c r="D9" s="298"/>
      <c r="E9" s="282"/>
      <c r="F9" s="282"/>
      <c r="G9" s="596"/>
      <c r="H9" s="344"/>
    </row>
    <row r="10" spans="1:8" ht="102.75" customHeight="1" x14ac:dyDescent="0.25">
      <c r="A10" s="931"/>
      <c r="B10" s="858"/>
      <c r="C10" s="201" t="s">
        <v>11</v>
      </c>
      <c r="D10" s="267"/>
      <c r="E10" s="265"/>
      <c r="F10" s="351"/>
      <c r="G10" s="351"/>
      <c r="H10" s="520"/>
    </row>
    <row r="11" spans="1:8" ht="102.75" customHeight="1" x14ac:dyDescent="0.25">
      <c r="A11" s="931"/>
      <c r="B11" s="858"/>
      <c r="C11" s="201" t="s">
        <v>12</v>
      </c>
      <c r="D11" s="546"/>
      <c r="E11" s="351"/>
      <c r="F11" s="351"/>
      <c r="G11" s="444"/>
      <c r="H11" s="478"/>
    </row>
    <row r="12" spans="1:8" ht="102.75" customHeight="1" x14ac:dyDescent="0.25">
      <c r="A12" s="931"/>
      <c r="B12" s="858"/>
      <c r="C12" s="201" t="s">
        <v>13</v>
      </c>
      <c r="D12" s="353"/>
      <c r="E12" s="351"/>
      <c r="F12" s="351"/>
      <c r="G12" s="432"/>
      <c r="H12" s="270"/>
    </row>
    <row r="13" spans="1:8" ht="54" customHeight="1" thickBot="1" x14ac:dyDescent="0.3">
      <c r="A13" s="931"/>
      <c r="B13" s="934"/>
      <c r="C13" s="551" t="s">
        <v>15</v>
      </c>
      <c r="D13" s="532"/>
      <c r="E13" s="312"/>
      <c r="F13" s="312"/>
      <c r="G13" s="312"/>
      <c r="H13" s="335"/>
    </row>
    <row r="14" spans="1:8" ht="102.75" customHeight="1" x14ac:dyDescent="0.25">
      <c r="A14" s="928" t="s">
        <v>1</v>
      </c>
      <c r="B14" s="957">
        <f>B9+1</f>
        <v>46189</v>
      </c>
      <c r="C14" s="200" t="s">
        <v>10</v>
      </c>
      <c r="D14" s="439"/>
      <c r="E14" s="282"/>
      <c r="F14" s="349"/>
      <c r="G14" s="286"/>
      <c r="H14" s="303"/>
    </row>
    <row r="15" spans="1:8" ht="102.75" customHeight="1" x14ac:dyDescent="0.25">
      <c r="A15" s="931"/>
      <c r="B15" s="958"/>
      <c r="C15" s="201" t="s">
        <v>11</v>
      </c>
      <c r="D15" s="353"/>
      <c r="E15" s="234"/>
      <c r="F15" s="351"/>
      <c r="G15" s="265"/>
      <c r="H15" s="266"/>
    </row>
    <row r="16" spans="1:8" ht="102.75" customHeight="1" x14ac:dyDescent="0.25">
      <c r="A16" s="931"/>
      <c r="B16" s="958"/>
      <c r="C16" s="201" t="s">
        <v>12</v>
      </c>
      <c r="D16" s="353"/>
      <c r="E16" s="265"/>
      <c r="F16" s="265"/>
      <c r="G16" s="265"/>
      <c r="H16" s="460"/>
    </row>
    <row r="17" spans="1:10" ht="65.25" customHeight="1" x14ac:dyDescent="0.25">
      <c r="A17" s="931"/>
      <c r="B17" s="958"/>
      <c r="C17" s="201" t="s">
        <v>13</v>
      </c>
      <c r="D17" s="353"/>
      <c r="E17" s="265"/>
      <c r="F17" s="265"/>
      <c r="G17" s="265"/>
      <c r="H17" s="460"/>
    </row>
    <row r="18" spans="1:10" ht="65.25" customHeight="1" x14ac:dyDescent="0.25">
      <c r="A18" s="931"/>
      <c r="B18" s="958"/>
      <c r="C18" s="201" t="s">
        <v>15</v>
      </c>
      <c r="D18" s="392"/>
      <c r="E18" s="265"/>
      <c r="F18" s="265"/>
      <c r="G18" s="265"/>
      <c r="H18" s="460"/>
    </row>
    <row r="19" spans="1:10" ht="65.25" customHeight="1" thickBot="1" x14ac:dyDescent="0.3">
      <c r="A19" s="932"/>
      <c r="B19" s="959"/>
      <c r="C19" s="551" t="s">
        <v>64</v>
      </c>
      <c r="D19" s="512"/>
      <c r="E19" s="471"/>
      <c r="F19" s="513"/>
      <c r="G19" s="513"/>
      <c r="H19" s="514"/>
      <c r="J19" s="3"/>
    </row>
    <row r="20" spans="1:10" ht="76.5" customHeight="1" x14ac:dyDescent="0.25">
      <c r="A20" s="931" t="s">
        <v>2</v>
      </c>
      <c r="B20" s="933">
        <f>B14+1</f>
        <v>46190</v>
      </c>
      <c r="C20" s="200" t="s">
        <v>10</v>
      </c>
      <c r="D20" s="508"/>
      <c r="E20" s="436"/>
      <c r="F20" s="351"/>
      <c r="G20" s="436"/>
      <c r="H20" s="437"/>
    </row>
    <row r="21" spans="1:10" ht="76.5" customHeight="1" x14ac:dyDescent="0.25">
      <c r="A21" s="931"/>
      <c r="B21" s="858"/>
      <c r="C21" s="201" t="s">
        <v>11</v>
      </c>
      <c r="D21" s="264"/>
      <c r="E21" s="265"/>
      <c r="F21" s="265"/>
      <c r="G21" s="265"/>
      <c r="H21" s="266"/>
    </row>
    <row r="22" spans="1:10" ht="101.25" customHeight="1" x14ac:dyDescent="0.25">
      <c r="A22" s="931"/>
      <c r="B22" s="858"/>
      <c r="C22" s="201" t="s">
        <v>12</v>
      </c>
      <c r="D22" s="353"/>
      <c r="E22" s="377"/>
      <c r="F22" s="265"/>
      <c r="G22" s="265"/>
      <c r="H22" s="460"/>
      <c r="J22" s="3"/>
    </row>
    <row r="23" spans="1:10" ht="112.5" customHeight="1" x14ac:dyDescent="0.25">
      <c r="A23" s="931"/>
      <c r="B23" s="858"/>
      <c r="C23" s="201" t="s">
        <v>13</v>
      </c>
      <c r="D23" s="353"/>
      <c r="E23" s="351"/>
      <c r="F23" s="265"/>
      <c r="G23" s="265"/>
      <c r="H23" s="478"/>
    </row>
    <row r="24" spans="1:10" ht="61.5" customHeight="1" thickBot="1" x14ac:dyDescent="0.3">
      <c r="A24" s="932"/>
      <c r="B24" s="860"/>
      <c r="C24" s="551" t="s">
        <v>15</v>
      </c>
      <c r="D24" s="543"/>
      <c r="E24" s="515"/>
      <c r="F24" s="557"/>
      <c r="G24" s="557"/>
      <c r="H24" s="558"/>
    </row>
    <row r="25" spans="1:10" ht="76.5" customHeight="1" x14ac:dyDescent="0.25">
      <c r="A25" s="928" t="s">
        <v>3</v>
      </c>
      <c r="B25" s="960">
        <f>B20+1</f>
        <v>46191</v>
      </c>
      <c r="C25" s="252" t="s">
        <v>10</v>
      </c>
      <c r="D25" s="285"/>
      <c r="E25" s="286"/>
      <c r="F25" s="286"/>
      <c r="G25" s="286"/>
      <c r="H25" s="303"/>
    </row>
    <row r="26" spans="1:10" ht="76.5" customHeight="1" x14ac:dyDescent="0.25">
      <c r="A26" s="939"/>
      <c r="B26" s="958"/>
      <c r="C26" s="253" t="s">
        <v>11</v>
      </c>
      <c r="D26" s="179"/>
      <c r="E26" s="234"/>
      <c r="F26" s="234"/>
      <c r="G26" s="234"/>
      <c r="H26" s="268"/>
    </row>
    <row r="27" spans="1:10" ht="120" customHeight="1" x14ac:dyDescent="0.25">
      <c r="A27" s="939"/>
      <c r="B27" s="958"/>
      <c r="C27" s="253" t="s">
        <v>12</v>
      </c>
      <c r="D27" s="353"/>
      <c r="E27" s="351"/>
      <c r="F27" s="351"/>
      <c r="G27" s="351"/>
      <c r="H27" s="268"/>
    </row>
    <row r="28" spans="1:10" ht="120" customHeight="1" x14ac:dyDescent="0.25">
      <c r="A28" s="939"/>
      <c r="B28" s="958"/>
      <c r="C28" s="253" t="s">
        <v>13</v>
      </c>
      <c r="D28" s="353"/>
      <c r="E28" s="351"/>
      <c r="F28" s="351"/>
      <c r="G28" s="351"/>
      <c r="H28" s="520"/>
    </row>
    <row r="29" spans="1:10" ht="40.5" customHeight="1" thickBot="1" x14ac:dyDescent="0.3">
      <c r="A29" s="940"/>
      <c r="B29" s="958"/>
      <c r="C29" s="254" t="s">
        <v>15</v>
      </c>
      <c r="D29" s="559"/>
      <c r="E29" s="560"/>
      <c r="F29" s="560"/>
      <c r="G29" s="560"/>
      <c r="H29" s="561"/>
    </row>
    <row r="30" spans="1:10" ht="108" customHeight="1" x14ac:dyDescent="0.25">
      <c r="A30" s="936" t="s">
        <v>4</v>
      </c>
      <c r="B30" s="881">
        <f>B25+1</f>
        <v>46192</v>
      </c>
      <c r="C30" s="556" t="s">
        <v>10</v>
      </c>
      <c r="D30" s="276"/>
      <c r="E30" s="282"/>
      <c r="F30" s="277"/>
      <c r="G30" s="343"/>
      <c r="H30" s="278"/>
    </row>
    <row r="31" spans="1:10" ht="108" customHeight="1" x14ac:dyDescent="0.25">
      <c r="A31" s="937"/>
      <c r="B31" s="882"/>
      <c r="C31" s="253" t="s">
        <v>11</v>
      </c>
      <c r="D31" s="546"/>
      <c r="E31" s="233"/>
      <c r="F31" s="233"/>
      <c r="G31" s="432"/>
      <c r="H31" s="270"/>
    </row>
    <row r="32" spans="1:10" ht="105" customHeight="1" x14ac:dyDescent="0.25">
      <c r="A32" s="937"/>
      <c r="B32" s="882"/>
      <c r="C32" s="253" t="s">
        <v>12</v>
      </c>
      <c r="D32" s="546"/>
      <c r="E32" s="234"/>
      <c r="F32" s="234"/>
      <c r="G32" s="234"/>
      <c r="H32" s="268"/>
    </row>
    <row r="33" spans="1:12" ht="105" customHeight="1" x14ac:dyDescent="0.25">
      <c r="A33" s="937"/>
      <c r="B33" s="882"/>
      <c r="C33" s="253" t="s">
        <v>13</v>
      </c>
      <c r="D33" s="267"/>
      <c r="E33" s="234"/>
      <c r="F33" s="234"/>
      <c r="G33" s="265"/>
      <c r="H33" s="268"/>
    </row>
    <row r="34" spans="1:12" ht="48" customHeight="1" thickBot="1" x14ac:dyDescent="0.3">
      <c r="A34" s="938"/>
      <c r="B34" s="882"/>
      <c r="C34" s="254" t="s">
        <v>15</v>
      </c>
      <c r="D34" s="271"/>
      <c r="E34" s="272"/>
      <c r="F34" s="272"/>
      <c r="G34" s="272"/>
      <c r="H34" s="273"/>
    </row>
    <row r="35" spans="1:12" ht="55.5" customHeight="1" x14ac:dyDescent="0.25">
      <c r="A35" s="935" t="s">
        <v>47</v>
      </c>
      <c r="B35" s="881">
        <f>B30+1</f>
        <v>46193</v>
      </c>
      <c r="C35" s="203" t="s">
        <v>10</v>
      </c>
      <c r="D35" s="562"/>
      <c r="E35" s="563"/>
      <c r="F35" s="563"/>
      <c r="G35" s="563"/>
      <c r="H35" s="564"/>
    </row>
    <row r="36" spans="1:12" ht="55.5" customHeight="1" x14ac:dyDescent="0.25">
      <c r="A36" s="882"/>
      <c r="B36" s="882"/>
      <c r="C36" s="201" t="s">
        <v>11</v>
      </c>
      <c r="D36" s="328"/>
      <c r="E36" s="324"/>
      <c r="F36" s="324"/>
      <c r="G36" s="324"/>
      <c r="H36" s="329"/>
    </row>
    <row r="37" spans="1:12" ht="55.5" customHeight="1" x14ac:dyDescent="0.25">
      <c r="A37" s="882"/>
      <c r="B37" s="882"/>
      <c r="C37" s="201" t="s">
        <v>12</v>
      </c>
      <c r="D37" s="328"/>
      <c r="E37" s="324"/>
      <c r="F37" s="324"/>
      <c r="G37" s="324"/>
      <c r="H37" s="330"/>
    </row>
    <row r="38" spans="1:12" ht="55.5" customHeight="1" x14ac:dyDescent="0.25">
      <c r="A38" s="882"/>
      <c r="B38" s="882"/>
      <c r="C38" s="201" t="s">
        <v>13</v>
      </c>
      <c r="D38" s="328"/>
      <c r="E38" s="324"/>
      <c r="F38" s="324"/>
      <c r="G38" s="324"/>
      <c r="H38" s="329"/>
    </row>
    <row r="39" spans="1:12" ht="55.5" customHeight="1" thickBot="1" x14ac:dyDescent="0.3">
      <c r="A39" s="883"/>
      <c r="B39" s="883"/>
      <c r="C39" s="202" t="s">
        <v>15</v>
      </c>
      <c r="D39" s="331"/>
      <c r="E39" s="332"/>
      <c r="F39" s="332"/>
      <c r="G39" s="332"/>
      <c r="H39" s="333"/>
    </row>
    <row r="40" spans="1:12" ht="28.5" customHeight="1" x14ac:dyDescent="0.3">
      <c r="A40" s="2"/>
      <c r="B40" s="2"/>
      <c r="C40" s="44"/>
      <c r="D40" s="170" t="s">
        <v>86</v>
      </c>
      <c r="E40" s="44"/>
      <c r="F40" s="44"/>
      <c r="G40" s="44"/>
      <c r="H40" s="44"/>
    </row>
    <row r="41" spans="1:12" s="19" customFormat="1" ht="28.5" customHeight="1" x14ac:dyDescent="0.4">
      <c r="A41" s="18"/>
      <c r="B41" s="204">
        <v>11</v>
      </c>
      <c r="C41" s="413" t="str">
        <f>'01.09'!C39</f>
        <v>*Л. Речевое общение в профессиональной деятельности*</v>
      </c>
      <c r="D41" s="107">
        <f>'08.06'!D41+COUNTIF(D$9:D$39,$C41)</f>
        <v>5</v>
      </c>
      <c r="E41" s="107">
        <f>'08.06'!E41+COUNTIF(E$9:E$39,$C41)</f>
        <v>5</v>
      </c>
      <c r="F41" s="107">
        <f>'08.06'!F41+COUNTIF(F$9:F$39,$C41)</f>
        <v>5</v>
      </c>
      <c r="G41" s="107">
        <f>'08.06'!G41+COUNTIF(G$9:G$39,$C41)</f>
        <v>5</v>
      </c>
      <c r="H41" s="107">
        <f>'08.06'!H41+COUNTIF(H$9:H$39,$C41)</f>
        <v>5</v>
      </c>
    </row>
    <row r="42" spans="1:12" s="19" customFormat="1" ht="28.5" customHeight="1" x14ac:dyDescent="0.4">
      <c r="A42" s="18"/>
      <c r="B42" s="204">
        <v>11</v>
      </c>
      <c r="C42" s="413" t="str">
        <f>'01.09'!C40</f>
        <v>*Пр. Речевое общение в профессиональной деятельности*</v>
      </c>
      <c r="D42" s="107">
        <f>'08.06'!D42+COUNTIF(D$9:D$39,$C42)</f>
        <v>4</v>
      </c>
      <c r="E42" s="217">
        <f>'08.06'!E42+COUNTIF(E$9:E$39,$C42)</f>
        <v>4</v>
      </c>
      <c r="F42" s="107">
        <f>'08.06'!F42+COUNTIF(F$9:F$39,$C42)</f>
        <v>4</v>
      </c>
      <c r="G42" s="107">
        <f>'08.06'!G42+COUNTIF(G$9:G$39,$C42)</f>
        <v>4</v>
      </c>
      <c r="H42" s="107">
        <f>'08.06'!H42+COUNTIF(H$9:H$39,$C42)</f>
        <v>4</v>
      </c>
    </row>
    <row r="43" spans="1:12" s="19" customFormat="1" ht="28.5" customHeight="1" x14ac:dyDescent="0.4">
      <c r="A43" s="18"/>
      <c r="B43" s="205">
        <v>1</v>
      </c>
      <c r="C43" s="413" t="str">
        <f>'01.09'!C41</f>
        <v>*Л. Элективные дисциплины по ФКиС: Силовая подготовка*</v>
      </c>
      <c r="D43" s="107">
        <f>'08.06'!D43+COUNTIF(D$9:D$39,$C43)</f>
        <v>1</v>
      </c>
      <c r="E43" s="107">
        <f>'08.06'!E43+COUNTIF(E$9:E$39,$C43)</f>
        <v>1</v>
      </c>
      <c r="F43" s="107">
        <f>'08.06'!F43+COUNTIF(F$9:F$39,$C43)</f>
        <v>1</v>
      </c>
      <c r="G43" s="107">
        <f>'08.06'!G43+COUNTIF(G$9:G$39,$C43)</f>
        <v>1</v>
      </c>
      <c r="H43" s="107">
        <f>'08.06'!H43+COUNTIF(H$9:H$39,$C43)</f>
        <v>1</v>
      </c>
    </row>
    <row r="44" spans="1:12" s="19" customFormat="1" ht="28.5" customHeight="1" x14ac:dyDescent="0.4">
      <c r="A44" s="18"/>
      <c r="B44" s="205">
        <v>9</v>
      </c>
      <c r="C44" s="413" t="str">
        <f>'01.09'!C42</f>
        <v>*Пр. Элективные дисциплины по ФКиС: Силовая подготовка*</v>
      </c>
      <c r="D44" s="107">
        <f>'08.06'!D44+COUNTIF(D$9:D$39,$C44)</f>
        <v>8</v>
      </c>
      <c r="E44" s="107">
        <f>'08.06'!E44+COUNTIF(E$9:E$39,$C44)</f>
        <v>9</v>
      </c>
      <c r="F44" s="107">
        <f>'08.06'!F44+COUNTIF(F$9:F$39,$C44)</f>
        <v>9</v>
      </c>
      <c r="G44" s="107">
        <f>'08.06'!G44+COUNTIF(G$9:G$39,$C44)</f>
        <v>9</v>
      </c>
      <c r="H44" s="107">
        <f>'08.06'!H44+COUNTIF(H$9:H$39,$C44)</f>
        <v>8</v>
      </c>
    </row>
    <row r="45" spans="1:12" s="19" customFormat="1" ht="28.5" customHeight="1" x14ac:dyDescent="0.4">
      <c r="A45" s="18"/>
      <c r="B45" s="204">
        <v>8</v>
      </c>
      <c r="C45" s="413" t="str">
        <f>'01.09'!C43</f>
        <v>*Л. Анатомия*</v>
      </c>
      <c r="D45" s="107">
        <f>'08.06'!D45+COUNTIF(D$9:D$39,$C45)</f>
        <v>4</v>
      </c>
      <c r="E45" s="107">
        <f>'08.06'!E45+COUNTIF(E$9:E$39,$C45)</f>
        <v>4</v>
      </c>
      <c r="F45" s="107">
        <f>'08.06'!F45+COUNTIF(F$9:F$39,$C45)</f>
        <v>4</v>
      </c>
      <c r="G45" s="107">
        <f>'08.06'!G45+COUNTIF(G$9:G$39,$C45)</f>
        <v>4</v>
      </c>
      <c r="H45" s="107">
        <f>'08.06'!H45+COUNTIF(H$9:H$39,$C45)</f>
        <v>4</v>
      </c>
    </row>
    <row r="46" spans="1:12" s="19" customFormat="1" ht="28.5" customHeight="1" thickBot="1" x14ac:dyDescent="0.45">
      <c r="A46" s="18"/>
      <c r="B46" s="204">
        <v>24</v>
      </c>
      <c r="C46" s="547" t="str">
        <f>'01.09'!C44</f>
        <v>*Пр. Анатомия*</v>
      </c>
      <c r="D46" s="521">
        <f>'08.06'!D46+COUNTIF(D$9:D$39,$C46)</f>
        <v>4</v>
      </c>
      <c r="E46" s="521">
        <f>'08.06'!E46+COUNTIF(E$9:E$39,$C46)</f>
        <v>4</v>
      </c>
      <c r="F46" s="521">
        <f>'08.06'!F46+COUNTIF(F$9:F$39,$C46)</f>
        <v>4</v>
      </c>
      <c r="G46" s="521">
        <f>'08.06'!G46+COUNTIF(G$9:G$39,$C46)</f>
        <v>4</v>
      </c>
      <c r="H46" s="521">
        <f>'08.06'!H46+COUNTIF(H$9:H$39,$C46)</f>
        <v>4</v>
      </c>
    </row>
    <row r="47" spans="1:12" s="19" customFormat="1" ht="26.25" x14ac:dyDescent="0.4">
      <c r="A47" s="18"/>
      <c r="B47" s="524">
        <v>5</v>
      </c>
      <c r="C47" s="548" t="str">
        <f>'01.09'!C45</f>
        <v>*Л. Теория и методика*</v>
      </c>
      <c r="D47" s="525">
        <f>'08.06'!D47+COUNTIF(D$9:D$39,$C47)</f>
        <v>5</v>
      </c>
      <c r="E47" s="525">
        <f>'08.06'!E47+COUNTIF(E$9:E$39,$C47)</f>
        <v>4</v>
      </c>
      <c r="F47" s="525">
        <f>'08.06'!F47+COUNTIF(F$9:F$39,$C47)</f>
        <v>4</v>
      </c>
      <c r="G47" s="525">
        <f>'08.06'!G47+COUNTIF(G$9:G$39,$C47)</f>
        <v>5</v>
      </c>
      <c r="H47" s="525">
        <f>'08.06'!H47+COUNTIF(H$9:H$39,$C47)</f>
        <v>3</v>
      </c>
      <c r="I47" s="945"/>
      <c r="J47" s="946"/>
      <c r="K47" s="946"/>
      <c r="L47" s="947"/>
    </row>
    <row r="48" spans="1:12" s="19" customFormat="1" ht="27" thickBot="1" x14ac:dyDescent="0.45">
      <c r="A48" s="18"/>
      <c r="B48" s="549">
        <v>50</v>
      </c>
      <c r="C48" s="550" t="str">
        <f>'01.09'!C46</f>
        <v>*Пр. Теория и методика*</v>
      </c>
      <c r="D48" s="526">
        <f>'08.06'!D48+COUNTIF(D$9:D$39,$C48)</f>
        <v>24</v>
      </c>
      <c r="E48" s="526">
        <f>'08.06'!E48+COUNTIF(E$9:E$39,$C48)</f>
        <v>23</v>
      </c>
      <c r="F48" s="526">
        <f>'08.06'!F48+COUNTIF(F$9:F$39,$C48)</f>
        <v>23</v>
      </c>
      <c r="G48" s="526">
        <f>'08.06'!G48+COUNTIF(G$9:G$39,$C48)</f>
        <v>26</v>
      </c>
      <c r="H48" s="526">
        <f>'08.06'!H48+COUNTIF(H$9:H$39,$C48)</f>
        <v>20</v>
      </c>
      <c r="I48" s="948"/>
      <c r="J48" s="949"/>
      <c r="K48" s="949"/>
      <c r="L48" s="950"/>
    </row>
    <row r="49" spans="1:12" s="19" customFormat="1" ht="26.25" x14ac:dyDescent="0.4">
      <c r="A49" s="18"/>
      <c r="B49" s="204">
        <v>5</v>
      </c>
      <c r="C49" s="597" t="str">
        <f>'01.09'!C47</f>
        <v>*Л. Физическая культура и спорт*</v>
      </c>
      <c r="D49" s="523">
        <f>'08.06'!D49+COUNTIF(D$9:D$39,$C49)</f>
        <v>5</v>
      </c>
      <c r="E49" s="523">
        <f>'08.06'!E49+COUNTIF(E$9:E$39,$C49)</f>
        <v>5</v>
      </c>
      <c r="F49" s="523">
        <f>'08.06'!F49+COUNTIF(F$9:F$39,$C49)</f>
        <v>5</v>
      </c>
      <c r="G49" s="523">
        <f>'08.06'!G49+COUNTIF(G$9:G$39,$C49)</f>
        <v>5</v>
      </c>
      <c r="H49" s="523">
        <f>'08.06'!H49+COUNTIF(H$9:H$39,$C49)</f>
        <v>5</v>
      </c>
    </row>
    <row r="50" spans="1:12" s="19" customFormat="1" ht="26.25" x14ac:dyDescent="0.4">
      <c r="A50" s="18"/>
      <c r="B50" s="204">
        <v>11</v>
      </c>
      <c r="C50" s="413" t="str">
        <f>'01.09'!C48</f>
        <v>*Пр. Физическая культура и спорт*</v>
      </c>
      <c r="D50" s="107">
        <f>'08.06'!D50+COUNTIF(D$9:D$39,$C50)</f>
        <v>5</v>
      </c>
      <c r="E50" s="107">
        <f>'08.06'!E50+COUNTIF(E$9:E$39,$C50)</f>
        <v>5</v>
      </c>
      <c r="F50" s="107">
        <f>'08.06'!F50+COUNTIF(F$9:F$39,$C50)</f>
        <v>5</v>
      </c>
      <c r="G50" s="107">
        <f>'08.06'!G50+COUNTIF(G$9:G$39,$C50)</f>
        <v>5</v>
      </c>
      <c r="H50" s="107">
        <f>'08.06'!H50+COUNTIF(H$9:H$39,$C50)</f>
        <v>5</v>
      </c>
    </row>
    <row r="51" spans="1:12" s="19" customFormat="1" ht="26.25" x14ac:dyDescent="0.4">
      <c r="A51" s="18"/>
      <c r="B51" s="204">
        <v>5</v>
      </c>
      <c r="C51" s="413" t="str">
        <f>'01.09'!C49</f>
        <v>*Л. Информационные технологии*</v>
      </c>
      <c r="D51" s="107">
        <f>'08.06'!D51+COUNTIF(D$9:D$39,$C51)</f>
        <v>2</v>
      </c>
      <c r="E51" s="107">
        <f>'08.06'!E51+COUNTIF(E$9:E$39,$C51)</f>
        <v>2</v>
      </c>
      <c r="F51" s="107">
        <f>'08.06'!F51+COUNTIF(F$9:F$39,$C51)</f>
        <v>2</v>
      </c>
      <c r="G51" s="107">
        <f>'08.06'!G51+COUNTIF(G$9:G$39,$C51)</f>
        <v>2</v>
      </c>
      <c r="H51" s="107">
        <f>'08.06'!H51+COUNTIF(H$9:H$39,$C51)</f>
        <v>2</v>
      </c>
    </row>
    <row r="52" spans="1:12" s="19" customFormat="1" ht="26.25" x14ac:dyDescent="0.4">
      <c r="A52" s="18"/>
      <c r="B52" s="204">
        <v>11</v>
      </c>
      <c r="C52" s="413" t="str">
        <f>'01.09'!C50</f>
        <v>*Пр. Информационные технологии*</v>
      </c>
      <c r="D52" s="107">
        <f>'08.06'!D52+COUNTIF(D$9:D$39,$C52)</f>
        <v>8</v>
      </c>
      <c r="E52" s="107">
        <f>'08.06'!E52+COUNTIF(E$9:E$39,$C52)</f>
        <v>8</v>
      </c>
      <c r="F52" s="107">
        <f>'08.06'!F52+COUNTIF(F$9:F$39,$C52)</f>
        <v>8</v>
      </c>
      <c r="G52" s="107">
        <f>'08.06'!G52+COUNTIF(G$9:G$39,$C52)</f>
        <v>8</v>
      </c>
      <c r="H52" s="107">
        <f>'08.06'!H52+COUNTIF(H$9:H$39,$C52)</f>
        <v>8</v>
      </c>
    </row>
    <row r="53" spans="1:12" s="19" customFormat="1" ht="26.25" x14ac:dyDescent="0.4">
      <c r="A53" s="18"/>
      <c r="B53" s="204">
        <v>16</v>
      </c>
      <c r="C53" s="413" t="str">
        <f>'01.09'!C51</f>
        <v>*Л. Гимнастика*</v>
      </c>
      <c r="D53" s="107">
        <f>'08.06'!D53+COUNTIF(D$9:D$39,$C53)</f>
        <v>3</v>
      </c>
      <c r="E53" s="107">
        <f>'08.06'!E53+COUNTIF(E$9:E$39,$C53)</f>
        <v>3</v>
      </c>
      <c r="F53" s="107">
        <f>'08.06'!F53+COUNTIF(F$9:F$39,$C53)</f>
        <v>3</v>
      </c>
      <c r="G53" s="107">
        <f>'08.06'!G53+COUNTIF(G$9:G$39,$C53)</f>
        <v>3</v>
      </c>
      <c r="H53" s="107">
        <f>'08.06'!H53+COUNTIF(H$9:H$39,$C53)</f>
        <v>3</v>
      </c>
    </row>
    <row r="54" spans="1:12" s="19" customFormat="1" ht="26.25" x14ac:dyDescent="0.4">
      <c r="A54" s="18"/>
      <c r="B54" s="499">
        <v>17</v>
      </c>
      <c r="C54" s="413" t="str">
        <f>'01.09'!C52</f>
        <v>*Пр. Гимнастика*</v>
      </c>
      <c r="D54" s="107">
        <f>'08.06'!D54+COUNTIF(D$9:D$39,$C54)</f>
        <v>8</v>
      </c>
      <c r="E54" s="107">
        <f>'08.06'!E54+COUNTIF(E$9:E$39,$C54)</f>
        <v>13</v>
      </c>
      <c r="F54" s="107">
        <f>'08.06'!F54+COUNTIF(F$9:F$39,$C54)</f>
        <v>12</v>
      </c>
      <c r="G54" s="107">
        <f>'08.06'!G54+COUNTIF(G$9:G$39,$C54)</f>
        <v>13</v>
      </c>
      <c r="H54" s="107">
        <f>'08.06'!H54+COUNTIF(H$9:H$39,$C54)</f>
        <v>12</v>
      </c>
    </row>
    <row r="55" spans="1:12" s="19" customFormat="1" ht="26.25" x14ac:dyDescent="0.4">
      <c r="A55" s="18"/>
      <c r="B55" s="204">
        <v>3</v>
      </c>
      <c r="C55" s="413" t="str">
        <f>'01.09'!C53</f>
        <v>*Л. Волейбол*</v>
      </c>
      <c r="D55" s="107">
        <f>'08.06'!D55+COUNTIF(D$9:D$39,$C55)</f>
        <v>1</v>
      </c>
      <c r="E55" s="107">
        <f>'08.06'!E55+COUNTIF(E$9:E$39,$C55)</f>
        <v>1</v>
      </c>
      <c r="F55" s="107">
        <f>'08.06'!F55+COUNTIF(F$9:F$39,$C55)</f>
        <v>1</v>
      </c>
      <c r="G55" s="107">
        <f>'08.06'!G55+COUNTIF(G$9:G$39,$C55)</f>
        <v>1</v>
      </c>
      <c r="H55" s="107">
        <f>'08.06'!H55+COUNTIF(H$9:H$39,$C55)</f>
        <v>1</v>
      </c>
    </row>
    <row r="56" spans="1:12" s="19" customFormat="1" ht="26.25" x14ac:dyDescent="0.4">
      <c r="A56" s="18"/>
      <c r="B56" s="204">
        <v>13</v>
      </c>
      <c r="C56" s="413" t="str">
        <f>'01.09'!C54</f>
        <v>*Пр. Волейбол*</v>
      </c>
      <c r="D56" s="107">
        <f>'08.06'!D56+COUNTIF(D$9:D$39,$C56)</f>
        <v>16</v>
      </c>
      <c r="E56" s="107">
        <f>'08.06'!E56+COUNTIF(E$9:E$39,$C56)</f>
        <v>16</v>
      </c>
      <c r="F56" s="107">
        <f>'08.06'!F56+COUNTIF(F$9:F$39,$C56)</f>
        <v>8</v>
      </c>
      <c r="G56" s="107">
        <f>'08.06'!G56+COUNTIF(G$9:G$39,$C56)</f>
        <v>16</v>
      </c>
      <c r="H56" s="107">
        <f>'08.06'!H56+COUNTIF(H$9:H$39,$C56)</f>
        <v>16</v>
      </c>
    </row>
    <row r="57" spans="1:12" s="19" customFormat="1" ht="26.25" x14ac:dyDescent="0.4">
      <c r="A57" s="18"/>
      <c r="B57" s="204">
        <v>1</v>
      </c>
      <c r="C57" s="413" t="str">
        <f>'01.09'!C55</f>
        <v>*Л. Лыжные гонки*</v>
      </c>
      <c r="D57" s="107">
        <f>'08.06'!D57+COUNTIF(D$9:D$39,$C57)</f>
        <v>0</v>
      </c>
      <c r="E57" s="107">
        <f>'08.06'!E57+COUNTIF(E$9:E$39,$C57)</f>
        <v>0</v>
      </c>
      <c r="F57" s="107">
        <f>'08.06'!F57+COUNTIF(F$9:F$39,$C57)</f>
        <v>0</v>
      </c>
      <c r="G57" s="107">
        <f>'08.06'!G57+COUNTIF(G$9:G$39,$C57)</f>
        <v>0</v>
      </c>
      <c r="H57" s="107">
        <f>'08.06'!H57+COUNTIF(H$9:H$39,$C57)</f>
        <v>0</v>
      </c>
    </row>
    <row r="58" spans="1:12" s="19" customFormat="1" ht="26.25" x14ac:dyDescent="0.4">
      <c r="A58" s="18"/>
      <c r="B58" s="204">
        <v>23</v>
      </c>
      <c r="C58" s="413" t="str">
        <f>'01.09'!C56</f>
        <v>*Пр. Лыжные гонки*</v>
      </c>
      <c r="D58" s="107">
        <f>'08.06'!D58+COUNTIF(D$9:D$39,$C58)</f>
        <v>0</v>
      </c>
      <c r="E58" s="107">
        <f>'08.06'!E58+COUNTIF(E$9:E$39,$C58)</f>
        <v>0</v>
      </c>
      <c r="F58" s="107">
        <f>'08.06'!F58+COUNTIF(F$9:F$39,$C58)</f>
        <v>0</v>
      </c>
      <c r="G58" s="107">
        <f>'08.06'!G58+COUNTIF(G$9:G$39,$C58)</f>
        <v>0</v>
      </c>
      <c r="H58" s="107">
        <f>'08.06'!H58+COUNTIF(H$9:H$39,$C58)</f>
        <v>0</v>
      </c>
    </row>
    <row r="59" spans="1:12" s="19" customFormat="1" ht="26.25" x14ac:dyDescent="0.4">
      <c r="A59" s="18"/>
      <c r="B59" s="204">
        <v>1</v>
      </c>
      <c r="C59" s="413" t="str">
        <f>'01.09'!C57</f>
        <v>*Л. Использование электронной*</v>
      </c>
      <c r="D59" s="107">
        <f>'08.06'!D59+COUNTIF(D$9:D$39,$C59)</f>
        <v>1</v>
      </c>
      <c r="E59" s="107">
        <f>'08.06'!E59+COUNTIF(E$9:E$39,$C59)</f>
        <v>0</v>
      </c>
      <c r="F59" s="107">
        <f>'08.06'!F59+COUNTIF(F$9:F$39,$C59)</f>
        <v>0</v>
      </c>
      <c r="G59" s="107">
        <f>'08.06'!G59+COUNTIF(G$9:G$39,$C59)</f>
        <v>0</v>
      </c>
      <c r="H59" s="107">
        <f>'08.06'!H59+COUNTIF(H$9:H$39,$C59)</f>
        <v>0</v>
      </c>
    </row>
    <row r="60" spans="1:12" s="19" customFormat="1" ht="27" thickBot="1" x14ac:dyDescent="0.45">
      <c r="A60" s="18"/>
      <c r="B60" s="204">
        <v>23</v>
      </c>
      <c r="C60" s="547" t="str">
        <f>'01.09'!C58</f>
        <v>*Пр. Использование электронной*</v>
      </c>
      <c r="D60" s="521">
        <f>'08.06'!D60+COUNTIF(D$9:D$39,$C60)</f>
        <v>2</v>
      </c>
      <c r="E60" s="521">
        <f>'08.06'!E60+COUNTIF(E$9:E$39,$C60)</f>
        <v>2</v>
      </c>
      <c r="F60" s="521">
        <f>'08.06'!F60+COUNTIF(F$9:F$39,$C60)</f>
        <v>2</v>
      </c>
      <c r="G60" s="521">
        <f>'08.06'!G60+COUNTIF(G$9:G$39,$C60)</f>
        <v>2</v>
      </c>
      <c r="H60" s="521">
        <f>'08.06'!H60+COUNTIF(H$9:H$39,$C60)</f>
        <v>2</v>
      </c>
    </row>
    <row r="61" spans="1:12" s="19" customFormat="1" ht="26.25" x14ac:dyDescent="0.4">
      <c r="A61" s="18"/>
      <c r="B61" s="524">
        <v>11</v>
      </c>
      <c r="C61" s="548" t="str">
        <f>'01.09'!C59</f>
        <v>*Пр. Иностранный язык*</v>
      </c>
      <c r="D61" s="598">
        <f>'08.06'!D61+COUNTIF(D$9:D$39,$C61)</f>
        <v>8</v>
      </c>
      <c r="E61" s="598">
        <f>'08.06'!E61+COUNTIF(E$9:E$39,$C61)</f>
        <v>8</v>
      </c>
      <c r="F61" s="598">
        <f>'08.06'!F61+COUNTIF(F$9:F$39,$C61)</f>
        <v>8</v>
      </c>
      <c r="G61" s="598">
        <f>'08.06'!G61+COUNTIF(G$9:G$39,$C61)</f>
        <v>8</v>
      </c>
      <c r="H61" s="598">
        <f>'08.06'!H61+COUNTIF(H$9:H$39,$C61)</f>
        <v>8</v>
      </c>
      <c r="I61" s="945"/>
      <c r="J61" s="946"/>
      <c r="K61" s="946"/>
      <c r="L61" s="947"/>
    </row>
    <row r="62" spans="1:12" s="19" customFormat="1" ht="27" thickBot="1" x14ac:dyDescent="0.45">
      <c r="A62" s="18"/>
      <c r="B62" s="527">
        <v>11</v>
      </c>
      <c r="C62" s="550" t="str">
        <f>'01.09'!C60</f>
        <v>*С1-04А-26*</v>
      </c>
      <c r="D62" s="599">
        <f>'08.06'!D62+COUNTIF(D$9:D$39,$C62)</f>
        <v>0</v>
      </c>
      <c r="E62" s="599">
        <f>'08.06'!E62+COUNTIF(E$9:E$39,$C62)</f>
        <v>0</v>
      </c>
      <c r="F62" s="599">
        <f>'08.06'!F62+COUNTIF(F$9:F$39,$C62)</f>
        <v>17</v>
      </c>
      <c r="G62" s="599">
        <f>'08.06'!G62+COUNTIF(G$9:G$39,$C62)</f>
        <v>0</v>
      </c>
      <c r="H62" s="599">
        <f>'08.06'!H62+COUNTIF(H$9:H$39,$C62)</f>
        <v>0</v>
      </c>
      <c r="I62" s="948"/>
      <c r="J62" s="949"/>
      <c r="K62" s="949"/>
      <c r="L62" s="950"/>
    </row>
    <row r="63" spans="1:12" ht="26.25" x14ac:dyDescent="0.4">
      <c r="A63" s="2"/>
      <c r="B63" s="528">
        <v>13</v>
      </c>
      <c r="C63" s="548" t="str">
        <f>'01.09'!C61</f>
        <v>*С1-04Б-26*</v>
      </c>
      <c r="D63" s="598">
        <f>'08.06'!D63+COUNTIF(D$9:D$39,$C63)</f>
        <v>0</v>
      </c>
      <c r="E63" s="598">
        <f>'08.06'!E63+COUNTIF(E$9:E$39,$C63)</f>
        <v>0</v>
      </c>
      <c r="F63" s="598">
        <f>'08.06'!F63+COUNTIF(F$9:F$39,$C63)</f>
        <v>17</v>
      </c>
      <c r="G63" s="598">
        <f>'08.06'!G63+COUNTIF(G$9:G$39,$C63)</f>
        <v>0</v>
      </c>
      <c r="H63" s="598">
        <f>'08.06'!H63+COUNTIF(H$9:H$39,$C63)</f>
        <v>0</v>
      </c>
      <c r="I63" s="951"/>
      <c r="J63" s="952"/>
      <c r="K63" s="952"/>
      <c r="L63" s="953"/>
    </row>
    <row r="64" spans="1:12" ht="27" thickBot="1" x14ac:dyDescent="0.45">
      <c r="A64" s="2"/>
      <c r="B64" s="529">
        <v>13</v>
      </c>
      <c r="C64" s="550" t="str">
        <f>'01.09'!C62</f>
        <v>*С1-05А-26*</v>
      </c>
      <c r="D64" s="599">
        <f>'08.06'!D64+COUNTIF(D$9:D$39,$C64)</f>
        <v>0</v>
      </c>
      <c r="E64" s="599">
        <f>'08.06'!E64+COUNTIF(E$9:E$39,$C64)</f>
        <v>0</v>
      </c>
      <c r="F64" s="599">
        <f>'08.06'!F64+COUNTIF(F$9:F$39,$C64)</f>
        <v>0</v>
      </c>
      <c r="G64" s="599">
        <f>'08.06'!G64+COUNTIF(G$9:G$39,$C64)</f>
        <v>8</v>
      </c>
      <c r="H64" s="599">
        <f>'08.06'!H64+COUNTIF(H$9:H$39,$C64)</f>
        <v>0</v>
      </c>
      <c r="I64" s="954"/>
      <c r="J64" s="955"/>
      <c r="K64" s="955"/>
      <c r="L64" s="956"/>
    </row>
    <row r="65" spans="1:8" ht="26.25" x14ac:dyDescent="0.4">
      <c r="A65" s="2"/>
      <c r="B65" s="2"/>
      <c r="C65" s="522" t="str">
        <f>'01.09'!C63</f>
        <v>*С1-05Б-26*</v>
      </c>
      <c r="D65" s="523">
        <f>'08.06'!D65+COUNTIF(D$9:D$39,$C65)</f>
        <v>0</v>
      </c>
      <c r="E65" s="523">
        <f>'08.06'!E65+COUNTIF(E$9:E$39,$C65)</f>
        <v>0</v>
      </c>
      <c r="F65" s="523">
        <f>'08.06'!F65+COUNTIF(F$9:F$39,$C65)</f>
        <v>0</v>
      </c>
      <c r="G65" s="523">
        <f>'08.06'!G65+COUNTIF(G$9:G$39,$C65)</f>
        <v>8</v>
      </c>
      <c r="H65" s="523">
        <f>'08.06'!H65+COUNTIF(H$9:H$39,$C65)</f>
        <v>0</v>
      </c>
    </row>
    <row r="66" spans="1:8" ht="26.25" x14ac:dyDescent="0.4">
      <c r="A66" s="2"/>
      <c r="B66" s="2"/>
      <c r="C66" s="104">
        <f>'01.09'!C64</f>
        <v>0</v>
      </c>
      <c r="D66" s="107">
        <f>'08.06'!D66+COUNTIF(D$9:D$39,$C66)</f>
        <v>0</v>
      </c>
      <c r="E66" s="107">
        <f>'08.06'!E66+COUNTIF(E$9:E$39,$C66)</f>
        <v>0</v>
      </c>
      <c r="F66" s="107">
        <f>'08.06'!F66+COUNTIF(F$9:F$39,$C66)</f>
        <v>0</v>
      </c>
      <c r="G66" s="107">
        <f>'08.06'!G66+COUNTIF(G$9:G$39,$C66)</f>
        <v>0</v>
      </c>
      <c r="H66" s="107">
        <f>'08.06'!H66+COUNTIF(H$9:H$39,$C66)</f>
        <v>0</v>
      </c>
    </row>
    <row r="67" spans="1:8" ht="26.25" x14ac:dyDescent="0.4">
      <c r="A67" s="2"/>
      <c r="B67" s="2"/>
      <c r="C67" s="104">
        <f>'01.09'!C65</f>
        <v>0</v>
      </c>
      <c r="D67" s="107">
        <f>'08.06'!D67+COUNTIF(D$9:D$39,$C67)</f>
        <v>0</v>
      </c>
      <c r="E67" s="107">
        <f>'08.06'!E67+COUNTIF(E$9:E$39,$C67)</f>
        <v>0</v>
      </c>
      <c r="F67" s="107">
        <f>'08.06'!F67+COUNTIF(F$9:F$39,$C67)</f>
        <v>0</v>
      </c>
      <c r="G67" s="107">
        <f>'08.06'!G67+COUNTIF(G$9:G$39,$C67)</f>
        <v>0</v>
      </c>
      <c r="H67" s="107">
        <f>'08.06'!H67+COUNTIF(H$9:H$39,$C67)</f>
        <v>0</v>
      </c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</sheetData>
  <mergeCells count="23">
    <mergeCell ref="I47:L48"/>
    <mergeCell ref="I61:L62"/>
    <mergeCell ref="I63:L64"/>
    <mergeCell ref="A7:A8"/>
    <mergeCell ref="B7:B8"/>
    <mergeCell ref="C7:C8"/>
    <mergeCell ref="A9:A13"/>
    <mergeCell ref="B9:B13"/>
    <mergeCell ref="A14:A19"/>
    <mergeCell ref="B14:B19"/>
    <mergeCell ref="A20:A24"/>
    <mergeCell ref="B20:B24"/>
    <mergeCell ref="A25:A29"/>
    <mergeCell ref="B25:B29"/>
    <mergeCell ref="A30:A34"/>
    <mergeCell ref="B30:B34"/>
    <mergeCell ref="A35:A39"/>
    <mergeCell ref="B35:B39"/>
    <mergeCell ref="B1:H1"/>
    <mergeCell ref="B2:H2"/>
    <mergeCell ref="B3:H3"/>
    <mergeCell ref="B4:H4"/>
    <mergeCell ref="A5:H5"/>
  </mergeCells>
  <pageMargins left="0.19685039370078741" right="0.19685039370078741" top="0.19685039370078741" bottom="0.74803149606299213" header="0.19685039370078741" footer="0.31496062992125984"/>
  <pageSetup paperSize="9" scale="27" fitToWidth="0" fitToHeight="0" orientation="portrait" r:id="rId1"/>
  <rowBreaks count="1" manualBreakCount="1">
    <brk id="40" max="7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view="pageBreakPreview" zoomScale="40" zoomScaleNormal="50" zoomScaleSheetLayoutView="40" zoomScalePageLayoutView="40" workbookViewId="0">
      <selection activeCell="D7" sqref="D7:H8"/>
    </sheetView>
  </sheetViews>
  <sheetFormatPr defaultRowHeight="15" x14ac:dyDescent="0.25"/>
  <cols>
    <col min="1" max="1" width="4.42578125" customWidth="1"/>
    <col min="2" max="2" width="4.85546875" customWidth="1"/>
    <col min="3" max="3" width="25.28515625" customWidth="1"/>
    <col min="4" max="8" width="63.7109375" customWidth="1"/>
  </cols>
  <sheetData>
    <row r="1" spans="1:8" ht="34.5" customHeight="1" x14ac:dyDescent="0.3">
      <c r="A1" s="167"/>
      <c r="B1" s="843" t="s">
        <v>111</v>
      </c>
      <c r="C1" s="843"/>
      <c r="D1" s="843"/>
      <c r="E1" s="843"/>
      <c r="F1" s="843"/>
      <c r="G1" s="843"/>
      <c r="H1" s="843"/>
    </row>
    <row r="2" spans="1:8" ht="34.5" customHeight="1" x14ac:dyDescent="0.3">
      <c r="A2" s="168"/>
      <c r="B2" s="843" t="s">
        <v>91</v>
      </c>
      <c r="C2" s="843"/>
      <c r="D2" s="843"/>
      <c r="E2" s="843"/>
      <c r="F2" s="843"/>
      <c r="G2" s="843"/>
      <c r="H2" s="843"/>
    </row>
    <row r="3" spans="1:8" ht="32.25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</row>
    <row r="4" spans="1:8" ht="34.5" customHeight="1" x14ac:dyDescent="0.25">
      <c r="A4" s="169"/>
      <c r="B4" s="843" t="s">
        <v>112</v>
      </c>
      <c r="C4" s="843"/>
      <c r="D4" s="843"/>
      <c r="E4" s="843"/>
      <c r="F4" s="843"/>
      <c r="G4" s="843"/>
      <c r="H4" s="843"/>
    </row>
    <row r="5" spans="1:8" ht="33.75" customHeight="1" thickBot="1" x14ac:dyDescent="0.3">
      <c r="A5" s="787" t="s">
        <v>116</v>
      </c>
      <c r="B5" s="787"/>
      <c r="C5" s="787"/>
      <c r="D5" s="787"/>
      <c r="E5" s="787"/>
      <c r="F5" s="787"/>
      <c r="G5" s="787"/>
      <c r="H5" s="787"/>
    </row>
    <row r="6" spans="1:8" ht="21" hidden="1" thickBot="1" x14ac:dyDescent="0.35">
      <c r="A6" s="41"/>
      <c r="B6" s="40"/>
      <c r="C6" s="40"/>
      <c r="D6" s="255"/>
      <c r="E6" s="255"/>
      <c r="F6" s="255"/>
      <c r="G6" s="255"/>
      <c r="H6" s="255"/>
    </row>
    <row r="7" spans="1:8" ht="30.75" customHeight="1" thickBot="1" x14ac:dyDescent="0.3">
      <c r="A7" s="866" t="s">
        <v>54</v>
      </c>
      <c r="B7" s="866" t="s">
        <v>14</v>
      </c>
      <c r="C7" s="841" t="s">
        <v>55</v>
      </c>
      <c r="D7" s="230" t="s">
        <v>5</v>
      </c>
      <c r="E7" s="231" t="s">
        <v>6</v>
      </c>
      <c r="F7" s="231" t="s">
        <v>7</v>
      </c>
      <c r="G7" s="231" t="s">
        <v>8</v>
      </c>
      <c r="H7" s="232" t="s">
        <v>9</v>
      </c>
    </row>
    <row r="8" spans="1:8" ht="56.25" thickBot="1" x14ac:dyDescent="0.3">
      <c r="A8" s="867"/>
      <c r="B8" s="867"/>
      <c r="C8" s="842"/>
      <c r="D8" s="283" t="s">
        <v>113</v>
      </c>
      <c r="E8" s="352" t="s">
        <v>115</v>
      </c>
      <c r="F8" s="352" t="s">
        <v>114</v>
      </c>
      <c r="G8" s="352" t="s">
        <v>98</v>
      </c>
      <c r="H8" s="421" t="s">
        <v>82</v>
      </c>
    </row>
    <row r="9" spans="1:8" ht="117" customHeight="1" x14ac:dyDescent="0.25">
      <c r="A9" s="928" t="s">
        <v>0</v>
      </c>
      <c r="B9" s="859">
        <v>45817</v>
      </c>
      <c r="C9" s="64" t="s">
        <v>10</v>
      </c>
      <c r="D9" s="418"/>
      <c r="E9" s="419"/>
      <c r="F9" s="360"/>
      <c r="G9" s="419"/>
      <c r="H9" s="420"/>
    </row>
    <row r="10" spans="1:8" ht="109.5" customHeight="1" x14ac:dyDescent="0.25">
      <c r="A10" s="931"/>
      <c r="B10" s="858"/>
      <c r="C10" s="65" t="s">
        <v>11</v>
      </c>
      <c r="D10" s="299"/>
      <c r="E10" s="361"/>
      <c r="F10" s="301"/>
      <c r="G10" s="361"/>
      <c r="H10" s="388"/>
    </row>
    <row r="11" spans="1:8" ht="92.25" customHeight="1" x14ac:dyDescent="0.25">
      <c r="A11" s="931"/>
      <c r="B11" s="858"/>
      <c r="C11" s="65" t="s">
        <v>12</v>
      </c>
      <c r="D11" s="299"/>
      <c r="E11" s="361"/>
      <c r="F11" s="301"/>
      <c r="G11" s="361"/>
      <c r="H11" s="388"/>
    </row>
    <row r="12" spans="1:8" ht="117.75" customHeight="1" x14ac:dyDescent="0.25">
      <c r="A12" s="931"/>
      <c r="B12" s="858"/>
      <c r="C12" s="65" t="s">
        <v>13</v>
      </c>
      <c r="D12" s="299"/>
      <c r="E12" s="301"/>
      <c r="F12" s="361"/>
      <c r="G12" s="361"/>
      <c r="H12" s="388"/>
    </row>
    <row r="13" spans="1:8" ht="77.25" customHeight="1" thickBot="1" x14ac:dyDescent="0.3">
      <c r="A13" s="931"/>
      <c r="B13" s="858"/>
      <c r="C13" s="66" t="s">
        <v>15</v>
      </c>
      <c r="D13" s="389"/>
      <c r="E13" s="390"/>
      <c r="F13" s="390"/>
      <c r="G13" s="390"/>
      <c r="H13" s="391"/>
    </row>
    <row r="14" spans="1:8" ht="105.75" customHeight="1" x14ac:dyDescent="0.25">
      <c r="A14" s="928" t="s">
        <v>1</v>
      </c>
      <c r="B14" s="864">
        <f>B9+1</f>
        <v>45818</v>
      </c>
      <c r="C14" s="76" t="s">
        <v>10</v>
      </c>
      <c r="D14" s="418"/>
      <c r="E14" s="360"/>
      <c r="F14" s="360"/>
      <c r="G14" s="419"/>
      <c r="H14" s="420"/>
    </row>
    <row r="15" spans="1:8" ht="122.25" customHeight="1" x14ac:dyDescent="0.25">
      <c r="A15" s="931"/>
      <c r="B15" s="858"/>
      <c r="C15" s="77" t="s">
        <v>11</v>
      </c>
      <c r="D15" s="392"/>
      <c r="E15" s="361"/>
      <c r="F15" s="361"/>
      <c r="G15" s="301"/>
      <c r="H15" s="268"/>
    </row>
    <row r="16" spans="1:8" ht="90.75" customHeight="1" x14ac:dyDescent="0.25">
      <c r="A16" s="931"/>
      <c r="B16" s="858"/>
      <c r="C16" s="77" t="s">
        <v>12</v>
      </c>
      <c r="D16" s="392"/>
      <c r="E16" s="361"/>
      <c r="F16" s="301"/>
      <c r="G16" s="361"/>
      <c r="H16" s="300"/>
    </row>
    <row r="17" spans="1:10" ht="105.75" customHeight="1" x14ac:dyDescent="0.25">
      <c r="A17" s="931"/>
      <c r="B17" s="858"/>
      <c r="C17" s="77" t="s">
        <v>13</v>
      </c>
      <c r="D17" s="299"/>
      <c r="E17" s="301"/>
      <c r="F17" s="301"/>
      <c r="G17" s="301"/>
      <c r="H17" s="300"/>
    </row>
    <row r="18" spans="1:10" ht="77.25" customHeight="1" thickBot="1" x14ac:dyDescent="0.3">
      <c r="A18" s="932"/>
      <c r="B18" s="858"/>
      <c r="C18" s="73" t="s">
        <v>64</v>
      </c>
      <c r="D18" s="206"/>
      <c r="E18" s="415"/>
      <c r="F18" s="405"/>
      <c r="G18" s="405"/>
      <c r="H18" s="406"/>
      <c r="J18" s="3"/>
    </row>
    <row r="19" spans="1:10" ht="91.5" customHeight="1" x14ac:dyDescent="0.25">
      <c r="A19" s="928" t="s">
        <v>2</v>
      </c>
      <c r="B19" s="864">
        <f>B14+1</f>
        <v>45819</v>
      </c>
      <c r="C19" s="76" t="s">
        <v>10</v>
      </c>
      <c r="D19" s="418"/>
      <c r="E19" s="419"/>
      <c r="F19" s="360"/>
      <c r="G19" s="419"/>
      <c r="H19" s="420"/>
    </row>
    <row r="20" spans="1:10" ht="27.75" x14ac:dyDescent="0.25">
      <c r="A20" s="931"/>
      <c r="B20" s="858"/>
      <c r="C20" s="77" t="s">
        <v>11</v>
      </c>
      <c r="D20" s="299"/>
      <c r="E20" s="301"/>
      <c r="F20" s="361"/>
      <c r="G20" s="301"/>
      <c r="H20" s="300"/>
    </row>
    <row r="21" spans="1:10" ht="103.5" customHeight="1" x14ac:dyDescent="0.25">
      <c r="A21" s="931"/>
      <c r="B21" s="858"/>
      <c r="C21" s="77" t="s">
        <v>12</v>
      </c>
      <c r="D21" s="299"/>
      <c r="E21" s="416"/>
      <c r="F21" s="361"/>
      <c r="G21" s="301"/>
      <c r="H21" s="388"/>
      <c r="J21" s="3"/>
    </row>
    <row r="22" spans="1:10" ht="103.5" customHeight="1" x14ac:dyDescent="0.25">
      <c r="A22" s="931"/>
      <c r="B22" s="858"/>
      <c r="C22" s="77" t="s">
        <v>13</v>
      </c>
      <c r="D22" s="299"/>
      <c r="E22" s="416"/>
      <c r="F22" s="301"/>
      <c r="G22" s="361"/>
      <c r="H22" s="300"/>
    </row>
    <row r="23" spans="1:10" ht="77.25" customHeight="1" thickBot="1" x14ac:dyDescent="0.3">
      <c r="A23" s="932"/>
      <c r="B23" s="858"/>
      <c r="C23" s="212" t="s">
        <v>15</v>
      </c>
      <c r="D23" s="403"/>
      <c r="E23" s="404"/>
      <c r="F23" s="404"/>
      <c r="G23" s="405"/>
      <c r="H23" s="406"/>
    </row>
    <row r="24" spans="1:10" ht="98.25" customHeight="1" x14ac:dyDescent="0.25">
      <c r="A24" s="928" t="s">
        <v>3</v>
      </c>
      <c r="B24" s="864">
        <f>B19+1</f>
        <v>45820</v>
      </c>
      <c r="C24" s="99" t="s">
        <v>10</v>
      </c>
      <c r="D24" s="407"/>
      <c r="E24" s="408"/>
      <c r="F24" s="408"/>
      <c r="G24" s="408"/>
      <c r="H24" s="409"/>
    </row>
    <row r="25" spans="1:10" ht="90.75" customHeight="1" x14ac:dyDescent="0.25">
      <c r="A25" s="939"/>
      <c r="B25" s="858"/>
      <c r="C25" s="65" t="s">
        <v>11</v>
      </c>
      <c r="D25" s="299"/>
      <c r="E25" s="301"/>
      <c r="F25" s="361"/>
      <c r="G25" s="301"/>
      <c r="H25" s="300"/>
    </row>
    <row r="26" spans="1:10" ht="84.75" customHeight="1" x14ac:dyDescent="0.25">
      <c r="A26" s="939"/>
      <c r="B26" s="858"/>
      <c r="C26" s="65" t="s">
        <v>12</v>
      </c>
      <c r="D26" s="392"/>
      <c r="E26" s="361"/>
      <c r="F26" s="361"/>
      <c r="G26" s="361"/>
      <c r="H26" s="388"/>
    </row>
    <row r="27" spans="1:10" ht="94.5" customHeight="1" x14ac:dyDescent="0.25">
      <c r="A27" s="939"/>
      <c r="B27" s="858"/>
      <c r="C27" s="65" t="s">
        <v>13</v>
      </c>
      <c r="D27" s="392"/>
      <c r="E27" s="361"/>
      <c r="F27" s="361"/>
      <c r="G27" s="361"/>
      <c r="H27" s="388"/>
    </row>
    <row r="28" spans="1:10" ht="45" customHeight="1" thickBot="1" x14ac:dyDescent="0.3">
      <c r="A28" s="940"/>
      <c r="B28" s="858"/>
      <c r="C28" s="98" t="s">
        <v>15</v>
      </c>
      <c r="D28" s="389"/>
      <c r="E28" s="428"/>
      <c r="F28" s="390"/>
      <c r="G28" s="390"/>
      <c r="H28" s="394"/>
    </row>
    <row r="29" spans="1:10" ht="94.5" customHeight="1" x14ac:dyDescent="0.25">
      <c r="A29" s="936" t="s">
        <v>4</v>
      </c>
      <c r="B29" s="881">
        <f>B24+1</f>
        <v>45821</v>
      </c>
      <c r="C29" s="200" t="s">
        <v>10</v>
      </c>
      <c r="D29" s="418"/>
      <c r="E29" s="419"/>
      <c r="F29" s="419"/>
      <c r="G29" s="419"/>
      <c r="H29" s="420"/>
    </row>
    <row r="30" spans="1:10" ht="90.75" customHeight="1" x14ac:dyDescent="0.25">
      <c r="A30" s="937"/>
      <c r="B30" s="882"/>
      <c r="C30" s="201" t="s">
        <v>11</v>
      </c>
      <c r="D30" s="299"/>
      <c r="E30" s="301"/>
      <c r="F30" s="301"/>
      <c r="G30" s="301"/>
      <c r="H30" s="300"/>
    </row>
    <row r="31" spans="1:10" ht="120.75" customHeight="1" x14ac:dyDescent="0.25">
      <c r="A31" s="937"/>
      <c r="B31" s="882"/>
      <c r="C31" s="201" t="s">
        <v>12</v>
      </c>
      <c r="D31" s="299"/>
      <c r="E31" s="301"/>
      <c r="F31" s="301"/>
      <c r="G31" s="301"/>
      <c r="H31" s="300"/>
    </row>
    <row r="32" spans="1:10" ht="120.75" customHeight="1" x14ac:dyDescent="0.25">
      <c r="A32" s="937"/>
      <c r="B32" s="882"/>
      <c r="C32" s="201" t="s">
        <v>13</v>
      </c>
      <c r="D32" s="299"/>
      <c r="E32" s="301"/>
      <c r="F32" s="301"/>
      <c r="G32" s="301"/>
      <c r="H32" s="388"/>
    </row>
    <row r="33" spans="1:8" ht="47.25" customHeight="1" thickBot="1" x14ac:dyDescent="0.3">
      <c r="A33" s="938"/>
      <c r="B33" s="882"/>
      <c r="C33" s="202" t="s">
        <v>15</v>
      </c>
      <c r="D33" s="398"/>
      <c r="E33" s="399"/>
      <c r="F33" s="399"/>
      <c r="G33" s="399"/>
      <c r="H33" s="400"/>
    </row>
    <row r="34" spans="1:8" ht="35.25" customHeight="1" x14ac:dyDescent="0.25">
      <c r="A34" s="935" t="s">
        <v>47</v>
      </c>
      <c r="B34" s="881">
        <f>B29+1</f>
        <v>45822</v>
      </c>
      <c r="C34" s="200" t="s">
        <v>10</v>
      </c>
      <c r="D34" s="433"/>
      <c r="E34" s="434"/>
      <c r="F34" s="434"/>
      <c r="G34" s="434"/>
      <c r="H34" s="27"/>
    </row>
    <row r="35" spans="1:8" ht="35.25" customHeight="1" x14ac:dyDescent="0.25">
      <c r="A35" s="882"/>
      <c r="B35" s="882"/>
      <c r="C35" s="201" t="s">
        <v>11</v>
      </c>
      <c r="D35" s="184"/>
      <c r="E35" s="26"/>
      <c r="F35" s="26"/>
      <c r="G35" s="28"/>
      <c r="H35" s="26"/>
    </row>
    <row r="36" spans="1:8" ht="35.25" customHeight="1" x14ac:dyDescent="0.25">
      <c r="A36" s="882"/>
      <c r="B36" s="882"/>
      <c r="C36" s="201" t="s">
        <v>12</v>
      </c>
      <c r="D36" s="184"/>
      <c r="E36" s="26"/>
      <c r="F36" s="29"/>
      <c r="G36" s="26"/>
      <c r="H36" s="31"/>
    </row>
    <row r="37" spans="1:8" ht="35.25" customHeight="1" x14ac:dyDescent="0.25">
      <c r="A37" s="882"/>
      <c r="B37" s="882"/>
      <c r="C37" s="201" t="s">
        <v>13</v>
      </c>
      <c r="D37" s="185"/>
      <c r="E37" s="27"/>
      <c r="F37" s="27"/>
      <c r="G37" s="26"/>
      <c r="H37" s="29"/>
    </row>
    <row r="38" spans="1:8" ht="35.25" customHeight="1" thickBot="1" x14ac:dyDescent="0.3">
      <c r="A38" s="883"/>
      <c r="B38" s="883"/>
      <c r="C38" s="202" t="s">
        <v>15</v>
      </c>
      <c r="D38" s="30"/>
      <c r="E38" s="25"/>
      <c r="F38" s="25"/>
      <c r="G38" s="25"/>
      <c r="H38" s="25"/>
    </row>
    <row r="39" spans="1:8" ht="28.5" customHeight="1" x14ac:dyDescent="0.3">
      <c r="A39" s="2"/>
      <c r="B39" s="2"/>
      <c r="C39" s="44"/>
      <c r="D39" s="170" t="s">
        <v>86</v>
      </c>
      <c r="E39" s="44"/>
      <c r="F39" s="44"/>
      <c r="G39" s="44"/>
      <c r="H39" s="44"/>
    </row>
    <row r="40" spans="1:8" s="19" customFormat="1" ht="26.25" x14ac:dyDescent="0.4">
      <c r="A40" s="18"/>
      <c r="B40" s="172"/>
      <c r="C40" s="104" t="str">
        <f>'01.09'!C39</f>
        <v>*Л. Речевое общение в профессиональной деятельности*</v>
      </c>
      <c r="D40" s="107">
        <f>'28.12'!D41+COUNTIF(D$9:D$38,$C40)</f>
        <v>5</v>
      </c>
      <c r="E40" s="107">
        <f>'28.12'!E41+COUNTIF(E$9:E$38,$C40)</f>
        <v>5</v>
      </c>
      <c r="F40" s="107">
        <f>'28.12'!G41+COUNTIF(F$9:F$38,$C40)</f>
        <v>5</v>
      </c>
      <c r="G40" s="107">
        <f>'28.12'!H41+COUNTIF(G$9:G$38,$C40)</f>
        <v>5</v>
      </c>
      <c r="H40" s="107">
        <f>'28.12'!I41+COUNTIF(H$9:H$38,$C40)</f>
        <v>5</v>
      </c>
    </row>
    <row r="41" spans="1:8" s="19" customFormat="1" ht="26.25" x14ac:dyDescent="0.4">
      <c r="A41" s="18"/>
      <c r="B41" s="172"/>
      <c r="C41" s="104" t="str">
        <f>'01.09'!C40</f>
        <v>*Пр. Речевое общение в профессиональной деятельности*</v>
      </c>
      <c r="D41" s="107">
        <f>'28.12'!D42+COUNTIF(D$9:D$38,$C41)</f>
        <v>4</v>
      </c>
      <c r="E41" s="107">
        <f>'28.12'!E42+COUNTIF(E$9:E$38,$C41)</f>
        <v>4</v>
      </c>
      <c r="F41" s="107">
        <f>'28.12'!G42+COUNTIF(F$9:F$38,$C41)</f>
        <v>4</v>
      </c>
      <c r="G41" s="107">
        <f>'28.12'!H42+COUNTIF(G$9:G$38,$C41)</f>
        <v>4</v>
      </c>
      <c r="H41" s="107">
        <f>'28.12'!I42+COUNTIF(H$9:H$38,$C41)</f>
        <v>4</v>
      </c>
    </row>
    <row r="42" spans="1:8" s="19" customFormat="1" ht="26.25" x14ac:dyDescent="0.4">
      <c r="A42" s="18"/>
      <c r="B42" s="173"/>
      <c r="C42" s="104" t="str">
        <f>'01.09'!C41</f>
        <v>*Л. Элективные дисциплины по ФКиС: Силовая подготовка*</v>
      </c>
      <c r="D42" s="107">
        <f>'28.12'!D43+COUNTIF(D$9:D$38,$C42)</f>
        <v>1</v>
      </c>
      <c r="E42" s="107">
        <f>'28.12'!E43+COUNTIF(E$9:E$38,$C42)</f>
        <v>1</v>
      </c>
      <c r="F42" s="107">
        <f>'28.12'!G43+COUNTIF(F$9:F$38,$C42)</f>
        <v>1</v>
      </c>
      <c r="G42" s="107">
        <f>'28.12'!H43+COUNTIF(G$9:G$38,$C42)</f>
        <v>1</v>
      </c>
      <c r="H42" s="107">
        <f>'28.12'!I43+COUNTIF(H$9:H$38,$C42)</f>
        <v>1</v>
      </c>
    </row>
    <row r="43" spans="1:8" s="19" customFormat="1" ht="26.25" x14ac:dyDescent="0.4">
      <c r="A43" s="18"/>
      <c r="B43" s="173"/>
      <c r="C43" s="104" t="str">
        <f>'01.09'!C42</f>
        <v>*Пр. Элективные дисциплины по ФКиС: Силовая подготовка*</v>
      </c>
      <c r="D43" s="107">
        <f>'28.12'!D44+COUNTIF(D$9:D$38,$C43)</f>
        <v>8</v>
      </c>
      <c r="E43" s="107">
        <f>'28.12'!E44+COUNTIF(E$9:E$38,$C43)</f>
        <v>9</v>
      </c>
      <c r="F43" s="107">
        <f>'28.12'!G44+COUNTIF(F$9:F$38,$C43)</f>
        <v>9</v>
      </c>
      <c r="G43" s="107">
        <f>'28.12'!H44+COUNTIF(G$9:G$38,$C43)</f>
        <v>9</v>
      </c>
      <c r="H43" s="107">
        <f>'28.12'!I44+COUNTIF(H$9:H$38,$C43)</f>
        <v>8</v>
      </c>
    </row>
    <row r="44" spans="1:8" s="19" customFormat="1" ht="26.25" x14ac:dyDescent="0.4">
      <c r="A44" s="18"/>
      <c r="B44" s="172"/>
      <c r="C44" s="104" t="str">
        <f>'01.09'!C43</f>
        <v>*Л. Анатомия*</v>
      </c>
      <c r="D44" s="107">
        <f>'28.12'!D45+COUNTIF(D$9:D$38,$C44)</f>
        <v>4</v>
      </c>
      <c r="E44" s="107">
        <f>'28.12'!E45+COUNTIF(E$9:E$38,$C44)</f>
        <v>4</v>
      </c>
      <c r="F44" s="107">
        <f>'28.12'!G45+COUNTIF(F$9:F$38,$C44)</f>
        <v>4</v>
      </c>
      <c r="G44" s="107">
        <f>'28.12'!H45+COUNTIF(G$9:G$38,$C44)</f>
        <v>4</v>
      </c>
      <c r="H44" s="107">
        <f>'28.12'!I45+COUNTIF(H$9:H$38,$C44)</f>
        <v>4</v>
      </c>
    </row>
    <row r="45" spans="1:8" s="19" customFormat="1" ht="26.25" x14ac:dyDescent="0.4">
      <c r="A45" s="18"/>
      <c r="B45" s="172"/>
      <c r="C45" s="104" t="str">
        <f>'01.09'!C44</f>
        <v>*Пр. Анатомия*</v>
      </c>
      <c r="D45" s="107">
        <f>'28.12'!D46+COUNTIF(D$9:D$38,$C45)</f>
        <v>4</v>
      </c>
      <c r="E45" s="107">
        <f>'28.12'!E46+COUNTIF(E$9:E$38,$C45)</f>
        <v>4</v>
      </c>
      <c r="F45" s="107">
        <f>'28.12'!G46+COUNTIF(F$9:F$38,$C45)</f>
        <v>4</v>
      </c>
      <c r="G45" s="107">
        <f>'28.12'!H46+COUNTIF(G$9:G$38,$C45)</f>
        <v>4</v>
      </c>
      <c r="H45" s="107">
        <f>'28.12'!I46+COUNTIF(H$9:H$38,$C45)</f>
        <v>4</v>
      </c>
    </row>
    <row r="46" spans="1:8" s="19" customFormat="1" ht="26.25" x14ac:dyDescent="0.4">
      <c r="A46" s="18"/>
      <c r="B46" s="172"/>
      <c r="C46" s="104" t="str">
        <f>'01.09'!C45</f>
        <v>*Л. Теория и методика*</v>
      </c>
      <c r="D46" s="107">
        <f>'28.12'!D47+COUNTIF(D$9:D$38,$C46)</f>
        <v>5</v>
      </c>
      <c r="E46" s="107">
        <f>'28.12'!E47+COUNTIF(E$9:E$38,$C46)</f>
        <v>4</v>
      </c>
      <c r="F46" s="107">
        <f>'28.12'!G47+COUNTIF(F$9:F$38,$C46)</f>
        <v>4</v>
      </c>
      <c r="G46" s="107">
        <f>'28.12'!H47+COUNTIF(G$9:G$38,$C46)</f>
        <v>5</v>
      </c>
      <c r="H46" s="107">
        <f>'28.12'!I47+COUNTIF(H$9:H$38,$C46)</f>
        <v>3</v>
      </c>
    </row>
    <row r="47" spans="1:8" s="19" customFormat="1" ht="26.25" x14ac:dyDescent="0.4">
      <c r="A47" s="18"/>
      <c r="B47" s="172"/>
      <c r="C47" s="104" t="str">
        <f>'01.09'!C46</f>
        <v>*Пр. Теория и методика*</v>
      </c>
      <c r="D47" s="107">
        <f>'28.12'!D48+COUNTIF(D$9:D$38,$C47)</f>
        <v>24</v>
      </c>
      <c r="E47" s="107">
        <f>'28.12'!E48+COUNTIF(E$9:E$38,$C47)</f>
        <v>23</v>
      </c>
      <c r="F47" s="107">
        <f>'28.12'!G48+COUNTIF(F$9:F$38,$C47)</f>
        <v>23</v>
      </c>
      <c r="G47" s="107">
        <f>'28.12'!H48+COUNTIF(G$9:G$38,$C47)</f>
        <v>26</v>
      </c>
      <c r="H47" s="107">
        <f>'28.12'!I48+COUNTIF(H$9:H$38,$C47)</f>
        <v>20</v>
      </c>
    </row>
    <row r="48" spans="1:8" s="19" customFormat="1" ht="26.25" x14ac:dyDescent="0.4">
      <c r="A48" s="18"/>
      <c r="B48" s="172"/>
      <c r="C48" s="104" t="str">
        <f>'01.09'!C47</f>
        <v>*Л. Физическая культура и спорт*</v>
      </c>
      <c r="D48" s="107">
        <f>'28.12'!D49+COUNTIF(D$9:D$38,$C48)</f>
        <v>5</v>
      </c>
      <c r="E48" s="107">
        <f>'28.12'!E49+COUNTIF(E$9:E$38,$C48)</f>
        <v>5</v>
      </c>
      <c r="F48" s="107">
        <f>'28.12'!G49+COUNTIF(F$9:F$38,$C48)</f>
        <v>5</v>
      </c>
      <c r="G48" s="107">
        <f>'28.12'!H49+COUNTIF(G$9:G$38,$C48)</f>
        <v>5</v>
      </c>
      <c r="H48" s="107">
        <f>'28.12'!I49+COUNTIF(H$9:H$38,$C48)</f>
        <v>5</v>
      </c>
    </row>
    <row r="49" spans="1:8" s="19" customFormat="1" ht="24" customHeight="1" x14ac:dyDescent="0.4">
      <c r="A49" s="18"/>
      <c r="B49" s="172"/>
      <c r="C49" s="104" t="str">
        <f>'01.09'!C48</f>
        <v>*Пр. Физическая культура и спорт*</v>
      </c>
      <c r="D49" s="107">
        <f>'28.12'!D50+COUNTIF(D$9:D$38,$C49)</f>
        <v>5</v>
      </c>
      <c r="E49" s="107">
        <f>'28.12'!E50+COUNTIF(E$9:E$38,$C49)</f>
        <v>5</v>
      </c>
      <c r="F49" s="107">
        <f>'28.12'!G50+COUNTIF(F$9:F$38,$C49)</f>
        <v>5</v>
      </c>
      <c r="G49" s="107">
        <f>'28.12'!H50+COUNTIF(G$9:G$38,$C49)</f>
        <v>5</v>
      </c>
      <c r="H49" s="107">
        <f>'28.12'!I50+COUNTIF(H$9:H$38,$C49)</f>
        <v>5</v>
      </c>
    </row>
    <row r="50" spans="1:8" s="19" customFormat="1" ht="26.25" x14ac:dyDescent="0.4">
      <c r="A50" s="18"/>
      <c r="B50" s="172"/>
      <c r="C50" s="104" t="str">
        <f>'01.09'!C49</f>
        <v>*Л. Информационные технологии*</v>
      </c>
      <c r="D50" s="107">
        <f>'28.12'!D51+COUNTIF(D$9:D$38,$C50)</f>
        <v>2</v>
      </c>
      <c r="E50" s="107">
        <f>'28.12'!E51+COUNTIF(E$9:E$38,$C50)</f>
        <v>2</v>
      </c>
      <c r="F50" s="107">
        <f>'28.12'!G51+COUNTIF(F$9:F$38,$C50)</f>
        <v>2</v>
      </c>
      <c r="G50" s="107">
        <f>'28.12'!H51+COUNTIF(G$9:G$38,$C50)</f>
        <v>2</v>
      </c>
      <c r="H50" s="107">
        <f>'28.12'!I51+COUNTIF(H$9:H$38,$C50)</f>
        <v>2</v>
      </c>
    </row>
    <row r="51" spans="1:8" s="19" customFormat="1" ht="26.25" x14ac:dyDescent="0.4">
      <c r="A51" s="18"/>
      <c r="B51" s="172"/>
      <c r="C51" s="104" t="str">
        <f>'01.09'!C50</f>
        <v>*Пр. Информационные технологии*</v>
      </c>
      <c r="D51" s="107">
        <f>'28.12'!D52+COUNTIF(D$9:D$38,$C51)</f>
        <v>8</v>
      </c>
      <c r="E51" s="107">
        <f>'28.12'!E52+COUNTIF(E$9:E$38,$C51)</f>
        <v>8</v>
      </c>
      <c r="F51" s="107">
        <f>'28.12'!G52+COUNTIF(F$9:F$38,$C51)</f>
        <v>8</v>
      </c>
      <c r="G51" s="107">
        <f>'28.12'!H52+COUNTIF(G$9:G$38,$C51)</f>
        <v>8</v>
      </c>
      <c r="H51" s="107">
        <f>'28.12'!I52+COUNTIF(H$9:H$38,$C51)</f>
        <v>8</v>
      </c>
    </row>
    <row r="52" spans="1:8" s="19" customFormat="1" ht="26.25" x14ac:dyDescent="0.4">
      <c r="A52" s="18"/>
      <c r="B52" s="172"/>
      <c r="C52" s="104" t="str">
        <f>'01.09'!C51</f>
        <v>*Л. Гимнастика*</v>
      </c>
      <c r="D52" s="107">
        <f>'28.12'!D53+COUNTIF(D$9:D$38,$C52)</f>
        <v>3</v>
      </c>
      <c r="E52" s="107">
        <f>'28.12'!E53+COUNTIF(E$9:E$38,$C52)</f>
        <v>3</v>
      </c>
      <c r="F52" s="107">
        <f>'28.12'!G53+COUNTIF(F$9:F$38,$C52)</f>
        <v>3</v>
      </c>
      <c r="G52" s="107">
        <f>'28.12'!H53+COUNTIF(G$9:G$38,$C52)</f>
        <v>3</v>
      </c>
      <c r="H52" s="107">
        <f>'28.12'!I53+COUNTIF(H$9:H$38,$C52)</f>
        <v>3</v>
      </c>
    </row>
    <row r="53" spans="1:8" s="19" customFormat="1" ht="26.25" x14ac:dyDescent="0.4">
      <c r="A53" s="18"/>
      <c r="B53" s="172"/>
      <c r="C53" s="104" t="str">
        <f>'01.09'!C52</f>
        <v>*Пр. Гимнастика*</v>
      </c>
      <c r="D53" s="107">
        <f>'28.12'!D54+COUNTIF(D$9:D$38,$C53)</f>
        <v>8</v>
      </c>
      <c r="E53" s="107">
        <f>'28.12'!E54+COUNTIF(E$9:E$38,$C53)</f>
        <v>13</v>
      </c>
      <c r="F53" s="107">
        <f>'28.12'!G54+COUNTIF(F$9:F$38,$C53)</f>
        <v>12</v>
      </c>
      <c r="G53" s="107">
        <f>'28.12'!H54+COUNTIF(G$9:G$38,$C53)</f>
        <v>13</v>
      </c>
      <c r="H53" s="107">
        <f>'28.12'!I54+COUNTIF(H$9:H$38,$C53)</f>
        <v>12</v>
      </c>
    </row>
    <row r="54" spans="1:8" s="19" customFormat="1" ht="26.25" x14ac:dyDescent="0.4">
      <c r="A54" s="18"/>
      <c r="B54" s="172"/>
      <c r="C54" s="104" t="str">
        <f>'01.09'!C53</f>
        <v>*Л. Волейбол*</v>
      </c>
      <c r="D54" s="107">
        <f>'28.12'!D55+COUNTIF(D$9:D$38,$C54)</f>
        <v>1</v>
      </c>
      <c r="E54" s="107">
        <f>'28.12'!E55+COUNTIF(E$9:E$38,$C54)</f>
        <v>1</v>
      </c>
      <c r="F54" s="107">
        <f>'28.12'!G55+COUNTIF(F$9:F$38,$C54)</f>
        <v>1</v>
      </c>
      <c r="G54" s="107">
        <f>'28.12'!H55+COUNTIF(G$9:G$38,$C54)</f>
        <v>1</v>
      </c>
      <c r="H54" s="107">
        <f>'28.12'!I55+COUNTIF(H$9:H$38,$C54)</f>
        <v>1</v>
      </c>
    </row>
    <row r="55" spans="1:8" s="19" customFormat="1" ht="26.25" x14ac:dyDescent="0.4">
      <c r="A55" s="18"/>
      <c r="B55" s="172"/>
      <c r="C55" s="104" t="str">
        <f>'01.09'!C54</f>
        <v>*Пр. Волейбол*</v>
      </c>
      <c r="D55" s="107">
        <f>'28.12'!D56+COUNTIF(D$9:D$38,$C55)</f>
        <v>16</v>
      </c>
      <c r="E55" s="107">
        <f>'28.12'!E56+COUNTIF(E$9:E$38,$C55)</f>
        <v>16</v>
      </c>
      <c r="F55" s="107">
        <f>'28.12'!G56+COUNTIF(F$9:F$38,$C55)</f>
        <v>8</v>
      </c>
      <c r="G55" s="107">
        <f>'28.12'!H56+COUNTIF(G$9:G$38,$C55)</f>
        <v>16</v>
      </c>
      <c r="H55" s="107">
        <f>'28.12'!I56+COUNTIF(H$9:H$38,$C55)</f>
        <v>16</v>
      </c>
    </row>
    <row r="56" spans="1:8" s="19" customFormat="1" ht="26.25" x14ac:dyDescent="0.4">
      <c r="A56" s="18"/>
      <c r="B56" s="172"/>
      <c r="C56" s="104" t="str">
        <f>'01.09'!C55</f>
        <v>*Л. Лыжные гонки*</v>
      </c>
      <c r="D56" s="107">
        <f>'28.12'!D57+COUNTIF(D$9:D$38,$C56)</f>
        <v>0</v>
      </c>
      <c r="E56" s="107">
        <f>'28.12'!E57+COUNTIF(E$9:E$38,$C56)</f>
        <v>0</v>
      </c>
      <c r="F56" s="107">
        <f>'28.12'!G57+COUNTIF(F$9:F$38,$C56)</f>
        <v>0</v>
      </c>
      <c r="G56" s="107">
        <f>'28.12'!H57+COUNTIF(G$9:G$38,$C56)</f>
        <v>0</v>
      </c>
      <c r="H56" s="107">
        <f>'28.12'!I57+COUNTIF(H$9:H$38,$C56)</f>
        <v>0</v>
      </c>
    </row>
    <row r="57" spans="1:8" s="19" customFormat="1" ht="26.25" x14ac:dyDescent="0.4">
      <c r="A57" s="18"/>
      <c r="B57" s="172"/>
      <c r="C57" s="104" t="str">
        <f>'01.09'!C56</f>
        <v>*Пр. Лыжные гонки*</v>
      </c>
      <c r="D57" s="107">
        <f>'28.12'!D58+COUNTIF(D$9:D$38,$C57)</f>
        <v>0</v>
      </c>
      <c r="E57" s="107">
        <f>'28.12'!E58+COUNTIF(E$9:E$38,$C57)</f>
        <v>0</v>
      </c>
      <c r="F57" s="107">
        <f>'28.12'!G58+COUNTIF(F$9:F$38,$C57)</f>
        <v>0</v>
      </c>
      <c r="G57" s="107">
        <f>'28.12'!H58+COUNTIF(G$9:G$38,$C57)</f>
        <v>0</v>
      </c>
      <c r="H57" s="107">
        <f>'28.12'!I58+COUNTIF(H$9:H$38,$C57)</f>
        <v>0</v>
      </c>
    </row>
    <row r="58" spans="1:8" s="19" customFormat="1" ht="26.25" x14ac:dyDescent="0.4">
      <c r="A58" s="18"/>
      <c r="B58" s="172"/>
      <c r="C58" s="104" t="str">
        <f>'01.09'!C57</f>
        <v>*Л. Использование электронной*</v>
      </c>
      <c r="D58" s="107">
        <f>'28.12'!D59+COUNTIF(D$9:D$38,$C58)</f>
        <v>1</v>
      </c>
      <c r="E58" s="107">
        <f>'28.12'!E59+COUNTIF(E$9:E$38,$C58)</f>
        <v>0</v>
      </c>
      <c r="F58" s="107">
        <f>'28.12'!G59+COUNTIF(F$9:F$38,$C58)</f>
        <v>0</v>
      </c>
      <c r="G58" s="107">
        <f>'28.12'!H59+COUNTIF(G$9:G$38,$C58)</f>
        <v>0</v>
      </c>
      <c r="H58" s="107">
        <f>'28.12'!I59+COUNTIF(H$9:H$38,$C58)</f>
        <v>0</v>
      </c>
    </row>
    <row r="59" spans="1:8" s="19" customFormat="1" ht="26.25" x14ac:dyDescent="0.4">
      <c r="A59" s="18"/>
      <c r="B59" s="172"/>
      <c r="C59" s="104" t="str">
        <f>'01.09'!C58</f>
        <v>*Пр. Использование электронной*</v>
      </c>
      <c r="D59" s="107">
        <f>'28.12'!D60+COUNTIF(D$9:D$38,$C59)</f>
        <v>2</v>
      </c>
      <c r="E59" s="107">
        <f>'28.12'!E60+COUNTIF(E$9:E$38,$C59)</f>
        <v>2</v>
      </c>
      <c r="F59" s="107">
        <f>'28.12'!G60+COUNTIF(F$9:F$38,$C59)</f>
        <v>2</v>
      </c>
      <c r="G59" s="107">
        <f>'28.12'!H60+COUNTIF(G$9:G$38,$C59)</f>
        <v>2</v>
      </c>
      <c r="H59" s="107">
        <f>'28.12'!I60+COUNTIF(H$9:H$38,$C59)</f>
        <v>2</v>
      </c>
    </row>
    <row r="60" spans="1:8" s="19" customFormat="1" ht="26.25" x14ac:dyDescent="0.4">
      <c r="A60" s="18"/>
      <c r="B60" s="172"/>
      <c r="C60" s="104" t="str">
        <f>'01.09'!C59</f>
        <v>*Пр. Иностранный язык*</v>
      </c>
      <c r="D60" s="107">
        <f>'28.12'!D61+COUNTIF(D$9:D$38,$C60)</f>
        <v>8</v>
      </c>
      <c r="E60" s="107">
        <f>'28.12'!E61+COUNTIF(E$9:E$38,$C60)</f>
        <v>8</v>
      </c>
      <c r="F60" s="107">
        <f>'28.12'!G61+COUNTIF(F$9:F$38,$C60)</f>
        <v>8</v>
      </c>
      <c r="G60" s="107">
        <f>'28.12'!H61+COUNTIF(G$9:G$38,$C60)</f>
        <v>8</v>
      </c>
      <c r="H60" s="107">
        <f>'28.12'!I61+COUNTIF(H$9:H$38,$C60)</f>
        <v>8</v>
      </c>
    </row>
    <row r="61" spans="1:8" s="19" customFormat="1" ht="26.25" x14ac:dyDescent="0.4">
      <c r="A61" s="18"/>
      <c r="B61" s="45"/>
      <c r="C61" s="104" t="str">
        <f>'01.09'!C60</f>
        <v>*С1-04А-26*</v>
      </c>
      <c r="D61" s="107">
        <f>'28.12'!D62+COUNTIF(D$9:D$38,$C61)</f>
        <v>0</v>
      </c>
      <c r="E61" s="107">
        <f>'28.12'!E62+COUNTIF(E$9:E$38,$C61)</f>
        <v>0</v>
      </c>
      <c r="F61" s="107">
        <f>'28.12'!G62+COUNTIF(F$9:F$38,$C61)</f>
        <v>17</v>
      </c>
      <c r="G61" s="107">
        <f>'28.12'!H62+COUNTIF(G$9:G$38,$C61)</f>
        <v>0</v>
      </c>
      <c r="H61" s="107">
        <f>'28.12'!I62+COUNTIF(H$9:H$38,$C61)</f>
        <v>0</v>
      </c>
    </row>
    <row r="62" spans="1:8" ht="26.25" x14ac:dyDescent="0.4">
      <c r="A62" s="2"/>
      <c r="B62" s="2"/>
      <c r="C62" s="104" t="str">
        <f>'01.09'!C61</f>
        <v>*С1-04Б-26*</v>
      </c>
      <c r="D62" s="107">
        <f>'28.12'!D63+COUNTIF(D$9:D$38,$C62)</f>
        <v>0</v>
      </c>
      <c r="E62" s="107">
        <f>'28.12'!E63+COUNTIF(E$9:E$38,$C62)</f>
        <v>0</v>
      </c>
      <c r="F62" s="107">
        <f>'28.12'!G63+COUNTIF(F$9:F$38,$C62)</f>
        <v>17</v>
      </c>
      <c r="G62" s="107">
        <f>'28.12'!H63+COUNTIF(G$9:G$38,$C62)</f>
        <v>0</v>
      </c>
      <c r="H62" s="107">
        <f>'28.12'!I63+COUNTIF(H$9:H$38,$C62)</f>
        <v>0</v>
      </c>
    </row>
    <row r="63" spans="1:8" ht="26.25" x14ac:dyDescent="0.4">
      <c r="A63" s="2"/>
      <c r="B63" s="2"/>
      <c r="C63" s="104" t="str">
        <f>'01.09'!C62</f>
        <v>*С1-05А-26*</v>
      </c>
      <c r="D63" s="107">
        <f>'28.12'!D64+COUNTIF(D$9:D$38,$C63)</f>
        <v>0</v>
      </c>
      <c r="E63" s="107">
        <f>'28.12'!E64+COUNTIF(E$9:E$38,$C63)</f>
        <v>0</v>
      </c>
      <c r="F63" s="107">
        <f>'28.12'!G64+COUNTIF(F$9:F$38,$C63)</f>
        <v>0</v>
      </c>
      <c r="G63" s="107">
        <f>'28.12'!H64+COUNTIF(G$9:G$38,$C63)</f>
        <v>8</v>
      </c>
      <c r="H63" s="107">
        <f>'28.12'!I64+COUNTIF(H$9:H$38,$C63)</f>
        <v>0</v>
      </c>
    </row>
    <row r="64" spans="1:8" ht="26.25" x14ac:dyDescent="0.4">
      <c r="A64" s="2"/>
      <c r="B64" s="2"/>
      <c r="C64" s="104" t="str">
        <f>'01.09'!C63</f>
        <v>*С1-05Б-26*</v>
      </c>
      <c r="D64" s="107">
        <f>'28.12'!D65+COUNTIF(D$9:D$38,$C64)</f>
        <v>0</v>
      </c>
      <c r="E64" s="107">
        <f>'28.12'!E65+COUNTIF(E$9:E$38,$C64)</f>
        <v>0</v>
      </c>
      <c r="F64" s="107">
        <f>'28.12'!G65+COUNTIF(F$9:F$38,$C64)</f>
        <v>0</v>
      </c>
      <c r="G64" s="107">
        <f>'28.12'!H65+COUNTIF(G$9:G$38,$C64)</f>
        <v>8</v>
      </c>
      <c r="H64" s="107">
        <f>'28.12'!I65+COUNTIF(H$9:H$38,$C64)</f>
        <v>0</v>
      </c>
    </row>
    <row r="65" spans="1:8" ht="26.25" x14ac:dyDescent="0.4">
      <c r="A65" s="2"/>
      <c r="B65" s="2"/>
      <c r="C65" s="104">
        <f>'01.09'!C64</f>
        <v>0</v>
      </c>
      <c r="D65" s="107">
        <f>'28.12'!D66+COUNTIF(D$9:D$38,$C65)</f>
        <v>0</v>
      </c>
      <c r="E65" s="107">
        <f>'28.12'!E66+COUNTIF(E$9:E$38,$C65)</f>
        <v>0</v>
      </c>
      <c r="F65" s="107">
        <f>'28.12'!G66+COUNTIF(F$9:F$38,$C65)</f>
        <v>0</v>
      </c>
      <c r="G65" s="107">
        <f>'28.12'!H66+COUNTIF(G$9:G$38,$C65)</f>
        <v>0</v>
      </c>
      <c r="H65" s="107">
        <f>'28.12'!I66+COUNTIF(H$9:H$38,$C65)</f>
        <v>0</v>
      </c>
    </row>
    <row r="66" spans="1:8" ht="26.25" x14ac:dyDescent="0.4">
      <c r="A66" s="2"/>
      <c r="B66" s="2"/>
      <c r="C66" s="104">
        <f>'01.09'!C65</f>
        <v>0</v>
      </c>
      <c r="D66" s="107">
        <f>'28.12'!D67+COUNTIF(D$9:D$38,$C66)</f>
        <v>0</v>
      </c>
      <c r="E66" s="107">
        <f>'28.12'!E67+COUNTIF(E$9:E$38,$C66)</f>
        <v>0</v>
      </c>
      <c r="F66" s="107">
        <f>'28.12'!G67+COUNTIF(F$9:F$38,$C66)</f>
        <v>0</v>
      </c>
      <c r="G66" s="107">
        <f>'28.12'!H67+COUNTIF(G$9:G$38,$C66)</f>
        <v>0</v>
      </c>
      <c r="H66" s="107">
        <f>'28.12'!I67+COUNTIF(H$9:H$38,$C66)</f>
        <v>0</v>
      </c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</sheetData>
  <mergeCells count="20">
    <mergeCell ref="B1:H1"/>
    <mergeCell ref="B2:H2"/>
    <mergeCell ref="B3:H3"/>
    <mergeCell ref="B4:H4"/>
    <mergeCell ref="A7:A8"/>
    <mergeCell ref="B7:B8"/>
    <mergeCell ref="C7:C8"/>
    <mergeCell ref="A5:H5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A34:A38"/>
    <mergeCell ref="B34:B38"/>
  </mergeCells>
  <pageMargins left="0.19685039370078741" right="0.19685039370078741" top="0.19685039370078741" bottom="0.74803149606299213" header="0.19685039370078741" footer="0.31496062992125984"/>
  <pageSetup paperSize="9" scale="28" fitToWidth="0" fitToHeight="0" orientation="portrait" r:id="rId1"/>
  <rowBreaks count="1" manualBreakCount="1">
    <brk id="39" max="8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view="pageBreakPreview" zoomScale="40" zoomScaleNormal="50" zoomScaleSheetLayoutView="40" zoomScalePageLayoutView="40" workbookViewId="0">
      <selection activeCell="E12" sqref="E12"/>
    </sheetView>
  </sheetViews>
  <sheetFormatPr defaultRowHeight="15" x14ac:dyDescent="0.25"/>
  <cols>
    <col min="1" max="1" width="4.42578125" customWidth="1"/>
    <col min="2" max="2" width="8.28515625" customWidth="1"/>
    <col min="3" max="3" width="25.85546875" customWidth="1"/>
    <col min="4" max="8" width="62.42578125" customWidth="1"/>
  </cols>
  <sheetData>
    <row r="1" spans="1:8" ht="34.5" customHeight="1" x14ac:dyDescent="0.3">
      <c r="A1" s="167"/>
      <c r="B1" s="843" t="s">
        <v>111</v>
      </c>
      <c r="C1" s="843"/>
      <c r="D1" s="843"/>
      <c r="E1" s="843"/>
      <c r="F1" s="843"/>
      <c r="G1" s="843"/>
      <c r="H1" s="843"/>
    </row>
    <row r="2" spans="1:8" ht="34.5" customHeight="1" x14ac:dyDescent="0.3">
      <c r="A2" s="168"/>
      <c r="B2" s="843" t="s">
        <v>91</v>
      </c>
      <c r="C2" s="843"/>
      <c r="D2" s="843"/>
      <c r="E2" s="843"/>
      <c r="F2" s="843"/>
      <c r="G2" s="843"/>
      <c r="H2" s="843"/>
    </row>
    <row r="3" spans="1:8" ht="32.25" customHeight="1" x14ac:dyDescent="0.25">
      <c r="A3" s="218"/>
      <c r="B3" s="892" t="s">
        <v>85</v>
      </c>
      <c r="C3" s="892"/>
      <c r="D3" s="892"/>
      <c r="E3" s="892"/>
      <c r="F3" s="892"/>
      <c r="G3" s="892"/>
      <c r="H3" s="892"/>
    </row>
    <row r="4" spans="1:8" ht="34.5" customHeight="1" x14ac:dyDescent="0.25">
      <c r="A4" s="169"/>
      <c r="B4" s="843" t="s">
        <v>112</v>
      </c>
      <c r="C4" s="843"/>
      <c r="D4" s="843"/>
      <c r="E4" s="843"/>
      <c r="F4" s="843"/>
      <c r="G4" s="843"/>
      <c r="H4" s="843"/>
    </row>
    <row r="5" spans="1:8" ht="33.75" customHeight="1" thickBot="1" x14ac:dyDescent="0.3">
      <c r="A5" s="787" t="s">
        <v>116</v>
      </c>
      <c r="B5" s="787"/>
      <c r="C5" s="787"/>
      <c r="D5" s="787"/>
      <c r="E5" s="787"/>
      <c r="F5" s="787"/>
      <c r="G5" s="787"/>
      <c r="H5" s="787"/>
    </row>
    <row r="6" spans="1:8" ht="21" hidden="1" thickBot="1" x14ac:dyDescent="0.35">
      <c r="A6" s="41"/>
      <c r="B6" s="40"/>
      <c r="C6" s="40"/>
      <c r="D6" s="255"/>
      <c r="E6" s="255"/>
      <c r="F6" s="255"/>
      <c r="G6" s="255"/>
      <c r="H6" s="255"/>
    </row>
    <row r="7" spans="1:8" ht="30.75" customHeight="1" thickBot="1" x14ac:dyDescent="0.3">
      <c r="A7" s="866" t="s">
        <v>54</v>
      </c>
      <c r="B7" s="866" t="s">
        <v>14</v>
      </c>
      <c r="C7" s="841" t="s">
        <v>55</v>
      </c>
      <c r="D7" s="230" t="s">
        <v>5</v>
      </c>
      <c r="E7" s="231" t="s">
        <v>6</v>
      </c>
      <c r="F7" s="231" t="s">
        <v>7</v>
      </c>
      <c r="G7" s="231" t="s">
        <v>8</v>
      </c>
      <c r="H7" s="232" t="s">
        <v>9</v>
      </c>
    </row>
    <row r="8" spans="1:8" ht="56.25" thickBot="1" x14ac:dyDescent="0.3">
      <c r="A8" s="867"/>
      <c r="B8" s="867"/>
      <c r="C8" s="842"/>
      <c r="D8" s="283" t="s">
        <v>113</v>
      </c>
      <c r="E8" s="352" t="s">
        <v>115</v>
      </c>
      <c r="F8" s="352" t="s">
        <v>114</v>
      </c>
      <c r="G8" s="352" t="s">
        <v>98</v>
      </c>
      <c r="H8" s="421" t="s">
        <v>82</v>
      </c>
    </row>
    <row r="9" spans="1:8" ht="81" customHeight="1" x14ac:dyDescent="0.25">
      <c r="A9" s="936" t="s">
        <v>0</v>
      </c>
      <c r="B9" s="889">
        <v>45824</v>
      </c>
      <c r="C9" s="200" t="s">
        <v>10</v>
      </c>
      <c r="D9" s="410"/>
      <c r="E9" s="411"/>
      <c r="F9" s="387"/>
      <c r="G9" s="411"/>
      <c r="H9" s="412"/>
    </row>
    <row r="10" spans="1:8" ht="81" customHeight="1" x14ac:dyDescent="0.25">
      <c r="A10" s="937"/>
      <c r="B10" s="882"/>
      <c r="C10" s="201" t="s">
        <v>11</v>
      </c>
      <c r="D10" s="299"/>
      <c r="E10" s="390"/>
      <c r="F10" s="301"/>
      <c r="G10" s="301"/>
      <c r="H10" s="388"/>
    </row>
    <row r="11" spans="1:8" ht="81" customHeight="1" x14ac:dyDescent="0.25">
      <c r="A11" s="937"/>
      <c r="B11" s="882"/>
      <c r="C11" s="201" t="s">
        <v>12</v>
      </c>
      <c r="D11" s="299"/>
      <c r="E11" s="361"/>
      <c r="F11" s="301"/>
      <c r="G11" s="361"/>
      <c r="H11" s="388"/>
    </row>
    <row r="12" spans="1:8" ht="81" customHeight="1" x14ac:dyDescent="0.25">
      <c r="A12" s="937"/>
      <c r="B12" s="882"/>
      <c r="C12" s="201" t="s">
        <v>13</v>
      </c>
      <c r="D12" s="299"/>
      <c r="E12" s="361"/>
      <c r="F12" s="361"/>
      <c r="G12" s="361"/>
      <c r="H12" s="388"/>
    </row>
    <row r="13" spans="1:8" ht="81" customHeight="1" thickBot="1" x14ac:dyDescent="0.3">
      <c r="A13" s="937"/>
      <c r="B13" s="882"/>
      <c r="C13" s="274" t="s">
        <v>15</v>
      </c>
      <c r="D13" s="403"/>
      <c r="E13" s="405"/>
      <c r="F13" s="405"/>
      <c r="G13" s="405"/>
      <c r="H13" s="406"/>
    </row>
    <row r="14" spans="1:8" ht="81" customHeight="1" x14ac:dyDescent="0.25">
      <c r="A14" s="928" t="s">
        <v>1</v>
      </c>
      <c r="B14" s="864">
        <f>B9+1</f>
        <v>45825</v>
      </c>
      <c r="C14" s="76" t="s">
        <v>10</v>
      </c>
      <c r="D14" s="410"/>
      <c r="E14" s="360"/>
      <c r="F14" s="360"/>
      <c r="G14" s="411"/>
      <c r="H14" s="412"/>
    </row>
    <row r="15" spans="1:8" ht="88.5" customHeight="1" x14ac:dyDescent="0.25">
      <c r="A15" s="931"/>
      <c r="B15" s="858"/>
      <c r="C15" s="77" t="s">
        <v>11</v>
      </c>
      <c r="D15" s="392"/>
      <c r="E15" s="361"/>
      <c r="F15" s="361"/>
      <c r="G15" s="301"/>
      <c r="H15" s="300"/>
    </row>
    <row r="16" spans="1:8" ht="81" customHeight="1" x14ac:dyDescent="0.25">
      <c r="A16" s="931"/>
      <c r="B16" s="858"/>
      <c r="C16" s="77" t="s">
        <v>12</v>
      </c>
      <c r="D16" s="299"/>
      <c r="E16" s="301"/>
      <c r="F16" s="301"/>
      <c r="G16" s="361"/>
      <c r="H16" s="300"/>
    </row>
    <row r="17" spans="1:10" ht="77.25" customHeight="1" x14ac:dyDescent="0.25">
      <c r="A17" s="931"/>
      <c r="B17" s="858"/>
      <c r="C17" s="77" t="s">
        <v>13</v>
      </c>
      <c r="D17" s="299"/>
      <c r="E17" s="301"/>
      <c r="F17" s="301"/>
      <c r="G17" s="361"/>
      <c r="H17" s="300"/>
    </row>
    <row r="18" spans="1:10" ht="81" customHeight="1" x14ac:dyDescent="0.25">
      <c r="A18" s="931"/>
      <c r="B18" s="858"/>
      <c r="C18" s="77" t="s">
        <v>15</v>
      </c>
      <c r="D18" s="299"/>
      <c r="E18" s="301"/>
      <c r="F18" s="301"/>
      <c r="G18" s="301"/>
      <c r="H18" s="300"/>
    </row>
    <row r="19" spans="1:10" ht="81" customHeight="1" thickBot="1" x14ac:dyDescent="0.3">
      <c r="A19" s="932"/>
      <c r="B19" s="858"/>
      <c r="C19" s="77" t="s">
        <v>64</v>
      </c>
      <c r="D19" s="193"/>
      <c r="E19" s="415"/>
      <c r="F19" s="390"/>
      <c r="G19" s="390"/>
      <c r="H19" s="391"/>
      <c r="J19" s="3"/>
    </row>
    <row r="20" spans="1:10" ht="81" customHeight="1" x14ac:dyDescent="0.25">
      <c r="A20" s="928" t="s">
        <v>2</v>
      </c>
      <c r="B20" s="864">
        <f>B14+1</f>
        <v>45826</v>
      </c>
      <c r="C20" s="76" t="s">
        <v>10</v>
      </c>
      <c r="D20" s="410"/>
      <c r="E20" s="411"/>
      <c r="F20" s="360"/>
      <c r="G20" s="411"/>
      <c r="H20" s="412"/>
    </row>
    <row r="21" spans="1:10" ht="81" customHeight="1" x14ac:dyDescent="0.25">
      <c r="A21" s="931"/>
      <c r="B21" s="858"/>
      <c r="C21" s="77" t="s">
        <v>11</v>
      </c>
      <c r="D21" s="299"/>
      <c r="E21" s="301"/>
      <c r="F21" s="361"/>
      <c r="G21" s="301"/>
      <c r="H21" s="300"/>
    </row>
    <row r="22" spans="1:10" ht="81" customHeight="1" x14ac:dyDescent="0.25">
      <c r="A22" s="931"/>
      <c r="B22" s="858"/>
      <c r="C22" s="77" t="s">
        <v>12</v>
      </c>
      <c r="D22" s="299"/>
      <c r="E22" s="361"/>
      <c r="F22" s="361"/>
      <c r="G22" s="301"/>
      <c r="H22" s="388"/>
      <c r="J22" s="3"/>
    </row>
    <row r="23" spans="1:10" ht="81" customHeight="1" x14ac:dyDescent="0.25">
      <c r="A23" s="931"/>
      <c r="B23" s="858"/>
      <c r="C23" s="77" t="s">
        <v>13</v>
      </c>
      <c r="D23" s="299"/>
      <c r="E23" s="361"/>
      <c r="F23" s="301"/>
      <c r="G23" s="361"/>
      <c r="H23" s="300"/>
    </row>
    <row r="24" spans="1:10" ht="81" customHeight="1" thickBot="1" x14ac:dyDescent="0.3">
      <c r="A24" s="932"/>
      <c r="B24" s="858"/>
      <c r="C24" s="212" t="s">
        <v>15</v>
      </c>
      <c r="D24" s="403"/>
      <c r="E24" s="404"/>
      <c r="F24" s="404"/>
      <c r="G24" s="405"/>
      <c r="H24" s="406"/>
    </row>
    <row r="25" spans="1:10" ht="81" customHeight="1" x14ac:dyDescent="0.25">
      <c r="A25" s="928" t="s">
        <v>3</v>
      </c>
      <c r="B25" s="864">
        <f>B20+1</f>
        <v>45827</v>
      </c>
      <c r="C25" s="213" t="s">
        <v>10</v>
      </c>
      <c r="D25" s="407"/>
      <c r="E25" s="408"/>
      <c r="F25" s="408"/>
      <c r="G25" s="408"/>
      <c r="H25" s="409"/>
    </row>
    <row r="26" spans="1:10" ht="81" customHeight="1" x14ac:dyDescent="0.25">
      <c r="A26" s="939"/>
      <c r="B26" s="858"/>
      <c r="C26" s="77" t="s">
        <v>11</v>
      </c>
      <c r="D26" s="299"/>
      <c r="E26" s="301"/>
      <c r="F26" s="361"/>
      <c r="G26" s="301"/>
      <c r="H26" s="300"/>
    </row>
    <row r="27" spans="1:10" ht="98.25" customHeight="1" x14ac:dyDescent="0.25">
      <c r="A27" s="939"/>
      <c r="B27" s="858"/>
      <c r="C27" s="77" t="s">
        <v>12</v>
      </c>
      <c r="D27" s="392"/>
      <c r="E27" s="361"/>
      <c r="F27" s="361"/>
      <c r="G27" s="361"/>
      <c r="H27" s="388"/>
    </row>
    <row r="28" spans="1:10" ht="98.25" customHeight="1" x14ac:dyDescent="0.25">
      <c r="A28" s="939"/>
      <c r="B28" s="858"/>
      <c r="C28" s="72" t="s">
        <v>13</v>
      </c>
      <c r="D28" s="354"/>
      <c r="E28" s="416"/>
      <c r="F28" s="361"/>
      <c r="G28" s="361"/>
      <c r="H28" s="388"/>
    </row>
    <row r="29" spans="1:10" ht="98.25" customHeight="1" x14ac:dyDescent="0.25">
      <c r="A29" s="939"/>
      <c r="B29" s="858"/>
      <c r="C29" s="359" t="s">
        <v>64</v>
      </c>
      <c r="D29" s="414"/>
      <c r="E29" s="416"/>
      <c r="F29" s="393"/>
      <c r="G29" s="393"/>
      <c r="H29" s="417"/>
    </row>
    <row r="30" spans="1:10" ht="81" customHeight="1" thickBot="1" x14ac:dyDescent="0.3">
      <c r="A30" s="940"/>
      <c r="B30" s="858"/>
      <c r="C30" s="73" t="s">
        <v>103</v>
      </c>
      <c r="D30" s="193"/>
      <c r="E30" s="416"/>
      <c r="F30" s="390"/>
      <c r="G30" s="390"/>
      <c r="H30" s="394"/>
    </row>
    <row r="31" spans="1:10" ht="81" customHeight="1" x14ac:dyDescent="0.25">
      <c r="A31" s="936" t="s">
        <v>4</v>
      </c>
      <c r="B31" s="881">
        <f>B25+1</f>
        <v>45828</v>
      </c>
      <c r="C31" s="252" t="s">
        <v>10</v>
      </c>
      <c r="D31" s="410"/>
      <c r="E31" s="411"/>
      <c r="F31" s="411"/>
      <c r="G31" s="411"/>
      <c r="H31" s="412"/>
    </row>
    <row r="32" spans="1:10" ht="81" customHeight="1" x14ac:dyDescent="0.25">
      <c r="A32" s="937"/>
      <c r="B32" s="882"/>
      <c r="C32" s="253" t="s">
        <v>11</v>
      </c>
      <c r="D32" s="299"/>
      <c r="E32" s="301"/>
      <c r="F32" s="301"/>
      <c r="G32" s="301"/>
      <c r="H32" s="300"/>
    </row>
    <row r="33" spans="1:8" ht="81" customHeight="1" x14ac:dyDescent="0.25">
      <c r="A33" s="937"/>
      <c r="B33" s="882"/>
      <c r="C33" s="253" t="s">
        <v>12</v>
      </c>
      <c r="D33" s="299"/>
      <c r="E33" s="301"/>
      <c r="F33" s="301"/>
      <c r="G33" s="301"/>
      <c r="H33" s="300"/>
    </row>
    <row r="34" spans="1:8" ht="81" customHeight="1" x14ac:dyDescent="0.25">
      <c r="A34" s="937"/>
      <c r="B34" s="882"/>
      <c r="C34" s="253" t="s">
        <v>13</v>
      </c>
      <c r="D34" s="299"/>
      <c r="E34" s="301"/>
      <c r="F34" s="301"/>
      <c r="G34" s="301"/>
      <c r="H34" s="388"/>
    </row>
    <row r="35" spans="1:8" ht="81" customHeight="1" thickBot="1" x14ac:dyDescent="0.3">
      <c r="A35" s="938"/>
      <c r="B35" s="882"/>
      <c r="C35" s="254" t="s">
        <v>15</v>
      </c>
      <c r="D35" s="398"/>
      <c r="E35" s="399"/>
      <c r="F35" s="399"/>
      <c r="G35" s="399"/>
      <c r="H35" s="400"/>
    </row>
    <row r="36" spans="1:8" ht="67.5" customHeight="1" x14ac:dyDescent="0.25">
      <c r="A36" s="935" t="s">
        <v>47</v>
      </c>
      <c r="B36" s="881">
        <f>B31+1</f>
        <v>45829</v>
      </c>
      <c r="C36" s="252" t="s">
        <v>10</v>
      </c>
      <c r="D36" s="138"/>
      <c r="E36" s="139"/>
      <c r="F36" s="139"/>
      <c r="G36" s="139"/>
      <c r="H36" s="140"/>
    </row>
    <row r="37" spans="1:8" ht="67.5" customHeight="1" x14ac:dyDescent="0.25">
      <c r="A37" s="882"/>
      <c r="B37" s="882"/>
      <c r="C37" s="253" t="s">
        <v>11</v>
      </c>
      <c r="D37" s="248"/>
      <c r="E37" s="135"/>
      <c r="F37" s="135"/>
      <c r="G37" s="136"/>
      <c r="H37" s="249"/>
    </row>
    <row r="38" spans="1:8" ht="67.5" customHeight="1" x14ac:dyDescent="0.25">
      <c r="A38" s="882"/>
      <c r="B38" s="882"/>
      <c r="C38" s="253" t="s">
        <v>12</v>
      </c>
      <c r="D38" s="248"/>
      <c r="E38" s="135"/>
      <c r="F38" s="367"/>
      <c r="G38" s="135"/>
      <c r="H38" s="368"/>
    </row>
    <row r="39" spans="1:8" ht="67.5" customHeight="1" x14ac:dyDescent="0.25">
      <c r="A39" s="882"/>
      <c r="B39" s="882"/>
      <c r="C39" s="253" t="s">
        <v>13</v>
      </c>
      <c r="D39" s="141"/>
      <c r="E39" s="136"/>
      <c r="F39" s="136"/>
      <c r="G39" s="135"/>
      <c r="H39" s="142"/>
    </row>
    <row r="40" spans="1:8" ht="67.5" customHeight="1" thickBot="1" x14ac:dyDescent="0.3">
      <c r="A40" s="883"/>
      <c r="B40" s="883"/>
      <c r="C40" s="254" t="s">
        <v>15</v>
      </c>
      <c r="D40" s="143"/>
      <c r="E40" s="96"/>
      <c r="F40" s="96"/>
      <c r="G40" s="96"/>
      <c r="H40" s="108"/>
    </row>
    <row r="41" spans="1:8" ht="28.5" customHeight="1" x14ac:dyDescent="0.3">
      <c r="A41" s="2"/>
      <c r="B41" s="2"/>
      <c r="C41" s="44"/>
      <c r="D41" s="170" t="s">
        <v>86</v>
      </c>
      <c r="E41" s="44"/>
      <c r="F41" s="44"/>
      <c r="G41" s="44"/>
      <c r="H41" s="44"/>
    </row>
    <row r="42" spans="1:8" s="19" customFormat="1" ht="26.25" x14ac:dyDescent="0.4">
      <c r="A42" s="18"/>
      <c r="B42" s="204"/>
      <c r="C42" s="413" t="str">
        <f>'01.09'!C39</f>
        <v>*Л. Речевое общение в профессиональной деятельности*</v>
      </c>
      <c r="D42" s="217">
        <f>'09.06'!D40+COUNTIF(D$9:D$40,$C42)</f>
        <v>5</v>
      </c>
      <c r="E42" s="217">
        <f>'09.06'!E40+COUNTIF(E$9:E$40,$C42)</f>
        <v>5</v>
      </c>
      <c r="F42" s="217">
        <f>'09.06'!F40+COUNTIF(F$9:F$40,$C42)</f>
        <v>5</v>
      </c>
      <c r="G42" s="217">
        <f>'09.06'!G40+COUNTIF(G$9:G$40,$C42)</f>
        <v>5</v>
      </c>
      <c r="H42" s="217">
        <f>'09.06'!H40+COUNTIF(H$9:H$40,$C42)</f>
        <v>5</v>
      </c>
    </row>
    <row r="43" spans="1:8" s="19" customFormat="1" ht="26.25" x14ac:dyDescent="0.4">
      <c r="A43" s="18"/>
      <c r="B43" s="204"/>
      <c r="C43" s="413" t="str">
        <f>'01.09'!C40</f>
        <v>*Пр. Речевое общение в профессиональной деятельности*</v>
      </c>
      <c r="D43" s="402">
        <f>'09.06'!D41+COUNTIF(D$9:D$40,$C43)</f>
        <v>4</v>
      </c>
      <c r="E43" s="217">
        <f>'09.06'!E41+COUNTIF(E$9:E$40,$C43)</f>
        <v>4</v>
      </c>
      <c r="F43" s="365">
        <f>'09.06'!F41+COUNTIF(F$9:F$40,$C43)</f>
        <v>4</v>
      </c>
      <c r="G43" s="217">
        <f>'09.06'!G41+COUNTIF(G$9:G$40,$C43)</f>
        <v>4</v>
      </c>
      <c r="H43" s="217">
        <f>'09.06'!H41+COUNTIF(H$9:H$40,$C43)</f>
        <v>4</v>
      </c>
    </row>
    <row r="44" spans="1:8" s="19" customFormat="1" ht="26.25" x14ac:dyDescent="0.4">
      <c r="A44" s="18"/>
      <c r="B44" s="205"/>
      <c r="C44" s="413" t="str">
        <f>'01.09'!C41</f>
        <v>*Л. Элективные дисциплины по ФКиС: Силовая подготовка*</v>
      </c>
      <c r="D44" s="217">
        <f>'09.06'!D42+COUNTIF(D$9:D$40,$C44)</f>
        <v>1</v>
      </c>
      <c r="E44" s="217">
        <f>'09.06'!E42+COUNTIF(E$9:E$40,$C44)</f>
        <v>1</v>
      </c>
      <c r="F44" s="217">
        <f>'09.06'!F42+COUNTIF(F$9:F$40,$C44)</f>
        <v>1</v>
      </c>
      <c r="G44" s="217">
        <f>'09.06'!G42+COUNTIF(G$9:G$40,$C44)</f>
        <v>1</v>
      </c>
      <c r="H44" s="217">
        <f>'09.06'!H42+COUNTIF(H$9:H$40,$C44)</f>
        <v>1</v>
      </c>
    </row>
    <row r="45" spans="1:8" s="19" customFormat="1" ht="26.25" x14ac:dyDescent="0.4">
      <c r="A45" s="18"/>
      <c r="B45" s="205"/>
      <c r="C45" s="413" t="str">
        <f>'01.09'!C42</f>
        <v>*Пр. Элективные дисциплины по ФКиС: Силовая подготовка*</v>
      </c>
      <c r="D45" s="217">
        <f>'09.06'!D43+COUNTIF(D$9:D$40,$C45)</f>
        <v>8</v>
      </c>
      <c r="E45" s="217">
        <f>'09.06'!E43+COUNTIF(E$9:E$40,$C45)</f>
        <v>9</v>
      </c>
      <c r="F45" s="217">
        <f>'09.06'!F43+COUNTIF(F$9:F$40,$C45)</f>
        <v>9</v>
      </c>
      <c r="G45" s="217">
        <f>'09.06'!G43+COUNTIF(G$9:G$40,$C45)</f>
        <v>9</v>
      </c>
      <c r="H45" s="217">
        <f>'09.06'!H43+COUNTIF(H$9:H$40,$C45)</f>
        <v>8</v>
      </c>
    </row>
    <row r="46" spans="1:8" s="19" customFormat="1" ht="26.25" x14ac:dyDescent="0.4">
      <c r="A46" s="18"/>
      <c r="B46" s="204"/>
      <c r="C46" s="413" t="str">
        <f>'01.09'!C43</f>
        <v>*Л. Анатомия*</v>
      </c>
      <c r="D46" s="217">
        <f>'09.06'!D44+COUNTIF(D$9:D$40,$C46)</f>
        <v>4</v>
      </c>
      <c r="E46" s="217">
        <f>'09.06'!E44+COUNTIF(E$9:E$40,$C46)</f>
        <v>4</v>
      </c>
      <c r="F46" s="217">
        <f>'09.06'!F44+COUNTIF(F$9:F$40,$C46)</f>
        <v>4</v>
      </c>
      <c r="G46" s="217">
        <f>'09.06'!G44+COUNTIF(G$9:G$40,$C46)</f>
        <v>4</v>
      </c>
      <c r="H46" s="217">
        <f>'09.06'!H44+COUNTIF(H$9:H$40,$C46)</f>
        <v>4</v>
      </c>
    </row>
    <row r="47" spans="1:8" s="19" customFormat="1" ht="26.25" x14ac:dyDescent="0.4">
      <c r="A47" s="18"/>
      <c r="B47" s="204"/>
      <c r="C47" s="413" t="str">
        <f>'01.09'!C44</f>
        <v>*Пр. Анатомия*</v>
      </c>
      <c r="D47" s="217">
        <f>'09.06'!D45+COUNTIF(D$9:D$40,$C47)</f>
        <v>4</v>
      </c>
      <c r="E47" s="217">
        <f>'09.06'!E45+COUNTIF(E$9:E$40,$C47)</f>
        <v>4</v>
      </c>
      <c r="F47" s="217">
        <f>'09.06'!F45+COUNTIF(F$9:F$40,$C47)</f>
        <v>4</v>
      </c>
      <c r="G47" s="217">
        <f>'09.06'!G45+COUNTIF(G$9:G$40,$C47)</f>
        <v>4</v>
      </c>
      <c r="H47" s="217">
        <f>'09.06'!H45+COUNTIF(H$9:H$40,$C47)</f>
        <v>4</v>
      </c>
    </row>
    <row r="48" spans="1:8" s="19" customFormat="1" ht="26.25" x14ac:dyDescent="0.4">
      <c r="A48" s="18"/>
      <c r="B48" s="204"/>
      <c r="C48" s="413" t="str">
        <f>'01.09'!C45</f>
        <v>*Л. Теория и методика*</v>
      </c>
      <c r="D48" s="217">
        <f>'09.06'!D46+COUNTIF(D$9:D$40,$C48)</f>
        <v>5</v>
      </c>
      <c r="E48" s="217">
        <f>'09.06'!E46+COUNTIF(E$9:E$40,$C48)</f>
        <v>4</v>
      </c>
      <c r="F48" s="217">
        <f>'09.06'!F46+COUNTIF(F$9:F$40,$C48)</f>
        <v>4</v>
      </c>
      <c r="G48" s="217">
        <f>'09.06'!G46+COUNTIF(G$9:G$40,$C48)</f>
        <v>5</v>
      </c>
      <c r="H48" s="217">
        <f>'09.06'!H46+COUNTIF(H$9:H$40,$C48)</f>
        <v>3</v>
      </c>
    </row>
    <row r="49" spans="1:8" s="19" customFormat="1" ht="26.25" x14ac:dyDescent="0.4">
      <c r="A49" s="18"/>
      <c r="B49" s="204"/>
      <c r="C49" s="413" t="str">
        <f>'01.09'!C46</f>
        <v>*Пр. Теория и методика*</v>
      </c>
      <c r="D49" s="217">
        <f>'09.06'!D47+COUNTIF(D$9:D$40,$C49)</f>
        <v>24</v>
      </c>
      <c r="E49" s="217">
        <f>'09.06'!E47+COUNTIF(E$9:E$40,$C49)</f>
        <v>23</v>
      </c>
      <c r="F49" s="217">
        <f>'09.06'!F47+COUNTIF(F$9:F$40,$C49)</f>
        <v>23</v>
      </c>
      <c r="G49" s="217">
        <f>'09.06'!G47+COUNTIF(G$9:G$40,$C49)</f>
        <v>26</v>
      </c>
      <c r="H49" s="217">
        <f>'09.06'!H47+COUNTIF(H$9:H$40,$C49)</f>
        <v>20</v>
      </c>
    </row>
    <row r="50" spans="1:8" s="19" customFormat="1" ht="26.25" x14ac:dyDescent="0.4">
      <c r="A50" s="18"/>
      <c r="B50" s="204"/>
      <c r="C50" s="413" t="str">
        <f>'01.09'!C47</f>
        <v>*Л. Физическая культура и спорт*</v>
      </c>
      <c r="D50" s="217">
        <f>'09.06'!D48+COUNTIF(D$9:D$40,$C50)</f>
        <v>5</v>
      </c>
      <c r="E50" s="217">
        <f>'09.06'!E48+COUNTIF(E$9:E$40,$C50)</f>
        <v>5</v>
      </c>
      <c r="F50" s="217">
        <f>'09.06'!F48+COUNTIF(F$9:F$40,$C50)</f>
        <v>5</v>
      </c>
      <c r="G50" s="217">
        <f>'09.06'!G48+COUNTIF(G$9:G$40,$C50)</f>
        <v>5</v>
      </c>
      <c r="H50" s="217">
        <f>'09.06'!H48+COUNTIF(H$9:H$40,$C50)</f>
        <v>5</v>
      </c>
    </row>
    <row r="51" spans="1:8" s="19" customFormat="1" ht="26.25" x14ac:dyDescent="0.4">
      <c r="A51" s="18"/>
      <c r="B51" s="204"/>
      <c r="C51" s="413" t="str">
        <f>'01.09'!C48</f>
        <v>*Пр. Физическая культура и спорт*</v>
      </c>
      <c r="D51" s="217">
        <f>'09.06'!D49+COUNTIF(D$9:D$40,$C51)</f>
        <v>5</v>
      </c>
      <c r="E51" s="217">
        <f>'09.06'!E49+COUNTIF(E$9:E$40,$C51)</f>
        <v>5</v>
      </c>
      <c r="F51" s="217">
        <f>'09.06'!F49+COUNTIF(F$9:F$40,$C51)</f>
        <v>5</v>
      </c>
      <c r="G51" s="217">
        <f>'09.06'!G49+COUNTIF(G$9:G$40,$C51)</f>
        <v>5</v>
      </c>
      <c r="H51" s="217">
        <f>'09.06'!H49+COUNTIF(H$9:H$40,$C51)</f>
        <v>5</v>
      </c>
    </row>
    <row r="52" spans="1:8" s="19" customFormat="1" ht="26.25" x14ac:dyDescent="0.4">
      <c r="A52" s="18"/>
      <c r="B52" s="204"/>
      <c r="C52" s="413" t="str">
        <f>'01.09'!C49</f>
        <v>*Л. Информационные технологии*</v>
      </c>
      <c r="D52" s="217">
        <f>'09.06'!D50+COUNTIF(D$9:D$40,$C52)</f>
        <v>2</v>
      </c>
      <c r="E52" s="217">
        <f>'09.06'!E50+COUNTIF(E$9:E$40,$C52)</f>
        <v>2</v>
      </c>
      <c r="F52" s="217">
        <f>'09.06'!F50+COUNTIF(F$9:F$40,$C52)</f>
        <v>2</v>
      </c>
      <c r="G52" s="217">
        <f>'09.06'!G50+COUNTIF(G$9:G$40,$C52)</f>
        <v>2</v>
      </c>
      <c r="H52" s="217">
        <f>'09.06'!H50+COUNTIF(H$9:H$40,$C52)</f>
        <v>2</v>
      </c>
    </row>
    <row r="53" spans="1:8" s="19" customFormat="1" ht="26.25" x14ac:dyDescent="0.4">
      <c r="A53" s="18"/>
      <c r="B53" s="204"/>
      <c r="C53" s="413" t="str">
        <f>'01.09'!C50</f>
        <v>*Пр. Информационные технологии*</v>
      </c>
      <c r="D53" s="217">
        <f>'09.06'!D51+COUNTIF(D$9:D$40,$C53)</f>
        <v>8</v>
      </c>
      <c r="E53" s="217">
        <f>'09.06'!E51+COUNTIF(E$9:E$40,$C53)</f>
        <v>8</v>
      </c>
      <c r="F53" s="217">
        <f>'09.06'!F51+COUNTIF(F$9:F$40,$C53)</f>
        <v>8</v>
      </c>
      <c r="G53" s="217">
        <f>'09.06'!G51+COUNTIF(G$9:G$40,$C53)</f>
        <v>8</v>
      </c>
      <c r="H53" s="217">
        <f>'09.06'!H51+COUNTIF(H$9:H$40,$C53)</f>
        <v>8</v>
      </c>
    </row>
    <row r="54" spans="1:8" s="19" customFormat="1" ht="26.25" x14ac:dyDescent="0.4">
      <c r="A54" s="18"/>
      <c r="B54" s="204"/>
      <c r="C54" s="413" t="str">
        <f>'01.09'!C51</f>
        <v>*Л. Гимнастика*</v>
      </c>
      <c r="D54" s="217">
        <f>'09.06'!D52+COUNTIF(D$9:D$40,$C54)</f>
        <v>3</v>
      </c>
      <c r="E54" s="217">
        <f>'09.06'!E52+COUNTIF(E$9:E$40,$C54)</f>
        <v>3</v>
      </c>
      <c r="F54" s="217">
        <f>'09.06'!F52+COUNTIF(F$9:F$40,$C54)</f>
        <v>3</v>
      </c>
      <c r="G54" s="217">
        <f>'09.06'!G52+COUNTIF(G$9:G$40,$C54)</f>
        <v>3</v>
      </c>
      <c r="H54" s="217">
        <f>'09.06'!H52+COUNTIF(H$9:H$40,$C54)</f>
        <v>3</v>
      </c>
    </row>
    <row r="55" spans="1:8" s="19" customFormat="1" ht="26.25" x14ac:dyDescent="0.4">
      <c r="A55" s="18"/>
      <c r="B55" s="204"/>
      <c r="C55" s="413" t="str">
        <f>'01.09'!C52</f>
        <v>*Пр. Гимнастика*</v>
      </c>
      <c r="D55" s="217">
        <f>'09.06'!D53+COUNTIF(D$9:D$40,$C55)</f>
        <v>8</v>
      </c>
      <c r="E55" s="217">
        <f>'09.06'!E53+COUNTIF(E$9:E$40,$C55)</f>
        <v>13</v>
      </c>
      <c r="F55" s="217">
        <f>'09.06'!F53+COUNTIF(F$9:F$40,$C55)</f>
        <v>12</v>
      </c>
      <c r="G55" s="217">
        <f>'09.06'!G53+COUNTIF(G$9:G$40,$C55)</f>
        <v>13</v>
      </c>
      <c r="H55" s="217">
        <f>'09.06'!H53+COUNTIF(H$9:H$40,$C55)</f>
        <v>12</v>
      </c>
    </row>
    <row r="56" spans="1:8" s="19" customFormat="1" ht="26.25" x14ac:dyDescent="0.4">
      <c r="A56" s="18"/>
      <c r="B56" s="204"/>
      <c r="C56" s="413" t="str">
        <f>'01.09'!C53</f>
        <v>*Л. Волейбол*</v>
      </c>
      <c r="D56" s="217">
        <f>'09.06'!D54+COUNTIF(D$9:D$40,$C56)</f>
        <v>1</v>
      </c>
      <c r="E56" s="217">
        <f>'09.06'!E54+COUNTIF(E$9:E$40,$C56)</f>
        <v>1</v>
      </c>
      <c r="F56" s="217">
        <f>'09.06'!F54+COUNTIF(F$9:F$40,$C56)</f>
        <v>1</v>
      </c>
      <c r="G56" s="217">
        <f>'09.06'!G54+COUNTIF(G$9:G$40,$C56)</f>
        <v>1</v>
      </c>
      <c r="H56" s="217">
        <f>'09.06'!H54+COUNTIF(H$9:H$40,$C56)</f>
        <v>1</v>
      </c>
    </row>
    <row r="57" spans="1:8" s="19" customFormat="1" ht="26.25" x14ac:dyDescent="0.4">
      <c r="A57" s="18"/>
      <c r="B57" s="204"/>
      <c r="C57" s="413" t="str">
        <f>'01.09'!C54</f>
        <v>*Пр. Волейбол*</v>
      </c>
      <c r="D57" s="402">
        <f>'09.06'!D55+COUNTIF(D$9:D$40,$C57)</f>
        <v>16</v>
      </c>
      <c r="E57" s="217">
        <f>'09.06'!E55+COUNTIF(E$9:E$40,$C57)</f>
        <v>16</v>
      </c>
      <c r="F57" s="217">
        <f>'09.06'!F55+COUNTIF(F$9:F$40,$C57)</f>
        <v>8</v>
      </c>
      <c r="G57" s="217">
        <f>'09.06'!G55+COUNTIF(G$9:G$40,$C57)</f>
        <v>16</v>
      </c>
      <c r="H57" s="217">
        <f>'09.06'!H55+COUNTIF(H$9:H$40,$C57)</f>
        <v>16</v>
      </c>
    </row>
    <row r="58" spans="1:8" s="19" customFormat="1" ht="26.25" x14ac:dyDescent="0.4">
      <c r="A58" s="18"/>
      <c r="B58" s="204"/>
      <c r="C58" s="413" t="str">
        <f>'01.09'!C55</f>
        <v>*Л. Лыжные гонки*</v>
      </c>
      <c r="D58" s="217">
        <f>'09.06'!D56+COUNTIF(D$9:D$40,$C58)</f>
        <v>0</v>
      </c>
      <c r="E58" s="217">
        <f>'09.06'!E56+COUNTIF(E$9:E$40,$C58)</f>
        <v>0</v>
      </c>
      <c r="F58" s="217">
        <f>'09.06'!F56+COUNTIF(F$9:F$40,$C58)</f>
        <v>0</v>
      </c>
      <c r="G58" s="217">
        <f>'09.06'!G56+COUNTIF(G$9:G$40,$C58)</f>
        <v>0</v>
      </c>
      <c r="H58" s="217">
        <f>'09.06'!H56+COUNTIF(H$9:H$40,$C58)</f>
        <v>0</v>
      </c>
    </row>
    <row r="59" spans="1:8" s="19" customFormat="1" ht="26.25" x14ac:dyDescent="0.4">
      <c r="A59" s="18"/>
      <c r="B59" s="204"/>
      <c r="C59" s="413" t="str">
        <f>'01.09'!C56</f>
        <v>*Пр. Лыжные гонки*</v>
      </c>
      <c r="D59" s="217">
        <f>'09.06'!D57+COUNTIF(D$9:D$40,$C59)</f>
        <v>0</v>
      </c>
      <c r="E59" s="217">
        <f>'09.06'!E57+COUNTIF(E$9:E$40,$C59)</f>
        <v>0</v>
      </c>
      <c r="F59" s="217">
        <f>'09.06'!F57+COUNTIF(F$9:F$40,$C59)</f>
        <v>0</v>
      </c>
      <c r="G59" s="217">
        <f>'09.06'!G57+COUNTIF(G$9:G$40,$C59)</f>
        <v>0</v>
      </c>
      <c r="H59" s="217">
        <f>'09.06'!H57+COUNTIF(H$9:H$40,$C59)</f>
        <v>0</v>
      </c>
    </row>
    <row r="60" spans="1:8" s="19" customFormat="1" ht="26.25" x14ac:dyDescent="0.4">
      <c r="A60" s="18"/>
      <c r="B60" s="204"/>
      <c r="C60" s="413" t="str">
        <f>'01.09'!C57</f>
        <v>*Л. Использование электронной*</v>
      </c>
      <c r="D60" s="217">
        <f>'09.06'!D58+COUNTIF(D$9:D$40,$C60)</f>
        <v>1</v>
      </c>
      <c r="E60" s="217">
        <f>'09.06'!E58+COUNTIF(E$9:E$40,$C60)</f>
        <v>0</v>
      </c>
      <c r="F60" s="217">
        <f>'09.06'!F58+COUNTIF(F$9:F$40,$C60)</f>
        <v>0</v>
      </c>
      <c r="G60" s="217">
        <f>'09.06'!G58+COUNTIF(G$9:G$40,$C60)</f>
        <v>0</v>
      </c>
      <c r="H60" s="217">
        <f>'09.06'!H58+COUNTIF(H$9:H$40,$C60)</f>
        <v>0</v>
      </c>
    </row>
    <row r="61" spans="1:8" s="19" customFormat="1" ht="26.25" x14ac:dyDescent="0.4">
      <c r="A61" s="18"/>
      <c r="B61" s="204"/>
      <c r="C61" s="413" t="str">
        <f>'01.09'!C58</f>
        <v>*Пр. Использование электронной*</v>
      </c>
      <c r="D61" s="217">
        <f>'09.06'!D59+COUNTIF(D$9:D$40,$C61)</f>
        <v>2</v>
      </c>
      <c r="E61" s="217">
        <f>'09.06'!E59+COUNTIF(E$9:E$40,$C61)</f>
        <v>2</v>
      </c>
      <c r="F61" s="217">
        <f>'09.06'!F59+COUNTIF(F$9:F$40,$C61)</f>
        <v>2</v>
      </c>
      <c r="G61" s="217">
        <f>'09.06'!G59+COUNTIF(G$9:G$40,$C61)</f>
        <v>2</v>
      </c>
      <c r="H61" s="217">
        <f>'09.06'!H59+COUNTIF(H$9:H$40,$C61)</f>
        <v>2</v>
      </c>
    </row>
    <row r="62" spans="1:8" s="19" customFormat="1" ht="26.25" x14ac:dyDescent="0.4">
      <c r="A62" s="18"/>
      <c r="B62" s="172"/>
      <c r="C62" s="413" t="str">
        <f>'01.09'!C59</f>
        <v>*Пр. Иностранный язык*</v>
      </c>
      <c r="D62" s="217">
        <f>'09.06'!D60+COUNTIF(D$9:D$40,$C62)</f>
        <v>8</v>
      </c>
      <c r="E62" s="402">
        <f>'09.06'!E60+COUNTIF(E$9:E$40,$C62)</f>
        <v>8</v>
      </c>
      <c r="F62" s="402">
        <f>'09.06'!F60+COUNTIF(F$9:F$40,$C62)</f>
        <v>8</v>
      </c>
      <c r="G62" s="402">
        <f>'09.06'!G60+COUNTIF(G$9:G$40,$C62)</f>
        <v>8</v>
      </c>
      <c r="H62" s="402">
        <f>'09.06'!H60+COUNTIF(H$9:H$40,$C62)</f>
        <v>8</v>
      </c>
    </row>
    <row r="63" spans="1:8" s="19" customFormat="1" ht="26.25" x14ac:dyDescent="0.4">
      <c r="A63" s="18"/>
      <c r="B63" s="172"/>
      <c r="C63" s="413" t="str">
        <f>'01.09'!C60</f>
        <v>*С1-04А-26*</v>
      </c>
      <c r="D63" s="217">
        <f>'09.06'!D61+COUNTIF(D$9:D$40,$C63)</f>
        <v>0</v>
      </c>
      <c r="E63" s="402">
        <f>'09.06'!E61+COUNTIF(E$9:E$40,$C63)</f>
        <v>0</v>
      </c>
      <c r="F63" s="402">
        <f>'09.06'!F61+COUNTIF(F$9:F$40,$C63)</f>
        <v>17</v>
      </c>
      <c r="G63" s="402">
        <f>'09.06'!G61+COUNTIF(G$9:G$40,$C63)</f>
        <v>0</v>
      </c>
      <c r="H63" s="402">
        <f>'09.06'!H61+COUNTIF(H$9:H$40,$C63)</f>
        <v>0</v>
      </c>
    </row>
    <row r="64" spans="1:8" ht="26.25" x14ac:dyDescent="0.4">
      <c r="A64" s="2"/>
      <c r="B64" s="204"/>
      <c r="C64" s="413" t="str">
        <f>'01.09'!C61</f>
        <v>*С1-04Б-26*</v>
      </c>
      <c r="D64" s="217">
        <f>'09.06'!D62+COUNTIF(D$9:D$40,$C64)</f>
        <v>0</v>
      </c>
      <c r="E64" s="402">
        <f>'09.06'!E62+COUNTIF(E$9:E$40,$C64)</f>
        <v>0</v>
      </c>
      <c r="F64" s="402">
        <f>'09.06'!F62+COUNTIF(F$9:F$40,$C64)</f>
        <v>17</v>
      </c>
      <c r="G64" s="402">
        <f>'09.06'!G62+COUNTIF(G$9:G$40,$C64)</f>
        <v>0</v>
      </c>
      <c r="H64" s="402">
        <f>'09.06'!H62+COUNTIF(H$9:H$40,$C64)</f>
        <v>0</v>
      </c>
    </row>
    <row r="65" spans="1:8" ht="26.25" x14ac:dyDescent="0.4">
      <c r="A65" s="2"/>
      <c r="B65" s="204"/>
      <c r="C65" s="413" t="str">
        <f>'01.09'!C62</f>
        <v>*С1-05А-26*</v>
      </c>
      <c r="D65" s="217">
        <f>'09.06'!D63+COUNTIF(D$9:D$40,$C65)</f>
        <v>0</v>
      </c>
      <c r="E65" s="402">
        <f>'09.06'!E63+COUNTIF(E$9:E$40,$C65)</f>
        <v>0</v>
      </c>
      <c r="F65" s="402">
        <f>'09.06'!F63+COUNTIF(F$9:F$40,$C65)</f>
        <v>0</v>
      </c>
      <c r="G65" s="402">
        <f>'09.06'!G63+COUNTIF(G$9:G$40,$C65)</f>
        <v>8</v>
      </c>
      <c r="H65" s="402">
        <f>'09.06'!H63+COUNTIF(H$9:H$40,$C65)</f>
        <v>0</v>
      </c>
    </row>
    <row r="66" spans="1:8" ht="26.25" x14ac:dyDescent="0.4">
      <c r="A66" s="2"/>
      <c r="B66" s="204"/>
      <c r="C66" s="413" t="str">
        <f>'01.09'!C63</f>
        <v>*С1-05Б-26*</v>
      </c>
      <c r="D66" s="217">
        <f>'09.06'!D64+COUNTIF(D$9:D$40,$C66)</f>
        <v>0</v>
      </c>
      <c r="E66" s="402">
        <f>'09.06'!E64+COUNTIF(E$9:E$40,$C66)</f>
        <v>0</v>
      </c>
      <c r="F66" s="402">
        <f>'09.06'!F64+COUNTIF(F$9:F$40,$C66)</f>
        <v>0</v>
      </c>
      <c r="G66" s="402">
        <f>'09.06'!G64+COUNTIF(G$9:G$40,$C66)</f>
        <v>8</v>
      </c>
      <c r="H66" s="402">
        <f>'09.06'!H64+COUNTIF(H$9:H$40,$C66)</f>
        <v>0</v>
      </c>
    </row>
    <row r="67" spans="1:8" ht="26.25" x14ac:dyDescent="0.4">
      <c r="A67" s="2"/>
      <c r="B67" s="204"/>
      <c r="C67" s="413">
        <f>'01.09'!C64</f>
        <v>0</v>
      </c>
      <c r="D67" s="217">
        <f>'09.06'!D65+COUNTIF(D$9:D$40,$C67)</f>
        <v>0</v>
      </c>
      <c r="E67" s="402">
        <f>'09.06'!E65+COUNTIF(E$9:E$40,$C67)</f>
        <v>0</v>
      </c>
      <c r="F67" s="402">
        <f>'09.06'!F65+COUNTIF(F$9:F$40,$C67)</f>
        <v>0</v>
      </c>
      <c r="G67" s="402">
        <f>'09.06'!G65+COUNTIF(G$9:G$40,$C67)</f>
        <v>0</v>
      </c>
      <c r="H67" s="402">
        <f>'09.06'!H65+COUNTIF(H$9:H$40,$C67)</f>
        <v>0</v>
      </c>
    </row>
    <row r="68" spans="1:8" ht="26.25" x14ac:dyDescent="0.4">
      <c r="A68" s="2"/>
      <c r="B68" s="2"/>
      <c r="C68" s="104">
        <f>'01.09'!C65</f>
        <v>0</v>
      </c>
      <c r="D68" s="217">
        <f>'09.06'!D66+COUNTIF(D$9:D$40,$C68)</f>
        <v>0</v>
      </c>
      <c r="E68" s="217">
        <f>'09.06'!E66+COUNTIF(E$9:E$40,$C68)</f>
        <v>0</v>
      </c>
      <c r="F68" s="217">
        <f>'09.06'!F66+COUNTIF(F$9:F$40,$C68)</f>
        <v>0</v>
      </c>
      <c r="G68" s="217">
        <f>'09.06'!G66+COUNTIF(G$9:G$40,$C68)</f>
        <v>0</v>
      </c>
      <c r="H68" s="217">
        <f>'09.06'!H66+COUNTIF(H$9:H$40,$C68)</f>
        <v>0</v>
      </c>
    </row>
    <row r="69" spans="1:8" ht="26.25" x14ac:dyDescent="0.4">
      <c r="A69" s="2"/>
      <c r="B69" s="2"/>
      <c r="C69" s="104">
        <f>'01.09'!C66</f>
        <v>0</v>
      </c>
      <c r="D69" s="217">
        <f>'09.06'!D67+COUNTIF(D$9:D$40,$C69)</f>
        <v>0</v>
      </c>
      <c r="E69" s="217">
        <f>'09.06'!E67+COUNTIF(E$9:E$40,$C69)</f>
        <v>0</v>
      </c>
      <c r="F69" s="217">
        <f>'09.06'!F67+COUNTIF(F$9:F$40,$C69)</f>
        <v>0</v>
      </c>
      <c r="G69" s="217">
        <f>'09.06'!G67+COUNTIF(G$9:G$40,$C69)</f>
        <v>0</v>
      </c>
      <c r="H69" s="217">
        <f>'09.06'!H67+COUNTIF(H$9:H$40,$C69)</f>
        <v>0</v>
      </c>
    </row>
    <row r="70" spans="1:8" ht="26.25" x14ac:dyDescent="0.4">
      <c r="A70" s="2"/>
      <c r="B70" s="2"/>
      <c r="C70" s="104">
        <f>'01.09'!C67</f>
        <v>0</v>
      </c>
      <c r="D70" s="217">
        <f>'09.06'!D68+COUNTIF(D$9:D$40,$C70)</f>
        <v>0</v>
      </c>
      <c r="E70" s="217">
        <f>'09.06'!E68+COUNTIF(E$9:E$40,$C70)</f>
        <v>0</v>
      </c>
      <c r="F70" s="217">
        <f>'09.06'!F68+COUNTIF(F$9:F$40,$C70)</f>
        <v>0</v>
      </c>
      <c r="G70" s="217">
        <f>'09.06'!G68+COUNTIF(G$9:G$40,$C70)</f>
        <v>0</v>
      </c>
      <c r="H70" s="217">
        <f>'09.06'!H68+COUNTIF(H$9:H$40,$C70)</f>
        <v>0</v>
      </c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</sheetData>
  <mergeCells count="20">
    <mergeCell ref="B1:H1"/>
    <mergeCell ref="B2:H2"/>
    <mergeCell ref="B3:H3"/>
    <mergeCell ref="B4:H4"/>
    <mergeCell ref="A7:A8"/>
    <mergeCell ref="B7:B8"/>
    <mergeCell ref="C7:C8"/>
    <mergeCell ref="A5:H5"/>
    <mergeCell ref="A9:A13"/>
    <mergeCell ref="B9:B13"/>
    <mergeCell ref="A14:A19"/>
    <mergeCell ref="B14:B19"/>
    <mergeCell ref="A20:A24"/>
    <mergeCell ref="B20:B24"/>
    <mergeCell ref="A25:A30"/>
    <mergeCell ref="B25:B30"/>
    <mergeCell ref="A31:A35"/>
    <mergeCell ref="B31:B35"/>
    <mergeCell ref="A36:A40"/>
    <mergeCell ref="B36:B40"/>
  </mergeCells>
  <conditionalFormatting sqref="D42:H42">
    <cfRule type="cellIs" dxfId="25" priority="26" operator="lessThan">
      <formula>11</formula>
    </cfRule>
  </conditionalFormatting>
  <conditionalFormatting sqref="E43:H43">
    <cfRule type="cellIs" dxfId="24" priority="25" operator="lessThan">
      <formula>11</formula>
    </cfRule>
  </conditionalFormatting>
  <conditionalFormatting sqref="D44:H44">
    <cfRule type="cellIs" dxfId="23" priority="24" operator="lessThan">
      <formula>1</formula>
    </cfRule>
  </conditionalFormatting>
  <conditionalFormatting sqref="D45:H45">
    <cfRule type="cellIs" dxfId="22" priority="23" operator="lessThan">
      <formula>9</formula>
    </cfRule>
  </conditionalFormatting>
  <conditionalFormatting sqref="D46:H46">
    <cfRule type="cellIs" dxfId="21" priority="22" operator="lessThan">
      <formula>8</formula>
    </cfRule>
  </conditionalFormatting>
  <conditionalFormatting sqref="D47:H47">
    <cfRule type="cellIs" dxfId="20" priority="21" operator="lessThan">
      <formula>24</formula>
    </cfRule>
  </conditionalFormatting>
  <conditionalFormatting sqref="D48:H48">
    <cfRule type="cellIs" dxfId="19" priority="20" operator="lessThan">
      <formula>5</formula>
    </cfRule>
  </conditionalFormatting>
  <conditionalFormatting sqref="D49:H49">
    <cfRule type="cellIs" dxfId="18" priority="19" operator="lessThan">
      <formula>50</formula>
    </cfRule>
  </conditionalFormatting>
  <conditionalFormatting sqref="D50:H50">
    <cfRule type="cellIs" dxfId="17" priority="18" operator="lessThan">
      <formula>5</formula>
    </cfRule>
  </conditionalFormatting>
  <conditionalFormatting sqref="D51:H51">
    <cfRule type="cellIs" dxfId="16" priority="17" operator="lessThan">
      <formula>11</formula>
    </cfRule>
  </conditionalFormatting>
  <conditionalFormatting sqref="D52:H52">
    <cfRule type="cellIs" dxfId="15" priority="16" operator="lessThan">
      <formula>5</formula>
    </cfRule>
  </conditionalFormatting>
  <conditionalFormatting sqref="D53:H53">
    <cfRule type="cellIs" dxfId="14" priority="15" operator="lessThan">
      <formula>11</formula>
    </cfRule>
  </conditionalFormatting>
  <conditionalFormatting sqref="D54:H54">
    <cfRule type="cellIs" dxfId="13" priority="14" operator="lessThan">
      <formula>16</formula>
    </cfRule>
  </conditionalFormatting>
  <conditionalFormatting sqref="D55:H55">
    <cfRule type="cellIs" dxfId="12" priority="13" operator="lessThan">
      <formula>17</formula>
    </cfRule>
  </conditionalFormatting>
  <conditionalFormatting sqref="D56:H56">
    <cfRule type="cellIs" dxfId="11" priority="12" operator="lessThan">
      <formula>3</formula>
    </cfRule>
  </conditionalFormatting>
  <conditionalFormatting sqref="E57:H57">
    <cfRule type="cellIs" dxfId="10" priority="11" operator="lessThan">
      <formula>13</formula>
    </cfRule>
  </conditionalFormatting>
  <conditionalFormatting sqref="D58:H58">
    <cfRule type="cellIs" dxfId="9" priority="10" operator="lessThan">
      <formula>1</formula>
    </cfRule>
  </conditionalFormatting>
  <conditionalFormatting sqref="D59:H59">
    <cfRule type="cellIs" dxfId="8" priority="9" operator="lessThan">
      <formula>23</formula>
    </cfRule>
  </conditionalFormatting>
  <conditionalFormatting sqref="D60:H60 D69:H69">
    <cfRule type="cellIs" dxfId="7" priority="8" operator="lessThan">
      <formula>1</formula>
    </cfRule>
  </conditionalFormatting>
  <conditionalFormatting sqref="D61:H61 D70:H70">
    <cfRule type="cellIs" dxfId="6" priority="7" operator="lessThan">
      <formula>23</formula>
    </cfRule>
  </conditionalFormatting>
  <conditionalFormatting sqref="D62">
    <cfRule type="cellIs" dxfId="5" priority="6" operator="lessThan">
      <formula>11</formula>
    </cfRule>
  </conditionalFormatting>
  <conditionalFormatting sqref="D63">
    <cfRule type="cellIs" dxfId="4" priority="5" operator="lessThan">
      <formula>11</formula>
    </cfRule>
  </conditionalFormatting>
  <conditionalFormatting sqref="D64">
    <cfRule type="cellIs" dxfId="3" priority="4" operator="lessThan">
      <formula>13</formula>
    </cfRule>
  </conditionalFormatting>
  <conditionalFormatting sqref="D65">
    <cfRule type="cellIs" dxfId="2" priority="3" operator="lessThan">
      <formula>13</formula>
    </cfRule>
  </conditionalFormatting>
  <conditionalFormatting sqref="D66">
    <cfRule type="cellIs" dxfId="1" priority="2" operator="lessThan">
      <formula>9</formula>
    </cfRule>
  </conditionalFormatting>
  <conditionalFormatting sqref="D67">
    <cfRule type="cellIs" dxfId="0" priority="1" operator="lessThan">
      <formula>9</formula>
    </cfRule>
  </conditionalFormatting>
  <pageMargins left="0.19685039370078741" right="0.19685039370078741" top="0.19685039370078741" bottom="0.74803149606299213" header="0.19685039370078741" footer="0.31496062992125984"/>
  <pageSetup paperSize="9" scale="28" fitToWidth="0" fitToHeight="0" orientation="portrait" r:id="rId1"/>
  <rowBreaks count="1" manualBreakCount="1">
    <brk id="4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27</vt:i4>
      </vt:variant>
      <vt:variant>
        <vt:lpstr>Именованные диапазоны</vt:lpstr>
      </vt:variant>
      <vt:variant>
        <vt:i4>24</vt:i4>
      </vt:variant>
    </vt:vector>
  </HeadingPairs>
  <TitlesOfParts>
    <vt:vector size="51" baseType="lpstr">
      <vt:lpstr>титульный лист</vt:lpstr>
      <vt:lpstr>Титул</vt:lpstr>
      <vt:lpstr>приложение1</vt:lpstr>
      <vt:lpstr>расписание ПСС</vt:lpstr>
      <vt:lpstr>Иностр язык (русский язык)</vt:lpstr>
      <vt:lpstr>01.09</vt:lpstr>
      <vt:lpstr>07.09</vt:lpstr>
      <vt:lpstr>14.09</vt:lpstr>
      <vt:lpstr>21.09</vt:lpstr>
      <vt:lpstr>28.09</vt:lpstr>
      <vt:lpstr>05.10</vt:lpstr>
      <vt:lpstr>12.10</vt:lpstr>
      <vt:lpstr>19.10</vt:lpstr>
      <vt:lpstr>26.10</vt:lpstr>
      <vt:lpstr>02.11</vt:lpstr>
      <vt:lpstr>09.11</vt:lpstr>
      <vt:lpstr>16.11</vt:lpstr>
      <vt:lpstr>23.11</vt:lpstr>
      <vt:lpstr>30.11</vt:lpstr>
      <vt:lpstr>07.12</vt:lpstr>
      <vt:lpstr>14.12</vt:lpstr>
      <vt:lpstr>21.12</vt:lpstr>
      <vt:lpstr>28.12</vt:lpstr>
      <vt:lpstr>08.06</vt:lpstr>
      <vt:lpstr>15.06</vt:lpstr>
      <vt:lpstr>09.06</vt:lpstr>
      <vt:lpstr>16.06</vt:lpstr>
      <vt:lpstr>'01.09'!Область_печати</vt:lpstr>
      <vt:lpstr>'02.11'!Область_печати</vt:lpstr>
      <vt:lpstr>'05.10'!Область_печати</vt:lpstr>
      <vt:lpstr>'07.09'!Область_печати</vt:lpstr>
      <vt:lpstr>'07.12'!Область_печати</vt:lpstr>
      <vt:lpstr>'08.06'!Область_печати</vt:lpstr>
      <vt:lpstr>'09.06'!Область_печати</vt:lpstr>
      <vt:lpstr>'09.11'!Область_печати</vt:lpstr>
      <vt:lpstr>'12.10'!Область_печати</vt:lpstr>
      <vt:lpstr>'14.09'!Область_печати</vt:lpstr>
      <vt:lpstr>'14.12'!Область_печати</vt:lpstr>
      <vt:lpstr>'15.06'!Область_печати</vt:lpstr>
      <vt:lpstr>'16.06'!Область_печати</vt:lpstr>
      <vt:lpstr>'16.11'!Область_печати</vt:lpstr>
      <vt:lpstr>'19.10'!Область_печати</vt:lpstr>
      <vt:lpstr>'21.09'!Область_печати</vt:lpstr>
      <vt:lpstr>'21.12'!Область_печати</vt:lpstr>
      <vt:lpstr>'23.11'!Область_печати</vt:lpstr>
      <vt:lpstr>'26.10'!Область_печати</vt:lpstr>
      <vt:lpstr>'28.09'!Область_печати</vt:lpstr>
      <vt:lpstr>'28.12'!Область_печати</vt:lpstr>
      <vt:lpstr>'30.11'!Область_печати</vt:lpstr>
      <vt:lpstr>приложение1!Область_печати</vt:lpstr>
      <vt:lpstr>'расписание ПСС'!Область_печати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Center2</dc:creator>
  <cp:lastModifiedBy>user</cp:lastModifiedBy>
  <cp:lastPrinted>2026-10-07T06:54:01Z</cp:lastPrinted>
  <dcterms:created xsi:type="dcterms:W3CDTF">2012-10-29T12:55:48Z</dcterms:created>
  <dcterms:modified xsi:type="dcterms:W3CDTF">2026-10-08T09:47:22Z</dcterms:modified>
</cp:coreProperties>
</file>