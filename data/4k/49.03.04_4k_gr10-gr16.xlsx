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4 курс\"/>
    </mc:Choice>
  </mc:AlternateContent>
  <bookViews>
    <workbookView xWindow="0" yWindow="0" windowWidth="24240" windowHeight="12030" tabRatio="896" activeTab="9"/>
  </bookViews>
  <sheets>
    <sheet name="Титул" sheetId="35" r:id="rId1"/>
    <sheet name="приложение1" sheetId="24" r:id="rId2"/>
    <sheet name="расписание ПСС" sheetId="29" r:id="rId3"/>
    <sheet name="01.09" sheetId="2" r:id="rId4"/>
    <sheet name="07.09" sheetId="4" r:id="rId5"/>
    <sheet name="14.09" sheetId="5" r:id="rId6"/>
    <sheet name="21.09" sheetId="6" r:id="rId7"/>
    <sheet name="28.09" sheetId="7" r:id="rId8"/>
    <sheet name="05.10" sheetId="8" r:id="rId9"/>
    <sheet name="12.10" sheetId="9" r:id="rId10"/>
    <sheet name="19.10" sheetId="10" r:id="rId11"/>
    <sheet name="26.10" sheetId="11" r:id="rId12"/>
    <sheet name="02.11" sheetId="12" r:id="rId13"/>
    <sheet name="09.11" sheetId="13" r:id="rId14"/>
    <sheet name="16.11" sheetId="14" r:id="rId15"/>
    <sheet name="23.11" sheetId="15" r:id="rId16"/>
    <sheet name="30.11" sheetId="16" r:id="rId17"/>
    <sheet name="07.12" sheetId="17" r:id="rId18"/>
    <sheet name="14.12" sheetId="18" r:id="rId19"/>
    <sheet name="21.12" sheetId="19" r:id="rId20"/>
    <sheet name="28.12" sheetId="20" r:id="rId21"/>
    <sheet name="08.06" sheetId="46" state="hidden" r:id="rId22"/>
    <sheet name="15.06" sheetId="47" state="hidden" r:id="rId23"/>
    <sheet name="09.06" sheetId="43" state="hidden" r:id="rId24"/>
    <sheet name="16.06" sheetId="44" state="hidden" r:id="rId25"/>
    <sheet name="17.06" sheetId="45" state="hidden" r:id="rId26"/>
  </sheets>
  <definedNames>
    <definedName name="SIGN" localSheetId="21">#REF!</definedName>
    <definedName name="SIGN" localSheetId="23">#REF!</definedName>
    <definedName name="SIGN" localSheetId="22">#REF!</definedName>
    <definedName name="SIGN" localSheetId="24">#REF!</definedName>
    <definedName name="SIGN" localSheetId="25">#REF!</definedName>
    <definedName name="SIGN" localSheetId="2">#REF!</definedName>
    <definedName name="SIGN">#REF!</definedName>
    <definedName name="SIGN_D" localSheetId="21">#REF!</definedName>
    <definedName name="SIGN_D" localSheetId="23">#REF!</definedName>
    <definedName name="SIGN_D" localSheetId="22">#REF!</definedName>
    <definedName name="SIGN_D" localSheetId="24">#REF!</definedName>
    <definedName name="SIGN_D" localSheetId="25">#REF!</definedName>
    <definedName name="SIGN_D" localSheetId="2">#REF!</definedName>
    <definedName name="SIGN_D">#REF!</definedName>
    <definedName name="Sign1" localSheetId="21">#REF!</definedName>
    <definedName name="Sign1" localSheetId="23">#REF!</definedName>
    <definedName name="Sign1" localSheetId="22">#REF!</definedName>
    <definedName name="Sign1" localSheetId="24">#REF!</definedName>
    <definedName name="Sign1" localSheetId="25">#REF!</definedName>
    <definedName name="Sign1" localSheetId="2">#REF!</definedName>
    <definedName name="Sign1">#REF!</definedName>
    <definedName name="и" localSheetId="21">#REF!</definedName>
    <definedName name="и" localSheetId="23">#REF!</definedName>
    <definedName name="и" localSheetId="22">#REF!</definedName>
    <definedName name="и" localSheetId="24">#REF!</definedName>
    <definedName name="и" localSheetId="25">#REF!</definedName>
    <definedName name="и" localSheetId="2">#REF!</definedName>
    <definedName name="и">#REF!</definedName>
    <definedName name="_xlnm.Print_Area" localSheetId="3">'01.09'!$A$1:$J$38</definedName>
    <definedName name="_xlnm.Print_Area" localSheetId="12">'02.11'!$A$1:$J$39</definedName>
    <definedName name="_xlnm.Print_Area" localSheetId="8">'05.10'!$A$1:$J$39</definedName>
    <definedName name="_xlnm.Print_Area" localSheetId="4">'07.09'!$A$1:$J$39</definedName>
    <definedName name="_xlnm.Print_Area" localSheetId="17">'07.12'!$A$1:$J$39</definedName>
    <definedName name="_xlnm.Print_Area" localSheetId="21">'08.06'!$A$1:$J$39</definedName>
    <definedName name="_xlnm.Print_Area" localSheetId="23">'09.06'!$A$1:$J$39</definedName>
    <definedName name="_xlnm.Print_Area" localSheetId="13">'09.11'!$A$1:$J$39</definedName>
    <definedName name="_xlnm.Print_Area" localSheetId="9">'12.10'!$A$1:$J$38</definedName>
    <definedName name="_xlnm.Print_Area" localSheetId="5">'14.09'!$A$1:$J$39</definedName>
    <definedName name="_xlnm.Print_Area" localSheetId="18">'14.12'!$A$1:$J$39</definedName>
    <definedName name="_xlnm.Print_Area" localSheetId="22">'15.06'!$A$1:$J$54</definedName>
    <definedName name="_xlnm.Print_Area" localSheetId="24">'16.06'!$A$1:$J$66</definedName>
    <definedName name="_xlnm.Print_Area" localSheetId="14">'16.11'!$A$1:$J$39</definedName>
    <definedName name="_xlnm.Print_Area" localSheetId="25">'17.06'!$A$1:$J$61</definedName>
    <definedName name="_xlnm.Print_Area" localSheetId="10">'19.10'!$A$1:$J$39</definedName>
    <definedName name="_xlnm.Print_Area" localSheetId="6">'21.09'!$A$1:$J$39</definedName>
    <definedName name="_xlnm.Print_Area" localSheetId="19">'21.12'!$A$1:$J$39</definedName>
    <definedName name="_xlnm.Print_Area" localSheetId="15">'23.11'!$A$1:$J$39</definedName>
    <definedName name="_xlnm.Print_Area" localSheetId="11">'26.10'!$A$1:$J$39</definedName>
    <definedName name="_xlnm.Print_Area" localSheetId="7">'28.09'!$A$1:$J$39</definedName>
    <definedName name="_xlnm.Print_Area" localSheetId="20">'28.12'!$A$1:$J$51</definedName>
    <definedName name="_xlnm.Print_Area" localSheetId="16">'30.11'!$A$1:$J$39</definedName>
    <definedName name="_xlnm.Print_Area" localSheetId="1">приложение1!$A$1:$C$21</definedName>
    <definedName name="_xlnm.Print_Area" localSheetId="2">'расписание ПСС'!$A$1:$J$72</definedName>
    <definedName name="_xlnm.Print_Area" localSheetId="0">Титул!$A$1:$K$45</definedName>
    <definedName name="Р1" localSheetId="21">#REF!</definedName>
    <definedName name="Р1" localSheetId="23">#REF!</definedName>
    <definedName name="Р1" localSheetId="22">#REF!</definedName>
    <definedName name="Р1" localSheetId="24">#REF!</definedName>
    <definedName name="Р1" localSheetId="25">#REF!</definedName>
    <definedName name="Р1" localSheetId="2">#REF!</definedName>
    <definedName name="Р1">#REF!</definedName>
    <definedName name="ыва" localSheetId="21">#REF!</definedName>
    <definedName name="ыва" localSheetId="23">#REF!</definedName>
    <definedName name="ыва" localSheetId="22">#REF!</definedName>
    <definedName name="ыва" localSheetId="24">#REF!</definedName>
    <definedName name="ыва" localSheetId="25">#REF!</definedName>
    <definedName name="ыва" localSheetId="2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69" i="47" l="1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B14" i="47"/>
  <c r="B19" i="47" s="1"/>
  <c r="B24" i="47" s="1"/>
  <c r="B29" i="47" s="1"/>
  <c r="B34" i="47" s="1"/>
  <c r="C69" i="46"/>
  <c r="C68" i="46"/>
  <c r="C67" i="46"/>
  <c r="C66" i="46"/>
  <c r="C65" i="46"/>
  <c r="C64" i="46"/>
  <c r="C63" i="46"/>
  <c r="C62" i="46"/>
  <c r="C61" i="46"/>
  <c r="C60" i="46"/>
  <c r="C59" i="46"/>
  <c r="C58" i="46"/>
  <c r="C57" i="46"/>
  <c r="C56" i="46"/>
  <c r="C55" i="46"/>
  <c r="C54" i="46"/>
  <c r="C53" i="46"/>
  <c r="C52" i="46"/>
  <c r="C51" i="46"/>
  <c r="C50" i="46"/>
  <c r="C49" i="46"/>
  <c r="C48" i="46"/>
  <c r="C47" i="46"/>
  <c r="C46" i="46"/>
  <c r="C45" i="46"/>
  <c r="C44" i="46"/>
  <c r="C43" i="46"/>
  <c r="C42" i="46"/>
  <c r="C41" i="46"/>
  <c r="C40" i="46"/>
  <c r="B14" i="46"/>
  <c r="B19" i="46" s="1"/>
  <c r="B24" i="46" s="1"/>
  <c r="B29" i="46" s="1"/>
  <c r="B34" i="46" s="1"/>
  <c r="C41" i="45" l="1"/>
  <c r="C42" i="45"/>
  <c r="C43" i="45"/>
  <c r="C44" i="45"/>
  <c r="C45" i="45"/>
  <c r="C46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4" i="45"/>
  <c r="C65" i="45"/>
  <c r="C66" i="45"/>
  <c r="C67" i="45"/>
  <c r="C68" i="45"/>
  <c r="C69" i="45"/>
  <c r="C70" i="45"/>
  <c r="C71" i="45"/>
  <c r="F71" i="45" s="1"/>
  <c r="C72" i="45"/>
  <c r="F72" i="45" s="1"/>
  <c r="C73" i="45"/>
  <c r="F73" i="45" s="1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F70" i="43" s="1"/>
  <c r="C71" i="43"/>
  <c r="F71" i="43" s="1"/>
  <c r="I71" i="43"/>
  <c r="C72" i="43"/>
  <c r="F72" i="43" s="1"/>
  <c r="C73" i="43"/>
  <c r="F73" i="43" s="1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F68" i="19" s="1"/>
  <c r="C69" i="19"/>
  <c r="F69" i="19" s="1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F67" i="16" s="1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F68" i="14" s="1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F67" i="12" s="1"/>
  <c r="C68" i="12"/>
  <c r="F68" i="12" s="1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F67" i="9" s="1"/>
  <c r="C68" i="9"/>
  <c r="C69" i="9"/>
  <c r="F69" i="9" s="1"/>
  <c r="G69" i="9"/>
  <c r="C70" i="9"/>
  <c r="C71" i="9"/>
  <c r="F71" i="9" s="1"/>
  <c r="C72" i="9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J68" i="5" s="1"/>
  <c r="F68" i="5"/>
  <c r="C69" i="5"/>
  <c r="J69" i="5" s="1"/>
  <c r="G69" i="5" l="1"/>
  <c r="F69" i="5"/>
  <c r="G68" i="5"/>
  <c r="G67" i="9"/>
  <c r="G68" i="10" s="1"/>
  <c r="G67" i="16"/>
  <c r="G67" i="17" s="1"/>
  <c r="G67" i="18" s="1"/>
  <c r="G67" i="19" s="1"/>
  <c r="G67" i="20" s="1"/>
  <c r="G69" i="19"/>
  <c r="G69" i="20" s="1"/>
  <c r="I73" i="43"/>
  <c r="G68" i="14"/>
  <c r="F70" i="10"/>
  <c r="H72" i="43"/>
  <c r="H70" i="43"/>
  <c r="H70" i="44" s="1"/>
  <c r="H70" i="45" s="1"/>
  <c r="G70" i="10"/>
  <c r="H73" i="43"/>
  <c r="G72" i="43"/>
  <c r="H71" i="43"/>
  <c r="G70" i="43"/>
  <c r="G70" i="44" s="1"/>
  <c r="G70" i="45" s="1"/>
  <c r="G71" i="9"/>
  <c r="F68" i="10"/>
  <c r="F68" i="20"/>
  <c r="D73" i="43"/>
  <c r="E72" i="43"/>
  <c r="D71" i="43"/>
  <c r="E70" i="43"/>
  <c r="E70" i="44" s="1"/>
  <c r="E70" i="45" s="1"/>
  <c r="F70" i="44"/>
  <c r="F70" i="45" s="1"/>
  <c r="F67" i="17"/>
  <c r="F67" i="18" s="1"/>
  <c r="F67" i="19" s="1"/>
  <c r="F67" i="20" s="1"/>
  <c r="F68" i="9"/>
  <c r="F69" i="10" s="1"/>
  <c r="G68" i="9"/>
  <c r="G69" i="10" s="1"/>
  <c r="F70" i="9"/>
  <c r="G70" i="9"/>
  <c r="F72" i="9"/>
  <c r="G72" i="9"/>
  <c r="F69" i="20"/>
  <c r="D69" i="5"/>
  <c r="H69" i="5"/>
  <c r="I69" i="5"/>
  <c r="E69" i="5"/>
  <c r="D68" i="5"/>
  <c r="H68" i="5"/>
  <c r="I68" i="5"/>
  <c r="E68" i="5"/>
  <c r="F66" i="9"/>
  <c r="F67" i="10" s="1"/>
  <c r="G66" i="9"/>
  <c r="G67" i="10" s="1"/>
  <c r="G73" i="43"/>
  <c r="I72" i="43"/>
  <c r="D72" i="43"/>
  <c r="G71" i="43"/>
  <c r="I70" i="43"/>
  <c r="I70" i="44" s="1"/>
  <c r="I70" i="45" s="1"/>
  <c r="D70" i="43"/>
  <c r="D70" i="44" s="1"/>
  <c r="D70" i="45" s="1"/>
  <c r="E73" i="43"/>
  <c r="E71" i="43"/>
  <c r="F67" i="13"/>
  <c r="F67" i="14" s="1"/>
  <c r="G73" i="45"/>
  <c r="G71" i="45"/>
  <c r="H73" i="45"/>
  <c r="D73" i="45"/>
  <c r="H72" i="45"/>
  <c r="D72" i="45"/>
  <c r="H71" i="45"/>
  <c r="D71" i="45"/>
  <c r="G72" i="45"/>
  <c r="I73" i="45"/>
  <c r="E73" i="45"/>
  <c r="I72" i="45"/>
  <c r="E72" i="45"/>
  <c r="I71" i="45"/>
  <c r="E71" i="45"/>
  <c r="J73" i="45"/>
  <c r="J72" i="45"/>
  <c r="J71" i="45"/>
  <c r="J73" i="43"/>
  <c r="J72" i="43"/>
  <c r="J71" i="43"/>
  <c r="J70" i="43"/>
  <c r="J70" i="44" s="1"/>
  <c r="J70" i="45" s="1"/>
  <c r="H69" i="19"/>
  <c r="H69" i="20" s="1"/>
  <c r="I69" i="19"/>
  <c r="I69" i="20" s="1"/>
  <c r="E69" i="19"/>
  <c r="E69" i="20" s="1"/>
  <c r="I68" i="19"/>
  <c r="I68" i="20" s="1"/>
  <c r="E68" i="19"/>
  <c r="E68" i="20" s="1"/>
  <c r="G68" i="19"/>
  <c r="G68" i="20" s="1"/>
  <c r="D69" i="19"/>
  <c r="D69" i="20" s="1"/>
  <c r="H68" i="19"/>
  <c r="H68" i="20" s="1"/>
  <c r="D68" i="19"/>
  <c r="D68" i="20" s="1"/>
  <c r="J69" i="19"/>
  <c r="J69" i="20" s="1"/>
  <c r="J68" i="19"/>
  <c r="J68" i="20" s="1"/>
  <c r="H67" i="16"/>
  <c r="H67" i="17" s="1"/>
  <c r="H67" i="18" s="1"/>
  <c r="H67" i="19" s="1"/>
  <c r="H67" i="20" s="1"/>
  <c r="D67" i="16"/>
  <c r="D67" i="17" s="1"/>
  <c r="D67" i="18" s="1"/>
  <c r="D67" i="19" s="1"/>
  <c r="D67" i="20" s="1"/>
  <c r="I67" i="16"/>
  <c r="I67" i="17" s="1"/>
  <c r="I67" i="18" s="1"/>
  <c r="I67" i="19" s="1"/>
  <c r="I67" i="20" s="1"/>
  <c r="E67" i="16"/>
  <c r="E67" i="17" s="1"/>
  <c r="E67" i="18" s="1"/>
  <c r="E67" i="19" s="1"/>
  <c r="E67" i="20" s="1"/>
  <c r="J67" i="16"/>
  <c r="J67" i="17" s="1"/>
  <c r="J67" i="18" s="1"/>
  <c r="J67" i="19" s="1"/>
  <c r="J67" i="20" s="1"/>
  <c r="H68" i="14"/>
  <c r="D68" i="14"/>
  <c r="I68" i="14"/>
  <c r="E68" i="14"/>
  <c r="J68" i="14"/>
  <c r="G67" i="12"/>
  <c r="G67" i="13" s="1"/>
  <c r="G67" i="14" s="1"/>
  <c r="H68" i="12"/>
  <c r="D68" i="12"/>
  <c r="H67" i="12"/>
  <c r="H67" i="13" s="1"/>
  <c r="H67" i="14" s="1"/>
  <c r="D67" i="12"/>
  <c r="D67" i="13" s="1"/>
  <c r="D67" i="14" s="1"/>
  <c r="G68" i="12"/>
  <c r="I68" i="12"/>
  <c r="E68" i="12"/>
  <c r="I67" i="12"/>
  <c r="I67" i="13" s="1"/>
  <c r="I67" i="14" s="1"/>
  <c r="E67" i="12"/>
  <c r="E67" i="13" s="1"/>
  <c r="E67" i="14" s="1"/>
  <c r="J68" i="12"/>
  <c r="J67" i="12"/>
  <c r="J67" i="13" s="1"/>
  <c r="J67" i="14" s="1"/>
  <c r="H71" i="9"/>
  <c r="H70" i="9"/>
  <c r="D70" i="9"/>
  <c r="D69" i="9"/>
  <c r="D70" i="10" s="1"/>
  <c r="D68" i="9"/>
  <c r="D69" i="10" s="1"/>
  <c r="D67" i="9"/>
  <c r="D68" i="10" s="1"/>
  <c r="D66" i="9"/>
  <c r="D67" i="10" s="1"/>
  <c r="I72" i="9"/>
  <c r="E72" i="9"/>
  <c r="I71" i="9"/>
  <c r="E71" i="9"/>
  <c r="I70" i="9"/>
  <c r="E70" i="9"/>
  <c r="I69" i="9"/>
  <c r="I70" i="10" s="1"/>
  <c r="E69" i="9"/>
  <c r="E70" i="10" s="1"/>
  <c r="I68" i="9"/>
  <c r="I69" i="10" s="1"/>
  <c r="E68" i="9"/>
  <c r="E69" i="10" s="1"/>
  <c r="I67" i="9"/>
  <c r="I68" i="10" s="1"/>
  <c r="E67" i="9"/>
  <c r="E68" i="10" s="1"/>
  <c r="I66" i="9"/>
  <c r="I67" i="10" s="1"/>
  <c r="E66" i="9"/>
  <c r="E67" i="10" s="1"/>
  <c r="H72" i="9"/>
  <c r="D72" i="9"/>
  <c r="D71" i="9"/>
  <c r="H69" i="9"/>
  <c r="H70" i="10" s="1"/>
  <c r="H68" i="9"/>
  <c r="H69" i="10" s="1"/>
  <c r="H67" i="9"/>
  <c r="H68" i="10" s="1"/>
  <c r="H66" i="9"/>
  <c r="H67" i="10" s="1"/>
  <c r="J72" i="9"/>
  <c r="J71" i="9"/>
  <c r="J70" i="9"/>
  <c r="J69" i="9"/>
  <c r="J70" i="10" s="1"/>
  <c r="J68" i="9"/>
  <c r="J69" i="10" s="1"/>
  <c r="J67" i="9"/>
  <c r="J68" i="10" s="1"/>
  <c r="J66" i="9"/>
  <c r="J67" i="10" s="1"/>
  <c r="J68" i="43" l="1"/>
  <c r="J68" i="44" s="1"/>
  <c r="J68" i="45" s="1"/>
  <c r="J68" i="46"/>
  <c r="J68" i="47" s="1"/>
  <c r="D69" i="43"/>
  <c r="D69" i="44" s="1"/>
  <c r="D69" i="45" s="1"/>
  <c r="D69" i="46"/>
  <c r="D69" i="47" s="1"/>
  <c r="E69" i="43"/>
  <c r="E69" i="44" s="1"/>
  <c r="E69" i="45" s="1"/>
  <c r="E69" i="46"/>
  <c r="E69" i="47" s="1"/>
  <c r="F69" i="43"/>
  <c r="F69" i="44" s="1"/>
  <c r="F69" i="45" s="1"/>
  <c r="F69" i="46"/>
  <c r="F69" i="47" s="1"/>
  <c r="J69" i="43"/>
  <c r="J69" i="44" s="1"/>
  <c r="J69" i="45" s="1"/>
  <c r="J69" i="46"/>
  <c r="J69" i="47" s="1"/>
  <c r="G68" i="43"/>
  <c r="G68" i="44" s="1"/>
  <c r="G68" i="45" s="1"/>
  <c r="G68" i="46"/>
  <c r="G68" i="47" s="1"/>
  <c r="I69" i="43"/>
  <c r="I69" i="44" s="1"/>
  <c r="I69" i="45" s="1"/>
  <c r="I69" i="46"/>
  <c r="I69" i="47" s="1"/>
  <c r="F68" i="43"/>
  <c r="F68" i="44" s="1"/>
  <c r="F68" i="45" s="1"/>
  <c r="F68" i="46"/>
  <c r="F68" i="47" s="1"/>
  <c r="D68" i="43"/>
  <c r="D68" i="44" s="1"/>
  <c r="D68" i="45" s="1"/>
  <c r="D68" i="46"/>
  <c r="D68" i="47" s="1"/>
  <c r="E68" i="43"/>
  <c r="E68" i="44" s="1"/>
  <c r="E68" i="45" s="1"/>
  <c r="E68" i="46"/>
  <c r="E68" i="47" s="1"/>
  <c r="H69" i="43"/>
  <c r="H69" i="44" s="1"/>
  <c r="H69" i="45" s="1"/>
  <c r="H69" i="46"/>
  <c r="H69" i="47" s="1"/>
  <c r="G69" i="43"/>
  <c r="G69" i="44" s="1"/>
  <c r="G69" i="45" s="1"/>
  <c r="G69" i="46"/>
  <c r="G69" i="47" s="1"/>
  <c r="H68" i="43"/>
  <c r="H68" i="44" s="1"/>
  <c r="H68" i="45" s="1"/>
  <c r="H68" i="46"/>
  <c r="H68" i="47" s="1"/>
  <c r="I68" i="43"/>
  <c r="I68" i="44" s="1"/>
  <c r="I68" i="45" s="1"/>
  <c r="I68" i="46"/>
  <c r="I68" i="47" s="1"/>
  <c r="H67" i="43"/>
  <c r="H67" i="44" s="1"/>
  <c r="H67" i="45" s="1"/>
  <c r="H67" i="46"/>
  <c r="H67" i="47" s="1"/>
  <c r="I67" i="43"/>
  <c r="I67" i="44" s="1"/>
  <c r="I67" i="45" s="1"/>
  <c r="I67" i="46"/>
  <c r="I67" i="47" s="1"/>
  <c r="E67" i="43"/>
  <c r="E67" i="44" s="1"/>
  <c r="E67" i="45" s="1"/>
  <c r="E67" i="46"/>
  <c r="E67" i="47" s="1"/>
  <c r="D67" i="43"/>
  <c r="D67" i="44" s="1"/>
  <c r="D67" i="45" s="1"/>
  <c r="D67" i="46"/>
  <c r="D67" i="47" s="1"/>
  <c r="J67" i="43"/>
  <c r="J67" i="44" s="1"/>
  <c r="J67" i="45" s="1"/>
  <c r="J67" i="46"/>
  <c r="J67" i="47" s="1"/>
  <c r="F67" i="43"/>
  <c r="F67" i="44" s="1"/>
  <c r="F67" i="45" s="1"/>
  <c r="F67" i="46"/>
  <c r="F67" i="47" s="1"/>
  <c r="G67" i="43"/>
  <c r="G67" i="44" s="1"/>
  <c r="G67" i="45" s="1"/>
  <c r="G67" i="46"/>
  <c r="G67" i="47" s="1"/>
  <c r="C40" i="45"/>
  <c r="B14" i="45"/>
  <c r="B19" i="45" s="1"/>
  <c r="B24" i="45" s="1"/>
  <c r="B29" i="45" s="1"/>
  <c r="B34" i="45" s="1"/>
  <c r="C40" i="44"/>
  <c r="B14" i="44"/>
  <c r="B19" i="44" s="1"/>
  <c r="B24" i="44" s="1"/>
  <c r="B29" i="44" s="1"/>
  <c r="B34" i="44" s="1"/>
  <c r="C40" i="43"/>
  <c r="B14" i="43"/>
  <c r="B19" i="43" s="1"/>
  <c r="B24" i="43" s="1"/>
  <c r="B29" i="43" s="1"/>
  <c r="B34" i="43" s="1"/>
  <c r="D41" i="2" l="1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D45" i="2"/>
  <c r="E45" i="2"/>
  <c r="F45" i="2"/>
  <c r="G45" i="2"/>
  <c r="H45" i="2"/>
  <c r="I45" i="2"/>
  <c r="J45" i="2"/>
  <c r="D46" i="2"/>
  <c r="E46" i="2"/>
  <c r="F46" i="2"/>
  <c r="G46" i="2"/>
  <c r="H46" i="2"/>
  <c r="I46" i="2"/>
  <c r="J46" i="2"/>
  <c r="D47" i="2"/>
  <c r="E47" i="2"/>
  <c r="F47" i="2"/>
  <c r="G47" i="2"/>
  <c r="H47" i="2"/>
  <c r="I47" i="2"/>
  <c r="J47" i="2"/>
  <c r="D48" i="2"/>
  <c r="E48" i="2"/>
  <c r="F48" i="2"/>
  <c r="G48" i="2"/>
  <c r="H48" i="2"/>
  <c r="I48" i="2"/>
  <c r="J48" i="2"/>
  <c r="D49" i="2"/>
  <c r="E49" i="2"/>
  <c r="F49" i="2"/>
  <c r="G49" i="2"/>
  <c r="H49" i="2"/>
  <c r="I49" i="2"/>
  <c r="J49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E40" i="2"/>
  <c r="F40" i="2"/>
  <c r="G40" i="2"/>
  <c r="H40" i="2"/>
  <c r="I40" i="2"/>
  <c r="J40" i="2"/>
  <c r="D40" i="2"/>
  <c r="C62" i="4" l="1"/>
  <c r="C62" i="6"/>
  <c r="C62" i="7"/>
  <c r="C62" i="8"/>
  <c r="C62" i="11"/>
  <c r="C63" i="4"/>
  <c r="C63" i="6"/>
  <c r="C63" i="7"/>
  <c r="C63" i="8"/>
  <c r="C63" i="11"/>
  <c r="C64" i="4"/>
  <c r="C64" i="6"/>
  <c r="C64" i="7"/>
  <c r="C64" i="8"/>
  <c r="C64" i="11"/>
  <c r="C43" i="4"/>
  <c r="C43" i="6"/>
  <c r="C43" i="7"/>
  <c r="C43" i="8"/>
  <c r="C43" i="11"/>
  <c r="C43" i="20"/>
  <c r="C44" i="4"/>
  <c r="C44" i="6"/>
  <c r="C44" i="7"/>
  <c r="C44" i="8"/>
  <c r="C44" i="11"/>
  <c r="C44" i="20"/>
  <c r="C45" i="4"/>
  <c r="C45" i="6"/>
  <c r="C45" i="7"/>
  <c r="C45" i="8"/>
  <c r="C45" i="11"/>
  <c r="C45" i="20"/>
  <c r="C46" i="4"/>
  <c r="C46" i="6"/>
  <c r="C46" i="7"/>
  <c r="C46" i="8"/>
  <c r="C46" i="11"/>
  <c r="C46" i="20"/>
  <c r="C47" i="4"/>
  <c r="C47" i="6"/>
  <c r="C47" i="7"/>
  <c r="C47" i="8"/>
  <c r="C47" i="11"/>
  <c r="C47" i="20"/>
  <c r="C48" i="4"/>
  <c r="C48" i="6"/>
  <c r="C48" i="7"/>
  <c r="C48" i="8"/>
  <c r="C48" i="11"/>
  <c r="C49" i="4"/>
  <c r="C49" i="6"/>
  <c r="C49" i="7"/>
  <c r="C49" i="8"/>
  <c r="C49" i="11"/>
  <c r="C50" i="4"/>
  <c r="C50" i="6"/>
  <c r="C50" i="7"/>
  <c r="C50" i="8"/>
  <c r="C50" i="11"/>
  <c r="C51" i="4"/>
  <c r="C51" i="6"/>
  <c r="C51" i="7"/>
  <c r="C51" i="8"/>
  <c r="C51" i="11"/>
  <c r="C52" i="4"/>
  <c r="C52" i="6"/>
  <c r="C52" i="7"/>
  <c r="C52" i="8"/>
  <c r="C52" i="11"/>
  <c r="C53" i="4"/>
  <c r="C53" i="6"/>
  <c r="C53" i="7"/>
  <c r="C53" i="8"/>
  <c r="C53" i="11"/>
  <c r="C54" i="4"/>
  <c r="C54" i="6"/>
  <c r="C54" i="7"/>
  <c r="C54" i="8"/>
  <c r="C54" i="11"/>
  <c r="C55" i="4"/>
  <c r="C55" i="6"/>
  <c r="C55" i="7"/>
  <c r="C55" i="8"/>
  <c r="C55" i="11"/>
  <c r="C56" i="4"/>
  <c r="C56" i="6"/>
  <c r="C56" i="7"/>
  <c r="C56" i="8"/>
  <c r="C56" i="11"/>
  <c r="C57" i="4"/>
  <c r="C57" i="6"/>
  <c r="C57" i="7"/>
  <c r="C57" i="8"/>
  <c r="C57" i="11"/>
  <c r="C58" i="4"/>
  <c r="C58" i="6"/>
  <c r="C58" i="7"/>
  <c r="C58" i="8"/>
  <c r="C58" i="11"/>
  <c r="C59" i="4"/>
  <c r="C59" i="6"/>
  <c r="C59" i="7"/>
  <c r="C59" i="8"/>
  <c r="C59" i="11"/>
  <c r="C60" i="4"/>
  <c r="C60" i="6"/>
  <c r="C60" i="7"/>
  <c r="C60" i="8"/>
  <c r="C60" i="11"/>
  <c r="C61" i="4"/>
  <c r="C61" i="6"/>
  <c r="C61" i="7"/>
  <c r="C61" i="8"/>
  <c r="C61" i="11"/>
  <c r="C42" i="4"/>
  <c r="C42" i="6"/>
  <c r="C42" i="7"/>
  <c r="C42" i="8"/>
  <c r="C42" i="11"/>
  <c r="C42" i="20"/>
  <c r="C65" i="4"/>
  <c r="C65" i="6"/>
  <c r="C65" i="7"/>
  <c r="C65" i="8"/>
  <c r="C65" i="11"/>
  <c r="C66" i="11"/>
  <c r="C66" i="8"/>
  <c r="C66" i="6"/>
  <c r="C66" i="7"/>
  <c r="C67" i="7"/>
  <c r="C68" i="7"/>
  <c r="C69" i="7"/>
  <c r="C66" i="4"/>
  <c r="C67" i="4"/>
  <c r="C41" i="20"/>
  <c r="C41" i="18"/>
  <c r="C41" i="17"/>
  <c r="C41" i="11"/>
  <c r="C40" i="9"/>
  <c r="C41" i="8"/>
  <c r="C41" i="7"/>
  <c r="C41" i="6"/>
  <c r="C41" i="4"/>
  <c r="B14" i="20"/>
  <c r="B19" i="20" s="1"/>
  <c r="B24" i="20" s="1"/>
  <c r="B29" i="20" s="1"/>
  <c r="B34" i="20" s="1"/>
  <c r="B14" i="19"/>
  <c r="B19" i="19" s="1"/>
  <c r="B24" i="19" s="1"/>
  <c r="B29" i="19" s="1"/>
  <c r="B34" i="19" s="1"/>
  <c r="B14" i="18"/>
  <c r="B19" i="18" s="1"/>
  <c r="B24" i="18" s="1"/>
  <c r="B29" i="18" s="1"/>
  <c r="B34" i="18" s="1"/>
  <c r="B14" i="17"/>
  <c r="B19" i="17" s="1"/>
  <c r="B24" i="17" s="1"/>
  <c r="B29" i="17" s="1"/>
  <c r="B34" i="17" s="1"/>
  <c r="B14" i="16"/>
  <c r="B19" i="16" s="1"/>
  <c r="B24" i="16" s="1"/>
  <c r="B29" i="16" s="1"/>
  <c r="B34" i="16" s="1"/>
  <c r="B14" i="15"/>
  <c r="B19" i="15" s="1"/>
  <c r="B24" i="15" s="1"/>
  <c r="B29" i="15" s="1"/>
  <c r="B34" i="15" s="1"/>
  <c r="B14" i="14"/>
  <c r="B19" i="14" s="1"/>
  <c r="B24" i="14" s="1"/>
  <c r="B29" i="14" s="1"/>
  <c r="B34" i="14" s="1"/>
  <c r="B14" i="13"/>
  <c r="B19" i="13" s="1"/>
  <c r="B24" i="13" s="1"/>
  <c r="B29" i="13" s="1"/>
  <c r="B34" i="13" s="1"/>
  <c r="B14" i="12"/>
  <c r="B19" i="12" s="1"/>
  <c r="B24" i="12" s="1"/>
  <c r="B29" i="12" s="1"/>
  <c r="B34" i="12" s="1"/>
  <c r="B14" i="11"/>
  <c r="B19" i="11" s="1"/>
  <c r="B24" i="11" s="1"/>
  <c r="B29" i="11" s="1"/>
  <c r="B34" i="11" s="1"/>
  <c r="B14" i="10"/>
  <c r="B19" i="10" s="1"/>
  <c r="B24" i="10" s="1"/>
  <c r="B29" i="10" s="1"/>
  <c r="B34" i="10" s="1"/>
  <c r="B13" i="9"/>
  <c r="B18" i="9" s="1"/>
  <c r="B23" i="9" s="1"/>
  <c r="B28" i="9" s="1"/>
  <c r="B33" i="9" s="1"/>
  <c r="B14" i="8"/>
  <c r="B19" i="8" s="1"/>
  <c r="B24" i="8" s="1"/>
  <c r="B29" i="8" s="1"/>
  <c r="B34" i="8" s="1"/>
  <c r="B14" i="7"/>
  <c r="B19" i="7" s="1"/>
  <c r="B24" i="7" s="1"/>
  <c r="B29" i="7" s="1"/>
  <c r="B34" i="7" s="1"/>
  <c r="B14" i="6"/>
  <c r="B19" i="6" s="1"/>
  <c r="B24" i="6" s="1"/>
  <c r="B29" i="6" s="1"/>
  <c r="B34" i="6" s="1"/>
  <c r="B14" i="5"/>
  <c r="B19" i="5" s="1"/>
  <c r="B24" i="5" s="1"/>
  <c r="B29" i="5" s="1"/>
  <c r="B34" i="5" s="1"/>
  <c r="B14" i="4"/>
  <c r="B19" i="4" s="1"/>
  <c r="B24" i="4" s="1"/>
  <c r="B29" i="4" s="1"/>
  <c r="B34" i="4" s="1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B14" i="2"/>
  <c r="B19" i="2" s="1"/>
  <c r="B24" i="2" s="1"/>
  <c r="B29" i="2" s="1"/>
  <c r="B34" i="2" s="1"/>
  <c r="C50" i="29"/>
  <c r="C40" i="5"/>
  <c r="C40" i="4"/>
  <c r="C40" i="6"/>
  <c r="C40" i="7"/>
  <c r="C40" i="8"/>
  <c r="C39" i="9"/>
  <c r="C40" i="10"/>
  <c r="C40" i="11"/>
  <c r="C40" i="12"/>
  <c r="C40" i="13"/>
  <c r="C40" i="14"/>
  <c r="C40" i="15"/>
  <c r="C40" i="16"/>
  <c r="C40" i="17"/>
  <c r="C40" i="18"/>
  <c r="C40" i="19"/>
  <c r="C40" i="20"/>
  <c r="J41" i="4" l="1"/>
  <c r="I41" i="4"/>
  <c r="H41" i="4"/>
  <c r="G41" i="4"/>
  <c r="F41" i="4"/>
  <c r="E41" i="4"/>
  <c r="D41" i="4"/>
  <c r="F67" i="4"/>
  <c r="F67" i="5" s="1"/>
  <c r="J67" i="4"/>
  <c r="J67" i="5" s="1"/>
  <c r="D67" i="4"/>
  <c r="D67" i="5" s="1"/>
  <c r="I67" i="4"/>
  <c r="I67" i="5" s="1"/>
  <c r="G67" i="4"/>
  <c r="G67" i="5" s="1"/>
  <c r="H67" i="4"/>
  <c r="H67" i="5" s="1"/>
  <c r="E67" i="4"/>
  <c r="E67" i="5" s="1"/>
  <c r="E65" i="4"/>
  <c r="H65" i="4"/>
  <c r="J65" i="4"/>
  <c r="D65" i="4"/>
  <c r="F65" i="4"/>
  <c r="G65" i="4"/>
  <c r="I65" i="4"/>
  <c r="J61" i="4"/>
  <c r="I61" i="4"/>
  <c r="H61" i="4"/>
  <c r="F61" i="4"/>
  <c r="E61" i="4"/>
  <c r="D61" i="4"/>
  <c r="G61" i="4"/>
  <c r="J57" i="4"/>
  <c r="I57" i="4"/>
  <c r="H57" i="4"/>
  <c r="G57" i="4"/>
  <c r="F57" i="4"/>
  <c r="E57" i="4"/>
  <c r="D57" i="4"/>
  <c r="F53" i="4"/>
  <c r="E53" i="4"/>
  <c r="D53" i="4"/>
  <c r="H53" i="4"/>
  <c r="G53" i="4"/>
  <c r="J53" i="4"/>
  <c r="I53" i="4"/>
  <c r="G49" i="4"/>
  <c r="J49" i="4"/>
  <c r="I49" i="4"/>
  <c r="H49" i="4"/>
  <c r="D49" i="4"/>
  <c r="F49" i="4"/>
  <c r="E49" i="4"/>
  <c r="F45" i="4"/>
  <c r="E45" i="4"/>
  <c r="D45" i="4"/>
  <c r="J45" i="4"/>
  <c r="I45" i="4"/>
  <c r="H45" i="4"/>
  <c r="G45" i="4"/>
  <c r="F64" i="4"/>
  <c r="I64" i="4"/>
  <c r="D64" i="4"/>
  <c r="G64" i="4"/>
  <c r="H64" i="4"/>
  <c r="J64" i="4"/>
  <c r="E64" i="4"/>
  <c r="H66" i="4"/>
  <c r="H66" i="5" s="1"/>
  <c r="H66" i="6" s="1"/>
  <c r="H66" i="7" s="1"/>
  <c r="H66" i="8" s="1"/>
  <c r="H65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I66" i="4"/>
  <c r="I66" i="5" s="1"/>
  <c r="I66" i="6" s="1"/>
  <c r="I66" i="7" s="1"/>
  <c r="I66" i="8" s="1"/>
  <c r="I65" i="9" s="1"/>
  <c r="I66" i="10" s="1"/>
  <c r="I66" i="11" s="1"/>
  <c r="I66" i="12" s="1"/>
  <c r="I66" i="13" s="1"/>
  <c r="I66" i="14" s="1"/>
  <c r="I66" i="15" s="1"/>
  <c r="I66" i="16" s="1"/>
  <c r="I66" i="17" s="1"/>
  <c r="I66" i="18" s="1"/>
  <c r="I66" i="19" s="1"/>
  <c r="I66" i="20" s="1"/>
  <c r="J66" i="4"/>
  <c r="J66" i="5" s="1"/>
  <c r="J66" i="6" s="1"/>
  <c r="J66" i="7" s="1"/>
  <c r="J66" i="8" s="1"/>
  <c r="J65" i="9" s="1"/>
  <c r="J66" i="10" s="1"/>
  <c r="J66" i="11" s="1"/>
  <c r="J66" i="12" s="1"/>
  <c r="J66" i="13" s="1"/>
  <c r="J66" i="14" s="1"/>
  <c r="J66" i="15" s="1"/>
  <c r="J66" i="16" s="1"/>
  <c r="J66" i="17" s="1"/>
  <c r="J66" i="18" s="1"/>
  <c r="J66" i="19" s="1"/>
  <c r="J66" i="20" s="1"/>
  <c r="D66" i="4"/>
  <c r="D66" i="5" s="1"/>
  <c r="D66" i="6" s="1"/>
  <c r="D66" i="7" s="1"/>
  <c r="D66" i="8" s="1"/>
  <c r="D65" i="9" s="1"/>
  <c r="D66" i="10" s="1"/>
  <c r="D66" i="11" s="1"/>
  <c r="D66" i="12" s="1"/>
  <c r="D66" i="13" s="1"/>
  <c r="D66" i="14" s="1"/>
  <c r="D66" i="15" s="1"/>
  <c r="D66" i="16" s="1"/>
  <c r="D66" i="17" s="1"/>
  <c r="D66" i="18" s="1"/>
  <c r="D66" i="19" s="1"/>
  <c r="D66" i="20" s="1"/>
  <c r="F66" i="4"/>
  <c r="F66" i="5" s="1"/>
  <c r="F66" i="6" s="1"/>
  <c r="F66" i="7" s="1"/>
  <c r="F66" i="8" s="1"/>
  <c r="F65" i="9" s="1"/>
  <c r="F66" i="10" s="1"/>
  <c r="F66" i="11" s="1"/>
  <c r="F66" i="12" s="1"/>
  <c r="F66" i="13" s="1"/>
  <c r="F66" i="14" s="1"/>
  <c r="F66" i="15" s="1"/>
  <c r="F66" i="16" s="1"/>
  <c r="F66" i="17" s="1"/>
  <c r="F66" i="18" s="1"/>
  <c r="F66" i="19" s="1"/>
  <c r="F66" i="20" s="1"/>
  <c r="E66" i="4"/>
  <c r="E66" i="5" s="1"/>
  <c r="E66" i="6" s="1"/>
  <c r="E66" i="7" s="1"/>
  <c r="E66" i="8" s="1"/>
  <c r="E65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6" i="20" s="1"/>
  <c r="G66" i="4"/>
  <c r="G66" i="5" s="1"/>
  <c r="G66" i="6" s="1"/>
  <c r="G66" i="7" s="1"/>
  <c r="G66" i="8" s="1"/>
  <c r="G65" i="9" s="1"/>
  <c r="G66" i="10" s="1"/>
  <c r="G66" i="11" s="1"/>
  <c r="G66" i="12" s="1"/>
  <c r="G66" i="13" s="1"/>
  <c r="G66" i="14" s="1"/>
  <c r="G66" i="15" s="1"/>
  <c r="G66" i="16" s="1"/>
  <c r="G66" i="17" s="1"/>
  <c r="G66" i="18" s="1"/>
  <c r="G66" i="19" s="1"/>
  <c r="G66" i="20" s="1"/>
  <c r="J60" i="4"/>
  <c r="E60" i="4"/>
  <c r="D60" i="4"/>
  <c r="G60" i="4"/>
  <c r="F60" i="4"/>
  <c r="I60" i="4"/>
  <c r="H60" i="4"/>
  <c r="F56" i="4"/>
  <c r="I56" i="4"/>
  <c r="H56" i="4"/>
  <c r="G56" i="4"/>
  <c r="J56" i="4"/>
  <c r="E56" i="4"/>
  <c r="D56" i="4"/>
  <c r="J52" i="4"/>
  <c r="D52" i="4"/>
  <c r="I52" i="4"/>
  <c r="H52" i="4"/>
  <c r="G52" i="4"/>
  <c r="E52" i="4"/>
  <c r="F52" i="4"/>
  <c r="I48" i="4"/>
  <c r="H48" i="4"/>
  <c r="G48" i="4"/>
  <c r="F48" i="4"/>
  <c r="J48" i="4"/>
  <c r="E48" i="4"/>
  <c r="D48" i="4"/>
  <c r="J44" i="4"/>
  <c r="E44" i="4"/>
  <c r="D44" i="4"/>
  <c r="F44" i="4"/>
  <c r="I44" i="4"/>
  <c r="H44" i="4"/>
  <c r="G44" i="4"/>
  <c r="J59" i="4"/>
  <c r="D59" i="4"/>
  <c r="H59" i="4"/>
  <c r="G59" i="4"/>
  <c r="F59" i="4"/>
  <c r="I59" i="4"/>
  <c r="E59" i="4"/>
  <c r="H55" i="4"/>
  <c r="G55" i="4"/>
  <c r="F55" i="4"/>
  <c r="I55" i="4"/>
  <c r="D55" i="4"/>
  <c r="E55" i="4"/>
  <c r="J55" i="4"/>
  <c r="I51" i="4"/>
  <c r="D51" i="4"/>
  <c r="G51" i="4"/>
  <c r="E51" i="4"/>
  <c r="J51" i="4"/>
  <c r="H51" i="4"/>
  <c r="F51" i="4"/>
  <c r="E47" i="4"/>
  <c r="J47" i="4"/>
  <c r="H47" i="4"/>
  <c r="G47" i="4"/>
  <c r="F47" i="4"/>
  <c r="I47" i="4"/>
  <c r="D47" i="4"/>
  <c r="J43" i="4"/>
  <c r="F43" i="4"/>
  <c r="I43" i="4"/>
  <c r="H43" i="4"/>
  <c r="G43" i="4"/>
  <c r="D43" i="4"/>
  <c r="E43" i="4"/>
  <c r="G62" i="4"/>
  <c r="F62" i="4"/>
  <c r="E62" i="4"/>
  <c r="D62" i="4"/>
  <c r="H62" i="4"/>
  <c r="J62" i="4"/>
  <c r="I62" i="4"/>
  <c r="G67" i="7"/>
  <c r="D67" i="7"/>
  <c r="H67" i="7"/>
  <c r="I67" i="7"/>
  <c r="J67" i="7"/>
  <c r="F67" i="7"/>
  <c r="E67" i="7"/>
  <c r="H40" i="4"/>
  <c r="H40" i="5" s="1"/>
  <c r="H40" i="6" s="1"/>
  <c r="H40" i="7" s="1"/>
  <c r="H40" i="8" s="1"/>
  <c r="H39" i="9" s="1"/>
  <c r="H40" i="10" s="1"/>
  <c r="H40" i="11" s="1"/>
  <c r="H40" i="12" s="1"/>
  <c r="H40" i="13" s="1"/>
  <c r="H40" i="14" s="1"/>
  <c r="H40" i="15" s="1"/>
  <c r="H40" i="16" s="1"/>
  <c r="H40" i="17" s="1"/>
  <c r="H40" i="18" s="1"/>
  <c r="G40" i="4"/>
  <c r="G40" i="5" s="1"/>
  <c r="G40" i="6" s="1"/>
  <c r="G40" i="7" s="1"/>
  <c r="G40" i="8" s="1"/>
  <c r="G39" i="9" s="1"/>
  <c r="G40" i="10" s="1"/>
  <c r="G40" i="11" s="1"/>
  <c r="G40" i="12" s="1"/>
  <c r="G40" i="13" s="1"/>
  <c r="G40" i="14" s="1"/>
  <c r="G40" i="15" s="1"/>
  <c r="G40" i="16" s="1"/>
  <c r="G40" i="17" s="1"/>
  <c r="G40" i="18" s="1"/>
  <c r="J40" i="4"/>
  <c r="J40" i="5" s="1"/>
  <c r="J40" i="6" s="1"/>
  <c r="J40" i="7" s="1"/>
  <c r="J40" i="8" s="1"/>
  <c r="I40" i="4"/>
  <c r="I40" i="5" s="1"/>
  <c r="I40" i="6" s="1"/>
  <c r="I40" i="7" s="1"/>
  <c r="I40" i="8" s="1"/>
  <c r="I39" i="9" s="1"/>
  <c r="I40" i="10" s="1"/>
  <c r="I40" i="11" s="1"/>
  <c r="I40" i="12" s="1"/>
  <c r="I40" i="13" s="1"/>
  <c r="I40" i="14" s="1"/>
  <c r="I40" i="15" s="1"/>
  <c r="I40" i="16" s="1"/>
  <c r="I40" i="17" s="1"/>
  <c r="I40" i="18" s="1"/>
  <c r="E40" i="4"/>
  <c r="E40" i="5" s="1"/>
  <c r="E40" i="6" s="1"/>
  <c r="E40" i="7" s="1"/>
  <c r="E40" i="8" s="1"/>
  <c r="E39" i="9" s="1"/>
  <c r="E40" i="10" s="1"/>
  <c r="E40" i="11" s="1"/>
  <c r="E40" i="12" s="1"/>
  <c r="E40" i="13" s="1"/>
  <c r="E40" i="14" s="1"/>
  <c r="E40" i="15" s="1"/>
  <c r="E40" i="16" s="1"/>
  <c r="E40" i="17" s="1"/>
  <c r="E40" i="18" s="1"/>
  <c r="F40" i="4"/>
  <c r="F40" i="5" s="1"/>
  <c r="F40" i="6" s="1"/>
  <c r="F40" i="7" s="1"/>
  <c r="F40" i="8" s="1"/>
  <c r="F39" i="9" s="1"/>
  <c r="F40" i="10" s="1"/>
  <c r="F40" i="11" s="1"/>
  <c r="F40" i="12" s="1"/>
  <c r="F40" i="13" s="1"/>
  <c r="F40" i="14" s="1"/>
  <c r="F40" i="15" s="1"/>
  <c r="F40" i="16" s="1"/>
  <c r="F40" i="17" s="1"/>
  <c r="F40" i="18" s="1"/>
  <c r="D40" i="4"/>
  <c r="D40" i="5" s="1"/>
  <c r="D40" i="6" s="1"/>
  <c r="D40" i="7" s="1"/>
  <c r="D40" i="8" s="1"/>
  <c r="D39" i="9" s="1"/>
  <c r="D40" i="10" s="1"/>
  <c r="D40" i="11" s="1"/>
  <c r="D40" i="12" s="1"/>
  <c r="D40" i="13" s="1"/>
  <c r="D40" i="14" s="1"/>
  <c r="D40" i="15" s="1"/>
  <c r="D40" i="16" s="1"/>
  <c r="D40" i="17" s="1"/>
  <c r="D40" i="18" s="1"/>
  <c r="F69" i="7"/>
  <c r="J69" i="7"/>
  <c r="G69" i="7"/>
  <c r="H69" i="7"/>
  <c r="I69" i="7"/>
  <c r="D69" i="7"/>
  <c r="E69" i="7"/>
  <c r="D68" i="7"/>
  <c r="E68" i="7"/>
  <c r="I68" i="7"/>
  <c r="H68" i="7"/>
  <c r="J68" i="7"/>
  <c r="F68" i="7"/>
  <c r="G68" i="7"/>
  <c r="H42" i="4"/>
  <c r="G42" i="4"/>
  <c r="F42" i="4"/>
  <c r="E42" i="4"/>
  <c r="D42" i="4"/>
  <c r="J42" i="4"/>
  <c r="I42" i="4"/>
  <c r="H58" i="4"/>
  <c r="J58" i="4"/>
  <c r="I58" i="4"/>
  <c r="F58" i="4"/>
  <c r="E58" i="4"/>
  <c r="D58" i="4"/>
  <c r="G58" i="4"/>
  <c r="D54" i="4"/>
  <c r="G54" i="4"/>
  <c r="F54" i="4"/>
  <c r="E54" i="4"/>
  <c r="J54" i="4"/>
  <c r="I54" i="4"/>
  <c r="H54" i="4"/>
  <c r="J50" i="4"/>
  <c r="I50" i="4"/>
  <c r="G50" i="4"/>
  <c r="F50" i="4"/>
  <c r="E50" i="4"/>
  <c r="H50" i="4"/>
  <c r="D50" i="4"/>
  <c r="G46" i="4"/>
  <c r="F46" i="4"/>
  <c r="E46" i="4"/>
  <c r="J46" i="4"/>
  <c r="H46" i="4"/>
  <c r="D46" i="4"/>
  <c r="I46" i="4"/>
  <c r="D63" i="4"/>
  <c r="E63" i="4"/>
  <c r="J63" i="4"/>
  <c r="H63" i="4"/>
  <c r="G63" i="4"/>
  <c r="I63" i="4"/>
  <c r="F63" i="4"/>
  <c r="E55" i="29"/>
  <c r="H54" i="29"/>
  <c r="I63" i="29"/>
  <c r="H55" i="29"/>
  <c r="E54" i="29"/>
  <c r="J56" i="29"/>
  <c r="F55" i="29"/>
  <c r="J54" i="29"/>
  <c r="H66" i="29"/>
  <c r="J67" i="29"/>
  <c r="H67" i="29"/>
  <c r="D70" i="29"/>
  <c r="E67" i="29"/>
  <c r="I66" i="29"/>
  <c r="F58" i="29"/>
  <c r="H53" i="29"/>
  <c r="J51" i="29"/>
  <c r="E51" i="29"/>
  <c r="J55" i="29"/>
  <c r="J71" i="29"/>
  <c r="G51" i="29"/>
  <c r="F54" i="29"/>
  <c r="E57" i="29"/>
  <c r="D50" i="29"/>
  <c r="E61" i="29"/>
  <c r="E59" i="29"/>
  <c r="H68" i="29"/>
  <c r="E64" i="29"/>
  <c r="D60" i="29"/>
  <c r="F56" i="29"/>
  <c r="D63" i="29"/>
  <c r="I59" i="29"/>
  <c r="I70" i="29"/>
  <c r="F51" i="29"/>
  <c r="I55" i="29"/>
  <c r="J59" i="29"/>
  <c r="E63" i="29"/>
  <c r="J62" i="29"/>
  <c r="I51" i="29"/>
  <c r="G59" i="29"/>
  <c r="D55" i="29"/>
  <c r="H59" i="29"/>
  <c r="F59" i="29"/>
  <c r="E62" i="29"/>
  <c r="I69" i="29"/>
  <c r="J65" i="29"/>
  <c r="G67" i="29"/>
  <c r="G55" i="29"/>
  <c r="F63" i="29"/>
  <c r="F67" i="29"/>
  <c r="J66" i="29"/>
  <c r="F66" i="29"/>
  <c r="G63" i="29"/>
  <c r="D59" i="29"/>
  <c r="F61" i="29"/>
  <c r="I64" i="29"/>
  <c r="H52" i="29"/>
  <c r="J63" i="29"/>
  <c r="I71" i="29"/>
  <c r="I60" i="29"/>
  <c r="F52" i="29"/>
  <c r="J68" i="29"/>
  <c r="E71" i="29"/>
  <c r="F71" i="29"/>
  <c r="D52" i="29"/>
  <c r="I50" i="29"/>
  <c r="E50" i="29"/>
  <c r="H71" i="29"/>
  <c r="F62" i="29"/>
  <c r="J70" i="29"/>
  <c r="G66" i="29"/>
  <c r="G71" i="29"/>
  <c r="J69" i="29"/>
  <c r="G65" i="29"/>
  <c r="F53" i="29"/>
  <c r="J58" i="29"/>
  <c r="G58" i="29"/>
  <c r="E56" i="29"/>
  <c r="D66" i="29"/>
  <c r="E66" i="29"/>
  <c r="D51" i="29"/>
  <c r="D57" i="29"/>
  <c r="I54" i="29"/>
  <c r="H62" i="29"/>
  <c r="F70" i="29"/>
  <c r="D68" i="29"/>
  <c r="D58" i="29"/>
  <c r="J61" i="29"/>
  <c r="J50" i="29"/>
  <c r="I67" i="29"/>
  <c r="F57" i="29"/>
  <c r="D62" i="29"/>
  <c r="G70" i="29"/>
  <c r="F60" i="29"/>
  <c r="F68" i="29"/>
  <c r="H58" i="29"/>
  <c r="H70" i="29"/>
  <c r="E65" i="29"/>
  <c r="I65" i="29"/>
  <c r="J64" i="29"/>
  <c r="H64" i="29"/>
  <c r="E60" i="29"/>
  <c r="G60" i="29"/>
  <c r="G56" i="29"/>
  <c r="I56" i="29"/>
  <c r="H50" i="29"/>
  <c r="G50" i="29"/>
  <c r="G52" i="29"/>
  <c r="I52" i="29"/>
  <c r="D56" i="29"/>
  <c r="H60" i="29"/>
  <c r="D64" i="29"/>
  <c r="G64" i="29"/>
  <c r="I68" i="29"/>
  <c r="H65" i="29"/>
  <c r="E70" i="29"/>
  <c r="F50" i="29"/>
  <c r="G69" i="29"/>
  <c r="J52" i="29"/>
  <c r="E52" i="29"/>
  <c r="H56" i="29"/>
  <c r="J60" i="29"/>
  <c r="F64" i="29"/>
  <c r="G68" i="29"/>
  <c r="E68" i="29"/>
  <c r="E53" i="29"/>
  <c r="H61" i="29"/>
  <c r="G62" i="29"/>
  <c r="I62" i="29"/>
  <c r="I58" i="29"/>
  <c r="E58" i="29"/>
  <c r="G54" i="29"/>
  <c r="D54" i="29"/>
  <c r="H51" i="29"/>
  <c r="G57" i="29"/>
  <c r="J57" i="29"/>
  <c r="J53" i="29"/>
  <c r="G53" i="29"/>
  <c r="F65" i="29"/>
  <c r="D65" i="29"/>
  <c r="H69" i="29"/>
  <c r="D71" i="29"/>
  <c r="H57" i="29"/>
  <c r="D69" i="29"/>
  <c r="E69" i="29"/>
  <c r="I53" i="29"/>
  <c r="G61" i="29"/>
  <c r="I61" i="29"/>
  <c r="I57" i="29"/>
  <c r="F69" i="29"/>
  <c r="D53" i="29"/>
  <c r="D61" i="29"/>
  <c r="D67" i="29"/>
  <c r="H63" i="29"/>
  <c r="H66" i="43" l="1"/>
  <c r="H66" i="44" s="1"/>
  <c r="H66" i="45" s="1"/>
  <c r="H66" i="46"/>
  <c r="H66" i="47" s="1"/>
  <c r="D66" i="43"/>
  <c r="D66" i="44" s="1"/>
  <c r="D66" i="45" s="1"/>
  <c r="D66" i="46"/>
  <c r="D66" i="47" s="1"/>
  <c r="G66" i="43"/>
  <c r="G66" i="44" s="1"/>
  <c r="G66" i="45" s="1"/>
  <c r="G66" i="46"/>
  <c r="G66" i="47" s="1"/>
  <c r="J66" i="43"/>
  <c r="J66" i="44" s="1"/>
  <c r="J66" i="45" s="1"/>
  <c r="J66" i="46"/>
  <c r="J66" i="47" s="1"/>
  <c r="E66" i="43"/>
  <c r="E66" i="44" s="1"/>
  <c r="E66" i="45" s="1"/>
  <c r="E66" i="46"/>
  <c r="E66" i="47" s="1"/>
  <c r="I66" i="43"/>
  <c r="I66" i="44" s="1"/>
  <c r="I66" i="45" s="1"/>
  <c r="I66" i="46"/>
  <c r="I66" i="47" s="1"/>
  <c r="F66" i="43"/>
  <c r="F66" i="44" s="1"/>
  <c r="F66" i="45" s="1"/>
  <c r="F66" i="46"/>
  <c r="F66" i="47" s="1"/>
  <c r="F50" i="5"/>
  <c r="F50" i="6" s="1"/>
  <c r="F50" i="7" s="1"/>
  <c r="F50" i="8" s="1"/>
  <c r="F49" i="9" s="1"/>
  <c r="F50" i="10" s="1"/>
  <c r="F50" i="11" s="1"/>
  <c r="F50" i="12" s="1"/>
  <c r="F50" i="13" s="1"/>
  <c r="F50" i="14" s="1"/>
  <c r="F50" i="15" s="1"/>
  <c r="F50" i="16" s="1"/>
  <c r="F50" i="17" s="1"/>
  <c r="F50" i="18" s="1"/>
  <c r="F50" i="19" s="1"/>
  <c r="F50" i="20" s="1"/>
  <c r="F54" i="5"/>
  <c r="F54" i="6" s="1"/>
  <c r="F54" i="7" s="1"/>
  <c r="F54" i="8" s="1"/>
  <c r="F53" i="9" s="1"/>
  <c r="F54" i="10" s="1"/>
  <c r="F54" i="11" s="1"/>
  <c r="F54" i="12" s="1"/>
  <c r="F54" i="13" s="1"/>
  <c r="F54" i="14" s="1"/>
  <c r="F54" i="15" s="1"/>
  <c r="F54" i="16" s="1"/>
  <c r="F54" i="17" s="1"/>
  <c r="F54" i="18" s="1"/>
  <c r="F54" i="19" s="1"/>
  <c r="F54" i="20" s="1"/>
  <c r="E43" i="5"/>
  <c r="E43" i="6" s="1"/>
  <c r="E43" i="7" s="1"/>
  <c r="E43" i="8" s="1"/>
  <c r="E42" i="9" s="1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59" i="5"/>
  <c r="E59" i="6" s="1"/>
  <c r="E59" i="7" s="1"/>
  <c r="E59" i="8" s="1"/>
  <c r="E58" i="9" s="1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59" i="20" s="1"/>
  <c r="E44" i="5"/>
  <c r="E44" i="6" s="1"/>
  <c r="E44" i="7" s="1"/>
  <c r="E44" i="8" s="1"/>
  <c r="E43" i="9" s="1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60" i="5"/>
  <c r="E60" i="6" s="1"/>
  <c r="E60" i="7" s="1"/>
  <c r="E60" i="8" s="1"/>
  <c r="E59" i="9" s="1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0" i="20" s="1"/>
  <c r="G45" i="5"/>
  <c r="G45" i="6" s="1"/>
  <c r="G45" i="7" s="1"/>
  <c r="G45" i="8" s="1"/>
  <c r="F49" i="5"/>
  <c r="F49" i="6" s="1"/>
  <c r="F49" i="7" s="1"/>
  <c r="F49" i="8" s="1"/>
  <c r="F48" i="9" s="1"/>
  <c r="F49" i="10" s="1"/>
  <c r="F49" i="11" s="1"/>
  <c r="F49" i="12" s="1"/>
  <c r="F49" i="13" s="1"/>
  <c r="F49" i="14" s="1"/>
  <c r="F49" i="15" s="1"/>
  <c r="F49" i="16" s="1"/>
  <c r="F49" i="17" s="1"/>
  <c r="F49" i="18" s="1"/>
  <c r="F49" i="19" s="1"/>
  <c r="F49" i="20" s="1"/>
  <c r="G53" i="5"/>
  <c r="G53" i="6" s="1"/>
  <c r="G53" i="7" s="1"/>
  <c r="G53" i="8" s="1"/>
  <c r="F53" i="5"/>
  <c r="F53" i="6" s="1"/>
  <c r="F53" i="7" s="1"/>
  <c r="F53" i="8" s="1"/>
  <c r="F52" i="9" s="1"/>
  <c r="F53" i="10" s="1"/>
  <c r="F53" i="11" s="1"/>
  <c r="F53" i="12" s="1"/>
  <c r="F53" i="13" s="1"/>
  <c r="F53" i="14" s="1"/>
  <c r="F53" i="15" s="1"/>
  <c r="F53" i="16" s="1"/>
  <c r="F53" i="17" s="1"/>
  <c r="F53" i="18" s="1"/>
  <c r="F53" i="19" s="1"/>
  <c r="F53" i="20" s="1"/>
  <c r="G57" i="5"/>
  <c r="G57" i="6" s="1"/>
  <c r="G57" i="7" s="1"/>
  <c r="G57" i="8" s="1"/>
  <c r="G61" i="5"/>
  <c r="G61" i="6" s="1"/>
  <c r="G61" i="7" s="1"/>
  <c r="G61" i="8" s="1"/>
  <c r="G65" i="5"/>
  <c r="G65" i="6" s="1"/>
  <c r="G65" i="7" s="1"/>
  <c r="G65" i="8" s="1"/>
  <c r="G41" i="5"/>
  <c r="G41" i="6" s="1"/>
  <c r="G41" i="7" s="1"/>
  <c r="G41" i="8" s="1"/>
  <c r="G40" i="9" s="1"/>
  <c r="E58" i="5"/>
  <c r="E58" i="6" s="1"/>
  <c r="E58" i="7" s="1"/>
  <c r="E58" i="8" s="1"/>
  <c r="E57" i="9" s="1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8" i="20" s="1"/>
  <c r="E42" i="5"/>
  <c r="E42" i="6" s="1"/>
  <c r="E42" i="7" s="1"/>
  <c r="E42" i="8" s="1"/>
  <c r="E41" i="9" s="1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62" i="5"/>
  <c r="E62" i="6" s="1"/>
  <c r="E62" i="7" s="1"/>
  <c r="E62" i="8" s="1"/>
  <c r="E61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2" i="20" s="1"/>
  <c r="F43" i="5"/>
  <c r="F43" i="6" s="1"/>
  <c r="F43" i="7" s="1"/>
  <c r="F43" i="8" s="1"/>
  <c r="F42" i="9" s="1"/>
  <c r="F43" i="10" s="1"/>
  <c r="F43" i="11" s="1"/>
  <c r="F43" i="12" s="1"/>
  <c r="F43" i="13" s="1"/>
  <c r="F43" i="14" s="1"/>
  <c r="F43" i="15" s="1"/>
  <c r="F43" i="16" s="1"/>
  <c r="F43" i="17" s="1"/>
  <c r="F43" i="18" s="1"/>
  <c r="F43" i="19" s="1"/>
  <c r="F47" i="5"/>
  <c r="F47" i="6" s="1"/>
  <c r="F47" i="7" s="1"/>
  <c r="F47" i="8" s="1"/>
  <c r="F46" i="9" s="1"/>
  <c r="F47" i="10" s="1"/>
  <c r="F47" i="11" s="1"/>
  <c r="F47" i="12" s="1"/>
  <c r="F47" i="13" s="1"/>
  <c r="F47" i="14" s="1"/>
  <c r="F47" i="15" s="1"/>
  <c r="F47" i="16" s="1"/>
  <c r="F47" i="17" s="1"/>
  <c r="F47" i="18" s="1"/>
  <c r="F47" i="19" s="1"/>
  <c r="E47" i="5"/>
  <c r="E47" i="6" s="1"/>
  <c r="E47" i="7" s="1"/>
  <c r="E47" i="8" s="1"/>
  <c r="E46" i="9" s="1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51" i="5"/>
  <c r="E51" i="6" s="1"/>
  <c r="E51" i="7" s="1"/>
  <c r="E51" i="8" s="1"/>
  <c r="E50" i="9" s="1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1" i="20" s="1"/>
  <c r="F55" i="5"/>
  <c r="F55" i="6" s="1"/>
  <c r="F55" i="7" s="1"/>
  <c r="F55" i="8" s="1"/>
  <c r="F54" i="9" s="1"/>
  <c r="F55" i="10" s="1"/>
  <c r="F55" i="11" s="1"/>
  <c r="F55" i="12" s="1"/>
  <c r="F55" i="13" s="1"/>
  <c r="F55" i="14" s="1"/>
  <c r="F55" i="15" s="1"/>
  <c r="F55" i="16" s="1"/>
  <c r="F55" i="17" s="1"/>
  <c r="F55" i="18" s="1"/>
  <c r="F55" i="19" s="1"/>
  <c r="F55" i="20" s="1"/>
  <c r="F48" i="5"/>
  <c r="F48" i="6" s="1"/>
  <c r="F48" i="7" s="1"/>
  <c r="F48" i="8" s="1"/>
  <c r="F47" i="9" s="1"/>
  <c r="F48" i="10" s="1"/>
  <c r="F48" i="11" s="1"/>
  <c r="F48" i="12" s="1"/>
  <c r="F48" i="13" s="1"/>
  <c r="F48" i="14" s="1"/>
  <c r="F48" i="15" s="1"/>
  <c r="F48" i="16" s="1"/>
  <c r="F48" i="17" s="1"/>
  <c r="F48" i="18" s="1"/>
  <c r="F48" i="19" s="1"/>
  <c r="F48" i="20" s="1"/>
  <c r="F52" i="5"/>
  <c r="F52" i="6" s="1"/>
  <c r="F52" i="7" s="1"/>
  <c r="F52" i="8" s="1"/>
  <c r="F51" i="9" s="1"/>
  <c r="F52" i="10" s="1"/>
  <c r="F52" i="11" s="1"/>
  <c r="F52" i="12" s="1"/>
  <c r="F52" i="13" s="1"/>
  <c r="F52" i="14" s="1"/>
  <c r="F52" i="15" s="1"/>
  <c r="F52" i="16" s="1"/>
  <c r="F52" i="17" s="1"/>
  <c r="F52" i="18" s="1"/>
  <c r="F52" i="19" s="1"/>
  <c r="F52" i="20" s="1"/>
  <c r="E56" i="5"/>
  <c r="E56" i="6" s="1"/>
  <c r="E56" i="7" s="1"/>
  <c r="E56" i="8" s="1"/>
  <c r="E55" i="9" s="1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6" i="20" s="1"/>
  <c r="F60" i="5"/>
  <c r="F60" i="6" s="1"/>
  <c r="F60" i="7" s="1"/>
  <c r="F60" i="8" s="1"/>
  <c r="F59" i="9" s="1"/>
  <c r="F60" i="10" s="1"/>
  <c r="F60" i="11" s="1"/>
  <c r="F60" i="12" s="1"/>
  <c r="F60" i="13" s="1"/>
  <c r="F60" i="14" s="1"/>
  <c r="F60" i="15" s="1"/>
  <c r="F60" i="16" s="1"/>
  <c r="F60" i="17" s="1"/>
  <c r="F60" i="18" s="1"/>
  <c r="F60" i="19" s="1"/>
  <c r="F60" i="20" s="1"/>
  <c r="E45" i="5"/>
  <c r="E45" i="6" s="1"/>
  <c r="E45" i="7" s="1"/>
  <c r="E45" i="8" s="1"/>
  <c r="E44" i="9" s="1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G49" i="5"/>
  <c r="G49" i="6" s="1"/>
  <c r="G49" i="7" s="1"/>
  <c r="G49" i="8" s="1"/>
  <c r="F65" i="5"/>
  <c r="F65" i="6" s="1"/>
  <c r="F65" i="7" s="1"/>
  <c r="F65" i="8" s="1"/>
  <c r="F64" i="9" s="1"/>
  <c r="F65" i="10" s="1"/>
  <c r="F65" i="11" s="1"/>
  <c r="F65" i="12" s="1"/>
  <c r="F65" i="13" s="1"/>
  <c r="F65" i="14" s="1"/>
  <c r="F65" i="15" s="1"/>
  <c r="F65" i="16" s="1"/>
  <c r="F65" i="17" s="1"/>
  <c r="F65" i="18" s="1"/>
  <c r="F65" i="19" s="1"/>
  <c r="F65" i="20" s="1"/>
  <c r="E65" i="5"/>
  <c r="E65" i="6" s="1"/>
  <c r="E65" i="7" s="1"/>
  <c r="E65" i="8" s="1"/>
  <c r="E64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5" i="20" s="1"/>
  <c r="G50" i="5"/>
  <c r="G50" i="6" s="1"/>
  <c r="G50" i="7" s="1"/>
  <c r="G50" i="8" s="1"/>
  <c r="G54" i="5"/>
  <c r="G54" i="6" s="1"/>
  <c r="G54" i="7" s="1"/>
  <c r="G54" i="8" s="1"/>
  <c r="E46" i="5"/>
  <c r="E46" i="6" s="1"/>
  <c r="E46" i="7" s="1"/>
  <c r="E46" i="8" s="1"/>
  <c r="E45" i="9" s="1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F58" i="5"/>
  <c r="F58" i="6" s="1"/>
  <c r="F58" i="7" s="1"/>
  <c r="F58" i="8" s="1"/>
  <c r="F57" i="9" s="1"/>
  <c r="F58" i="10" s="1"/>
  <c r="F58" i="11" s="1"/>
  <c r="F58" i="12" s="1"/>
  <c r="F58" i="13" s="1"/>
  <c r="F58" i="14" s="1"/>
  <c r="F58" i="15" s="1"/>
  <c r="F58" i="16" s="1"/>
  <c r="F58" i="17" s="1"/>
  <c r="F58" i="18" s="1"/>
  <c r="F58" i="19" s="1"/>
  <c r="F58" i="20" s="1"/>
  <c r="F42" i="5"/>
  <c r="F42" i="6" s="1"/>
  <c r="F42" i="7" s="1"/>
  <c r="F42" i="8" s="1"/>
  <c r="F41" i="9" s="1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62" i="5"/>
  <c r="F62" i="6" s="1"/>
  <c r="F62" i="7" s="1"/>
  <c r="F62" i="8" s="1"/>
  <c r="F61" i="9" s="1"/>
  <c r="F62" i="10" s="1"/>
  <c r="F62" i="11" s="1"/>
  <c r="F62" i="12" s="1"/>
  <c r="F62" i="13" s="1"/>
  <c r="F62" i="14" s="1"/>
  <c r="F62" i="15" s="1"/>
  <c r="F62" i="16" s="1"/>
  <c r="F62" i="17" s="1"/>
  <c r="F62" i="18" s="1"/>
  <c r="F62" i="19" s="1"/>
  <c r="F62" i="20" s="1"/>
  <c r="G43" i="5"/>
  <c r="G43" i="6" s="1"/>
  <c r="G43" i="7" s="1"/>
  <c r="G43" i="8" s="1"/>
  <c r="G47" i="5"/>
  <c r="G47" i="6" s="1"/>
  <c r="G47" i="7" s="1"/>
  <c r="G47" i="8" s="1"/>
  <c r="F51" i="5"/>
  <c r="F51" i="6" s="1"/>
  <c r="F51" i="7" s="1"/>
  <c r="F51" i="8" s="1"/>
  <c r="F50" i="9" s="1"/>
  <c r="F51" i="10" s="1"/>
  <c r="F51" i="11" s="1"/>
  <c r="F51" i="12" s="1"/>
  <c r="F51" i="13" s="1"/>
  <c r="F51" i="14" s="1"/>
  <c r="F51" i="15" s="1"/>
  <c r="F51" i="16" s="1"/>
  <c r="F51" i="17" s="1"/>
  <c r="F51" i="18" s="1"/>
  <c r="F51" i="19" s="1"/>
  <c r="F51" i="20" s="1"/>
  <c r="G51" i="5"/>
  <c r="G51" i="6" s="1"/>
  <c r="G51" i="7" s="1"/>
  <c r="G51" i="8" s="1"/>
  <c r="E55" i="5"/>
  <c r="E55" i="6" s="1"/>
  <c r="E55" i="7" s="1"/>
  <c r="E55" i="8" s="1"/>
  <c r="E54" i="9" s="1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5" i="20" s="1"/>
  <c r="G55" i="5"/>
  <c r="G55" i="6" s="1"/>
  <c r="G55" i="7" s="1"/>
  <c r="G55" i="8" s="1"/>
  <c r="F59" i="5"/>
  <c r="F59" i="6" s="1"/>
  <c r="F59" i="7" s="1"/>
  <c r="F59" i="8" s="1"/>
  <c r="F58" i="9" s="1"/>
  <c r="F59" i="10" s="1"/>
  <c r="F59" i="11" s="1"/>
  <c r="F59" i="12" s="1"/>
  <c r="F59" i="13" s="1"/>
  <c r="F59" i="14" s="1"/>
  <c r="F59" i="15" s="1"/>
  <c r="F59" i="16" s="1"/>
  <c r="F59" i="17" s="1"/>
  <c r="F59" i="18" s="1"/>
  <c r="F59" i="19" s="1"/>
  <c r="F59" i="20" s="1"/>
  <c r="F44" i="5"/>
  <c r="F44" i="6" s="1"/>
  <c r="F44" i="7" s="1"/>
  <c r="F44" i="8" s="1"/>
  <c r="F43" i="9" s="1"/>
  <c r="F44" i="10" s="1"/>
  <c r="F44" i="11" s="1"/>
  <c r="F44" i="12" s="1"/>
  <c r="F44" i="13" s="1"/>
  <c r="F44" i="14" s="1"/>
  <c r="F44" i="15" s="1"/>
  <c r="F44" i="16" s="1"/>
  <c r="F44" i="17" s="1"/>
  <c r="F44" i="18" s="1"/>
  <c r="F44" i="19" s="1"/>
  <c r="G48" i="5"/>
  <c r="G48" i="6" s="1"/>
  <c r="G48" i="7" s="1"/>
  <c r="G48" i="8" s="1"/>
  <c r="E52" i="5"/>
  <c r="E52" i="6" s="1"/>
  <c r="E52" i="7" s="1"/>
  <c r="E52" i="8" s="1"/>
  <c r="E51" i="9" s="1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2" i="20" s="1"/>
  <c r="F56" i="5"/>
  <c r="F56" i="6" s="1"/>
  <c r="F56" i="7" s="1"/>
  <c r="F56" i="8" s="1"/>
  <c r="F55" i="9" s="1"/>
  <c r="F56" i="10" s="1"/>
  <c r="F56" i="11" s="1"/>
  <c r="F56" i="12" s="1"/>
  <c r="F56" i="13" s="1"/>
  <c r="F56" i="14" s="1"/>
  <c r="F56" i="15" s="1"/>
  <c r="F56" i="16" s="1"/>
  <c r="F56" i="17" s="1"/>
  <c r="F56" i="18" s="1"/>
  <c r="F56" i="19" s="1"/>
  <c r="F56" i="20" s="1"/>
  <c r="G60" i="5"/>
  <c r="G60" i="6" s="1"/>
  <c r="G60" i="7" s="1"/>
  <c r="G60" i="8" s="1"/>
  <c r="F45" i="5"/>
  <c r="F45" i="6" s="1"/>
  <c r="F45" i="7" s="1"/>
  <c r="F45" i="8" s="1"/>
  <c r="F44" i="9" s="1"/>
  <c r="F45" i="10" s="1"/>
  <c r="F45" i="11" s="1"/>
  <c r="F45" i="12" s="1"/>
  <c r="F45" i="13" s="1"/>
  <c r="F45" i="14" s="1"/>
  <c r="F45" i="15" s="1"/>
  <c r="F45" i="16" s="1"/>
  <c r="F45" i="17" s="1"/>
  <c r="F45" i="18" s="1"/>
  <c r="F45" i="19" s="1"/>
  <c r="E57" i="5"/>
  <c r="E57" i="6" s="1"/>
  <c r="E57" i="7" s="1"/>
  <c r="E57" i="8" s="1"/>
  <c r="E56" i="9" s="1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7" i="20" s="1"/>
  <c r="E61" i="5"/>
  <c r="E61" i="6" s="1"/>
  <c r="E61" i="7" s="1"/>
  <c r="E61" i="8" s="1"/>
  <c r="E60" i="9" s="1"/>
  <c r="E61" i="10" s="1"/>
  <c r="E61" i="11" s="1"/>
  <c r="E61" i="12" s="1"/>
  <c r="E61" i="13" s="1"/>
  <c r="E61" i="14" s="1"/>
  <c r="E61" i="15" s="1"/>
  <c r="E61" i="16" s="1"/>
  <c r="E61" i="17" s="1"/>
  <c r="E61" i="18" s="1"/>
  <c r="E61" i="19" s="1"/>
  <c r="E61" i="20" s="1"/>
  <c r="E41" i="5"/>
  <c r="E41" i="6" s="1"/>
  <c r="E41" i="7" s="1"/>
  <c r="E41" i="8" s="1"/>
  <c r="E40" i="9" s="1"/>
  <c r="E41" i="10" s="1"/>
  <c r="E41" i="11" s="1"/>
  <c r="G46" i="5"/>
  <c r="G46" i="6" s="1"/>
  <c r="G46" i="7" s="1"/>
  <c r="G46" i="8" s="1"/>
  <c r="F46" i="5"/>
  <c r="F46" i="6" s="1"/>
  <c r="F46" i="7" s="1"/>
  <c r="F46" i="8" s="1"/>
  <c r="F45" i="9" s="1"/>
  <c r="F46" i="10" s="1"/>
  <c r="F46" i="11" s="1"/>
  <c r="F46" i="12" s="1"/>
  <c r="F46" i="13" s="1"/>
  <c r="F46" i="14" s="1"/>
  <c r="F46" i="15" s="1"/>
  <c r="F46" i="16" s="1"/>
  <c r="F46" i="17" s="1"/>
  <c r="F46" i="18" s="1"/>
  <c r="F46" i="19" s="1"/>
  <c r="E50" i="5"/>
  <c r="E50" i="6" s="1"/>
  <c r="E50" i="7" s="1"/>
  <c r="E50" i="8" s="1"/>
  <c r="E49" i="9" s="1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0" i="20" s="1"/>
  <c r="E54" i="5"/>
  <c r="E54" i="6" s="1"/>
  <c r="E54" i="7" s="1"/>
  <c r="E54" i="8" s="1"/>
  <c r="E53" i="9" s="1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4" i="20" s="1"/>
  <c r="G58" i="5"/>
  <c r="G58" i="6" s="1"/>
  <c r="G58" i="7" s="1"/>
  <c r="G58" i="8" s="1"/>
  <c r="G42" i="5"/>
  <c r="G42" i="6" s="1"/>
  <c r="G42" i="7" s="1"/>
  <c r="G42" i="8" s="1"/>
  <c r="G62" i="5"/>
  <c r="G62" i="6" s="1"/>
  <c r="G62" i="7" s="1"/>
  <c r="G62" i="8" s="1"/>
  <c r="G59" i="5"/>
  <c r="G59" i="6" s="1"/>
  <c r="G59" i="7" s="1"/>
  <c r="G59" i="8" s="1"/>
  <c r="G44" i="5"/>
  <c r="G44" i="6" s="1"/>
  <c r="G44" i="7" s="1"/>
  <c r="G44" i="8" s="1"/>
  <c r="E48" i="5"/>
  <c r="E48" i="6" s="1"/>
  <c r="E48" i="7" s="1"/>
  <c r="E48" i="8" s="1"/>
  <c r="E47" i="9" s="1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8" i="20" s="1"/>
  <c r="G52" i="5"/>
  <c r="G52" i="6" s="1"/>
  <c r="G52" i="7" s="1"/>
  <c r="G52" i="8" s="1"/>
  <c r="G56" i="5"/>
  <c r="G56" i="6" s="1"/>
  <c r="G56" i="7" s="1"/>
  <c r="G56" i="8" s="1"/>
  <c r="E49" i="5"/>
  <c r="E49" i="6" s="1"/>
  <c r="E49" i="7" s="1"/>
  <c r="E49" i="8" s="1"/>
  <c r="E48" i="9" s="1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49" i="20" s="1"/>
  <c r="E53" i="5"/>
  <c r="E53" i="6" s="1"/>
  <c r="E53" i="7" s="1"/>
  <c r="E53" i="8" s="1"/>
  <c r="E52" i="9" s="1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3" i="20" s="1"/>
  <c r="F57" i="5"/>
  <c r="F57" i="6" s="1"/>
  <c r="F57" i="7" s="1"/>
  <c r="F57" i="8" s="1"/>
  <c r="F56" i="9" s="1"/>
  <c r="F57" i="10" s="1"/>
  <c r="F57" i="11" s="1"/>
  <c r="F57" i="12" s="1"/>
  <c r="F57" i="13" s="1"/>
  <c r="F57" i="14" s="1"/>
  <c r="F57" i="15" s="1"/>
  <c r="F57" i="16" s="1"/>
  <c r="F57" i="17" s="1"/>
  <c r="F57" i="18" s="1"/>
  <c r="F57" i="19" s="1"/>
  <c r="F57" i="20" s="1"/>
  <c r="F61" i="5"/>
  <c r="F61" i="6" s="1"/>
  <c r="F61" i="7" s="1"/>
  <c r="F61" i="8" s="1"/>
  <c r="F60" i="9" s="1"/>
  <c r="F61" i="10" s="1"/>
  <c r="F61" i="11" s="1"/>
  <c r="F61" i="12" s="1"/>
  <c r="F61" i="13" s="1"/>
  <c r="F61" i="14" s="1"/>
  <c r="F61" i="15" s="1"/>
  <c r="F61" i="16" s="1"/>
  <c r="F61" i="17" s="1"/>
  <c r="F61" i="18" s="1"/>
  <c r="F61" i="19" s="1"/>
  <c r="F61" i="20" s="1"/>
  <c r="F41" i="5"/>
  <c r="F41" i="6" s="1"/>
  <c r="F41" i="7" s="1"/>
  <c r="F41" i="8" s="1"/>
  <c r="F40" i="9" s="1"/>
  <c r="F41" i="10" s="1"/>
  <c r="F41" i="11" s="1"/>
  <c r="D60" i="5"/>
  <c r="D60" i="6" s="1"/>
  <c r="D60" i="7" s="1"/>
  <c r="D60" i="8" s="1"/>
  <c r="D47" i="5"/>
  <c r="D47" i="6" s="1"/>
  <c r="D47" i="7" s="1"/>
  <c r="D47" i="8" s="1"/>
  <c r="D51" i="5"/>
  <c r="D51" i="6" s="1"/>
  <c r="D51" i="7" s="1"/>
  <c r="D51" i="8" s="1"/>
  <c r="D55" i="5"/>
  <c r="D55" i="6" s="1"/>
  <c r="D55" i="7" s="1"/>
  <c r="D55" i="8" s="1"/>
  <c r="D44" i="5"/>
  <c r="D44" i="6" s="1"/>
  <c r="D44" i="7" s="1"/>
  <c r="D44" i="8" s="1"/>
  <c r="D54" i="5"/>
  <c r="D54" i="6" s="1"/>
  <c r="D54" i="7" s="1"/>
  <c r="D54" i="8" s="1"/>
  <c r="D48" i="5"/>
  <c r="D48" i="6" s="1"/>
  <c r="D48" i="7" s="1"/>
  <c r="D48" i="8" s="1"/>
  <c r="D52" i="5"/>
  <c r="D52" i="6" s="1"/>
  <c r="D52" i="7" s="1"/>
  <c r="D52" i="8" s="1"/>
  <c r="D53" i="5"/>
  <c r="D53" i="6" s="1"/>
  <c r="D53" i="7" s="1"/>
  <c r="D53" i="8" s="1"/>
  <c r="D65" i="5"/>
  <c r="D65" i="6" s="1"/>
  <c r="D65" i="7" s="1"/>
  <c r="D65" i="8" s="1"/>
  <c r="D41" i="5"/>
  <c r="D41" i="6" s="1"/>
  <c r="D41" i="7" s="1"/>
  <c r="D41" i="8" s="1"/>
  <c r="D40" i="9" s="1"/>
  <c r="D46" i="5"/>
  <c r="D46" i="6" s="1"/>
  <c r="D46" i="7" s="1"/>
  <c r="D46" i="8" s="1"/>
  <c r="D50" i="5"/>
  <c r="D50" i="6" s="1"/>
  <c r="D50" i="7" s="1"/>
  <c r="D50" i="8" s="1"/>
  <c r="D43" i="5"/>
  <c r="D43" i="6" s="1"/>
  <c r="D43" i="7" s="1"/>
  <c r="D43" i="8" s="1"/>
  <c r="D59" i="5"/>
  <c r="D59" i="6" s="1"/>
  <c r="D59" i="7" s="1"/>
  <c r="D59" i="8" s="1"/>
  <c r="D49" i="5"/>
  <c r="D49" i="6" s="1"/>
  <c r="D49" i="7" s="1"/>
  <c r="D49" i="8" s="1"/>
  <c r="D57" i="5"/>
  <c r="D57" i="6" s="1"/>
  <c r="D57" i="7" s="1"/>
  <c r="D57" i="8" s="1"/>
  <c r="D61" i="5"/>
  <c r="D61" i="6" s="1"/>
  <c r="D61" i="7" s="1"/>
  <c r="D61" i="8" s="1"/>
  <c r="D58" i="5"/>
  <c r="D58" i="6" s="1"/>
  <c r="D58" i="7" s="1"/>
  <c r="D58" i="8" s="1"/>
  <c r="D42" i="5"/>
  <c r="D42" i="6" s="1"/>
  <c r="D42" i="7" s="1"/>
  <c r="D42" i="8" s="1"/>
  <c r="D62" i="5"/>
  <c r="D62" i="6" s="1"/>
  <c r="D62" i="7" s="1"/>
  <c r="D62" i="8" s="1"/>
  <c r="D56" i="5"/>
  <c r="D56" i="6" s="1"/>
  <c r="D56" i="7" s="1"/>
  <c r="D56" i="8" s="1"/>
  <c r="D45" i="5"/>
  <c r="D45" i="6" s="1"/>
  <c r="D45" i="7" s="1"/>
  <c r="D45" i="8" s="1"/>
  <c r="J58" i="5"/>
  <c r="J58" i="6" s="1"/>
  <c r="J58" i="7" s="1"/>
  <c r="J58" i="8" s="1"/>
  <c r="J52" i="5"/>
  <c r="J52" i="6" s="1"/>
  <c r="J52" i="7" s="1"/>
  <c r="J52" i="8" s="1"/>
  <c r="J53" i="5"/>
  <c r="J53" i="6" s="1"/>
  <c r="J53" i="7" s="1"/>
  <c r="J53" i="8" s="1"/>
  <c r="J41" i="5"/>
  <c r="J41" i="6" s="1"/>
  <c r="J41" i="7" s="1"/>
  <c r="J41" i="8" s="1"/>
  <c r="J40" i="9" s="1"/>
  <c r="J42" i="5"/>
  <c r="J42" i="6" s="1"/>
  <c r="J42" i="7" s="1"/>
  <c r="J42" i="8" s="1"/>
  <c r="J43" i="5"/>
  <c r="J43" i="6" s="1"/>
  <c r="J43" i="7" s="1"/>
  <c r="J43" i="8" s="1"/>
  <c r="J42" i="9" s="1"/>
  <c r="J43" i="10" s="1"/>
  <c r="J43" i="11" s="1"/>
  <c r="J43" i="12" s="1"/>
  <c r="J43" i="13" s="1"/>
  <c r="J43" i="14" s="1"/>
  <c r="J43" i="15" s="1"/>
  <c r="J43" i="16" s="1"/>
  <c r="J43" i="17" s="1"/>
  <c r="J43" i="18" s="1"/>
  <c r="J43" i="19" s="1"/>
  <c r="J59" i="5"/>
  <c r="J59" i="6" s="1"/>
  <c r="J59" i="7" s="1"/>
  <c r="J59" i="8" s="1"/>
  <c r="J58" i="9" s="1"/>
  <c r="J59" i="10" s="1"/>
  <c r="J59" i="11" s="1"/>
  <c r="J59" i="12" s="1"/>
  <c r="J59" i="13" s="1"/>
  <c r="J59" i="14" s="1"/>
  <c r="J59" i="15" s="1"/>
  <c r="J59" i="16" s="1"/>
  <c r="J59" i="17" s="1"/>
  <c r="J59" i="18" s="1"/>
  <c r="J59" i="19" s="1"/>
  <c r="J59" i="20" s="1"/>
  <c r="J61" i="5"/>
  <c r="J61" i="6" s="1"/>
  <c r="J61" i="7" s="1"/>
  <c r="J61" i="8" s="1"/>
  <c r="J54" i="5"/>
  <c r="J54" i="6" s="1"/>
  <c r="J54" i="7" s="1"/>
  <c r="J54" i="8" s="1"/>
  <c r="J55" i="5"/>
  <c r="J55" i="6" s="1"/>
  <c r="J55" i="7" s="1"/>
  <c r="J55" i="8" s="1"/>
  <c r="J44" i="5"/>
  <c r="J44" i="6" s="1"/>
  <c r="J44" i="7" s="1"/>
  <c r="J44" i="8" s="1"/>
  <c r="J60" i="5"/>
  <c r="J60" i="6" s="1"/>
  <c r="J60" i="7" s="1"/>
  <c r="J60" i="8" s="1"/>
  <c r="J45" i="5"/>
  <c r="J45" i="6" s="1"/>
  <c r="J45" i="7" s="1"/>
  <c r="J45" i="8" s="1"/>
  <c r="J57" i="5"/>
  <c r="J57" i="6" s="1"/>
  <c r="J57" i="7" s="1"/>
  <c r="J57" i="8" s="1"/>
  <c r="J65" i="5"/>
  <c r="J65" i="6" s="1"/>
  <c r="J65" i="7" s="1"/>
  <c r="J65" i="8" s="1"/>
  <c r="J50" i="5"/>
  <c r="J50" i="6" s="1"/>
  <c r="J50" i="7" s="1"/>
  <c r="J50" i="8" s="1"/>
  <c r="J62" i="5"/>
  <c r="J62" i="6" s="1"/>
  <c r="J62" i="7" s="1"/>
  <c r="J62" i="8" s="1"/>
  <c r="J56" i="5"/>
  <c r="J56" i="6" s="1"/>
  <c r="J56" i="7" s="1"/>
  <c r="J56" i="8" s="1"/>
  <c r="J55" i="9" s="1"/>
  <c r="J56" i="10" s="1"/>
  <c r="J56" i="11" s="1"/>
  <c r="J56" i="12" s="1"/>
  <c r="J56" i="13" s="1"/>
  <c r="J56" i="14" s="1"/>
  <c r="J56" i="15" s="1"/>
  <c r="J56" i="16" s="1"/>
  <c r="J56" i="17" s="1"/>
  <c r="J56" i="18" s="1"/>
  <c r="J56" i="19" s="1"/>
  <c r="J56" i="20" s="1"/>
  <c r="J46" i="5"/>
  <c r="J46" i="6" s="1"/>
  <c r="J46" i="7" s="1"/>
  <c r="J46" i="8" s="1"/>
  <c r="J47" i="5"/>
  <c r="J47" i="6" s="1"/>
  <c r="J47" i="7" s="1"/>
  <c r="J47" i="8" s="1"/>
  <c r="J51" i="5"/>
  <c r="J51" i="6" s="1"/>
  <c r="J51" i="7" s="1"/>
  <c r="J51" i="8" s="1"/>
  <c r="J48" i="5"/>
  <c r="J48" i="6" s="1"/>
  <c r="J48" i="7" s="1"/>
  <c r="J48" i="8" s="1"/>
  <c r="J49" i="5"/>
  <c r="J49" i="6" s="1"/>
  <c r="J49" i="7" s="1"/>
  <c r="J49" i="8" s="1"/>
  <c r="I45" i="5"/>
  <c r="I45" i="6" s="1"/>
  <c r="I45" i="7" s="1"/>
  <c r="I45" i="8" s="1"/>
  <c r="I57" i="5"/>
  <c r="I57" i="6" s="1"/>
  <c r="I57" i="7" s="1"/>
  <c r="I57" i="8" s="1"/>
  <c r="I58" i="5"/>
  <c r="I58" i="6" s="1"/>
  <c r="I58" i="7" s="1"/>
  <c r="I58" i="8" s="1"/>
  <c r="I62" i="5"/>
  <c r="I62" i="6" s="1"/>
  <c r="I62" i="7" s="1"/>
  <c r="I62" i="8" s="1"/>
  <c r="I59" i="5"/>
  <c r="I59" i="6" s="1"/>
  <c r="I59" i="7" s="1"/>
  <c r="I59" i="8" s="1"/>
  <c r="I44" i="5"/>
  <c r="I44" i="6" s="1"/>
  <c r="I44" i="7" s="1"/>
  <c r="I44" i="8" s="1"/>
  <c r="I52" i="5"/>
  <c r="I52" i="6" s="1"/>
  <c r="I52" i="7" s="1"/>
  <c r="I52" i="8" s="1"/>
  <c r="I56" i="5"/>
  <c r="I56" i="6" s="1"/>
  <c r="I56" i="7" s="1"/>
  <c r="I56" i="8" s="1"/>
  <c r="I61" i="5"/>
  <c r="I61" i="6" s="1"/>
  <c r="I61" i="7" s="1"/>
  <c r="I61" i="8" s="1"/>
  <c r="I54" i="5"/>
  <c r="I54" i="6" s="1"/>
  <c r="I54" i="7" s="1"/>
  <c r="I54" i="8" s="1"/>
  <c r="I49" i="5"/>
  <c r="I49" i="6" s="1"/>
  <c r="I49" i="7" s="1"/>
  <c r="I49" i="8" s="1"/>
  <c r="I65" i="5"/>
  <c r="I65" i="6" s="1"/>
  <c r="I65" i="7" s="1"/>
  <c r="I65" i="8" s="1"/>
  <c r="I53" i="5"/>
  <c r="I53" i="6" s="1"/>
  <c r="I53" i="7" s="1"/>
  <c r="I53" i="8" s="1"/>
  <c r="I41" i="5"/>
  <c r="I41" i="6" s="1"/>
  <c r="I41" i="7" s="1"/>
  <c r="I41" i="8" s="1"/>
  <c r="I40" i="9" s="1"/>
  <c r="I46" i="5"/>
  <c r="I46" i="6" s="1"/>
  <c r="I46" i="7" s="1"/>
  <c r="I46" i="8" s="1"/>
  <c r="I50" i="5"/>
  <c r="I50" i="6" s="1"/>
  <c r="I50" i="7" s="1"/>
  <c r="I50" i="8" s="1"/>
  <c r="I42" i="5"/>
  <c r="I42" i="6" s="1"/>
  <c r="I42" i="7" s="1"/>
  <c r="I42" i="8" s="1"/>
  <c r="I43" i="5"/>
  <c r="I43" i="6" s="1"/>
  <c r="I43" i="7" s="1"/>
  <c r="I43" i="8" s="1"/>
  <c r="I47" i="5"/>
  <c r="I47" i="6" s="1"/>
  <c r="I47" i="7" s="1"/>
  <c r="I47" i="8" s="1"/>
  <c r="I51" i="5"/>
  <c r="I51" i="6" s="1"/>
  <c r="I51" i="7" s="1"/>
  <c r="I51" i="8" s="1"/>
  <c r="I55" i="5"/>
  <c r="I55" i="6" s="1"/>
  <c r="I55" i="7" s="1"/>
  <c r="I55" i="8" s="1"/>
  <c r="I48" i="5"/>
  <c r="I48" i="6" s="1"/>
  <c r="I48" i="7" s="1"/>
  <c r="I48" i="8" s="1"/>
  <c r="I60" i="5"/>
  <c r="I60" i="6" s="1"/>
  <c r="I60" i="7" s="1"/>
  <c r="I60" i="8" s="1"/>
  <c r="F64" i="5"/>
  <c r="F64" i="6" s="1"/>
  <c r="F64" i="7" s="1"/>
  <c r="F64" i="8" s="1"/>
  <c r="J64" i="5"/>
  <c r="J64" i="6" s="1"/>
  <c r="J64" i="7" s="1"/>
  <c r="J64" i="8" s="1"/>
  <c r="E64" i="5"/>
  <c r="E64" i="6" s="1"/>
  <c r="E64" i="7" s="1"/>
  <c r="E64" i="8" s="1"/>
  <c r="D64" i="5"/>
  <c r="D64" i="6" s="1"/>
  <c r="D64" i="7" s="1"/>
  <c r="D64" i="8" s="1"/>
  <c r="I64" i="5"/>
  <c r="I64" i="6" s="1"/>
  <c r="I64" i="7" s="1"/>
  <c r="I64" i="8" s="1"/>
  <c r="G64" i="5"/>
  <c r="G64" i="6" s="1"/>
  <c r="G64" i="7" s="1"/>
  <c r="G64" i="8" s="1"/>
  <c r="D63" i="5"/>
  <c r="D63" i="6" s="1"/>
  <c r="D63" i="7" s="1"/>
  <c r="D63" i="8" s="1"/>
  <c r="E63" i="5"/>
  <c r="E63" i="6" s="1"/>
  <c r="E63" i="7" s="1"/>
  <c r="E63" i="8" s="1"/>
  <c r="F63" i="5"/>
  <c r="F63" i="6" s="1"/>
  <c r="F63" i="7" s="1"/>
  <c r="F63" i="8" s="1"/>
  <c r="J63" i="5"/>
  <c r="J63" i="6" s="1"/>
  <c r="J63" i="7" s="1"/>
  <c r="J63" i="8" s="1"/>
  <c r="G63" i="5"/>
  <c r="G63" i="6" s="1"/>
  <c r="G63" i="7" s="1"/>
  <c r="G63" i="8" s="1"/>
  <c r="I63" i="5"/>
  <c r="I63" i="6" s="1"/>
  <c r="I63" i="7" s="1"/>
  <c r="I63" i="8" s="1"/>
  <c r="H57" i="5"/>
  <c r="H57" i="6" s="1"/>
  <c r="H57" i="7" s="1"/>
  <c r="H57" i="8" s="1"/>
  <c r="H56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63" i="5"/>
  <c r="H63" i="6" s="1"/>
  <c r="H63" i="7" s="1"/>
  <c r="H63" i="8" s="1"/>
  <c r="H62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50" i="5"/>
  <c r="H50" i="6" s="1"/>
  <c r="H50" i="7" s="1"/>
  <c r="H50" i="8" s="1"/>
  <c r="H49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62" i="5"/>
  <c r="H62" i="6" s="1"/>
  <c r="H62" i="7" s="1"/>
  <c r="H62" i="8" s="1"/>
  <c r="H61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43" i="5"/>
  <c r="H43" i="6" s="1"/>
  <c r="H43" i="7" s="1"/>
  <c r="H43" i="8" s="1"/>
  <c r="H42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7" i="5"/>
  <c r="H47" i="6" s="1"/>
  <c r="H47" i="7" s="1"/>
  <c r="H47" i="8" s="1"/>
  <c r="H46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51" i="5"/>
  <c r="H51" i="6" s="1"/>
  <c r="H51" i="7" s="1"/>
  <c r="H51" i="8" s="1"/>
  <c r="H50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5" i="5"/>
  <c r="H55" i="6" s="1"/>
  <c r="H55" i="7" s="1"/>
  <c r="H55" i="8" s="1"/>
  <c r="H54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48" i="5"/>
  <c r="H48" i="6" s="1"/>
  <c r="H48" i="7" s="1"/>
  <c r="H48" i="8" s="1"/>
  <c r="H47" i="9" s="1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8" i="20" s="1"/>
  <c r="H60" i="5"/>
  <c r="H60" i="6" s="1"/>
  <c r="H60" i="7" s="1"/>
  <c r="H60" i="8" s="1"/>
  <c r="H59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4" i="5"/>
  <c r="H64" i="6" s="1"/>
  <c r="H64" i="7" s="1"/>
  <c r="H64" i="8" s="1"/>
  <c r="H63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58" i="5"/>
  <c r="H58" i="6" s="1"/>
  <c r="H58" i="7" s="1"/>
  <c r="H58" i="8" s="1"/>
  <c r="H57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49" i="5"/>
  <c r="H49" i="6" s="1"/>
  <c r="H49" i="7" s="1"/>
  <c r="H49" i="8" s="1"/>
  <c r="H48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6" i="5"/>
  <c r="H46" i="6" s="1"/>
  <c r="H46" i="7" s="1"/>
  <c r="H46" i="8" s="1"/>
  <c r="H45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54" i="5"/>
  <c r="H54" i="6" s="1"/>
  <c r="H54" i="7" s="1"/>
  <c r="H54" i="8" s="1"/>
  <c r="H53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42" i="5"/>
  <c r="H42" i="6" s="1"/>
  <c r="H42" i="7" s="1"/>
  <c r="H42" i="8" s="1"/>
  <c r="H41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5" i="5"/>
  <c r="H45" i="6" s="1"/>
  <c r="H45" i="7" s="1"/>
  <c r="H45" i="8" s="1"/>
  <c r="H44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53" i="5"/>
  <c r="H53" i="6" s="1"/>
  <c r="H53" i="7" s="1"/>
  <c r="H53" i="8" s="1"/>
  <c r="H52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41" i="5"/>
  <c r="H41" i="6" s="1"/>
  <c r="H41" i="7" s="1"/>
  <c r="H41" i="8" s="1"/>
  <c r="H40" i="9" s="1"/>
  <c r="H41" i="10" s="1"/>
  <c r="H41" i="11" s="1"/>
  <c r="H59" i="5"/>
  <c r="H59" i="6" s="1"/>
  <c r="H59" i="7" s="1"/>
  <c r="H59" i="8" s="1"/>
  <c r="H58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44" i="5"/>
  <c r="H44" i="6" s="1"/>
  <c r="H44" i="7" s="1"/>
  <c r="H44" i="8" s="1"/>
  <c r="H43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52" i="5"/>
  <c r="H52" i="6" s="1"/>
  <c r="H52" i="7" s="1"/>
  <c r="H52" i="8" s="1"/>
  <c r="H51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6" i="5"/>
  <c r="H56" i="6" s="1"/>
  <c r="H56" i="7" s="1"/>
  <c r="H56" i="8" s="1"/>
  <c r="H55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61" i="5"/>
  <c r="H61" i="6" s="1"/>
  <c r="H61" i="7" s="1"/>
  <c r="H61" i="8" s="1"/>
  <c r="H60" i="9" s="1"/>
  <c r="H61" i="10" s="1"/>
  <c r="H61" i="11" s="1"/>
  <c r="H61" i="12" s="1"/>
  <c r="H61" i="13" s="1"/>
  <c r="H61" i="14" s="1"/>
  <c r="H61" i="15" s="1"/>
  <c r="H61" i="16" s="1"/>
  <c r="H61" i="17" s="1"/>
  <c r="H61" i="18" s="1"/>
  <c r="H61" i="19" s="1"/>
  <c r="H61" i="20" s="1"/>
  <c r="H65" i="5"/>
  <c r="H65" i="6" s="1"/>
  <c r="H65" i="7" s="1"/>
  <c r="H65" i="8" s="1"/>
  <c r="H64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J39" i="9"/>
  <c r="J40" i="10" s="1"/>
  <c r="J40" i="11" s="1"/>
  <c r="J40" i="12" s="1"/>
  <c r="J40" i="13" s="1"/>
  <c r="J40" i="14" s="1"/>
  <c r="J40" i="15" s="1"/>
  <c r="J40" i="16" s="1"/>
  <c r="J40" i="17" s="1"/>
  <c r="J40" i="18" s="1"/>
  <c r="D40" i="19"/>
  <c r="E40" i="19"/>
  <c r="H40" i="19"/>
  <c r="F40" i="19"/>
  <c r="G40" i="19"/>
  <c r="I40" i="19"/>
  <c r="H55" i="43" l="1"/>
  <c r="H55" i="44" s="1"/>
  <c r="H55" i="45" s="1"/>
  <c r="H55" i="46"/>
  <c r="H55" i="47" s="1"/>
  <c r="H62" i="43"/>
  <c r="H62" i="44" s="1"/>
  <c r="H62" i="45" s="1"/>
  <c r="H62" i="46"/>
  <c r="H62" i="47" s="1"/>
  <c r="J56" i="43"/>
  <c r="J56" i="44" s="1"/>
  <c r="J56" i="45" s="1"/>
  <c r="J56" i="46"/>
  <c r="J56" i="47" s="1"/>
  <c r="E53" i="43"/>
  <c r="E53" i="44" s="1"/>
  <c r="E53" i="45" s="1"/>
  <c r="E53" i="46"/>
  <c r="E53" i="47" s="1"/>
  <c r="E48" i="43"/>
  <c r="E48" i="44" s="1"/>
  <c r="E48" i="45" s="1"/>
  <c r="E48" i="46"/>
  <c r="E48" i="47" s="1"/>
  <c r="E57" i="43"/>
  <c r="E57" i="44" s="1"/>
  <c r="E57" i="45" s="1"/>
  <c r="E57" i="46"/>
  <c r="E57" i="47" s="1"/>
  <c r="E52" i="43"/>
  <c r="E52" i="44" s="1"/>
  <c r="E52" i="45" s="1"/>
  <c r="E52" i="46"/>
  <c r="E52" i="47" s="1"/>
  <c r="E65" i="43"/>
  <c r="E65" i="44" s="1"/>
  <c r="E65" i="45" s="1"/>
  <c r="E65" i="46"/>
  <c r="E65" i="47" s="1"/>
  <c r="E60" i="43"/>
  <c r="E60" i="44" s="1"/>
  <c r="E60" i="45" s="1"/>
  <c r="E60" i="46"/>
  <c r="E60" i="47" s="1"/>
  <c r="H49" i="43"/>
  <c r="H49" i="44" s="1"/>
  <c r="H49" i="45" s="1"/>
  <c r="H49" i="46"/>
  <c r="H49" i="47" s="1"/>
  <c r="H61" i="43"/>
  <c r="H61" i="44" s="1"/>
  <c r="H61" i="45" s="1"/>
  <c r="H61" i="46"/>
  <c r="H61" i="47" s="1"/>
  <c r="H58" i="43"/>
  <c r="H58" i="44" s="1"/>
  <c r="H58" i="45" s="1"/>
  <c r="H58" i="46"/>
  <c r="H58" i="47" s="1"/>
  <c r="H54" i="43"/>
  <c r="H54" i="44" s="1"/>
  <c r="H54" i="45" s="1"/>
  <c r="H54" i="46"/>
  <c r="H54" i="47" s="1"/>
  <c r="H51" i="43"/>
  <c r="H51" i="44" s="1"/>
  <c r="H51" i="45" s="1"/>
  <c r="H51" i="46"/>
  <c r="H51" i="47" s="1"/>
  <c r="H50" i="43"/>
  <c r="H50" i="44" s="1"/>
  <c r="H50" i="45" s="1"/>
  <c r="H50" i="46"/>
  <c r="H50" i="47" s="1"/>
  <c r="E49" i="43"/>
  <c r="E49" i="44" s="1"/>
  <c r="E49" i="45" s="1"/>
  <c r="E49" i="46"/>
  <c r="E49" i="47" s="1"/>
  <c r="E55" i="43"/>
  <c r="E55" i="44" s="1"/>
  <c r="E55" i="45" s="1"/>
  <c r="E55" i="46"/>
  <c r="E55" i="47" s="1"/>
  <c r="E56" i="43"/>
  <c r="E56" i="44" s="1"/>
  <c r="E56" i="45" s="1"/>
  <c r="E56" i="46"/>
  <c r="E56" i="47" s="1"/>
  <c r="E51" i="43"/>
  <c r="E51" i="44" s="1"/>
  <c r="E51" i="45" s="1"/>
  <c r="E51" i="46"/>
  <c r="E51" i="47" s="1"/>
  <c r="E62" i="43"/>
  <c r="E62" i="44" s="1"/>
  <c r="E62" i="45" s="1"/>
  <c r="E62" i="46"/>
  <c r="E62" i="47" s="1"/>
  <c r="H65" i="43"/>
  <c r="H65" i="44" s="1"/>
  <c r="H65" i="45" s="1"/>
  <c r="H65" i="46"/>
  <c r="H65" i="47" s="1"/>
  <c r="H59" i="43"/>
  <c r="H59" i="44" s="1"/>
  <c r="H59" i="45" s="1"/>
  <c r="H59" i="46"/>
  <c r="H59" i="47" s="1"/>
  <c r="H56" i="43"/>
  <c r="H56" i="44" s="1"/>
  <c r="H56" i="45" s="1"/>
  <c r="H56" i="46"/>
  <c r="H56" i="47" s="1"/>
  <c r="H64" i="43"/>
  <c r="H64" i="44" s="1"/>
  <c r="H64" i="45" s="1"/>
  <c r="H64" i="46"/>
  <c r="H64" i="47" s="1"/>
  <c r="H52" i="43"/>
  <c r="H52" i="44" s="1"/>
  <c r="H52" i="45" s="1"/>
  <c r="H52" i="46"/>
  <c r="H52" i="47" s="1"/>
  <c r="H53" i="43"/>
  <c r="H53" i="44" s="1"/>
  <c r="H53" i="45" s="1"/>
  <c r="H53" i="46"/>
  <c r="H53" i="47" s="1"/>
  <c r="H60" i="43"/>
  <c r="H60" i="44" s="1"/>
  <c r="H60" i="45" s="1"/>
  <c r="H60" i="46"/>
  <c r="H60" i="47" s="1"/>
  <c r="H63" i="43"/>
  <c r="H63" i="44" s="1"/>
  <c r="H63" i="45" s="1"/>
  <c r="H63" i="46"/>
  <c r="H63" i="47" s="1"/>
  <c r="E54" i="43"/>
  <c r="E54" i="44" s="1"/>
  <c r="E54" i="45" s="1"/>
  <c r="E54" i="46"/>
  <c r="E54" i="47" s="1"/>
  <c r="E59" i="43"/>
  <c r="E59" i="44" s="1"/>
  <c r="E59" i="45" s="1"/>
  <c r="E59" i="46"/>
  <c r="E59" i="47" s="1"/>
  <c r="H48" i="43"/>
  <c r="H48" i="44" s="1"/>
  <c r="H48" i="45" s="1"/>
  <c r="H48" i="46"/>
  <c r="H48" i="47" s="1"/>
  <c r="H57" i="43"/>
  <c r="H57" i="44" s="1"/>
  <c r="H57" i="45" s="1"/>
  <c r="H57" i="46"/>
  <c r="H57" i="47" s="1"/>
  <c r="J59" i="43"/>
  <c r="J59" i="44" s="1"/>
  <c r="J59" i="45" s="1"/>
  <c r="J59" i="46"/>
  <c r="J59" i="47" s="1"/>
  <c r="E50" i="43"/>
  <c r="E50" i="44" s="1"/>
  <c r="E50" i="45" s="1"/>
  <c r="E50" i="46"/>
  <c r="E50" i="47" s="1"/>
  <c r="E61" i="43"/>
  <c r="E61" i="44" s="1"/>
  <c r="E61" i="45" s="1"/>
  <c r="E61" i="46"/>
  <c r="E61" i="47" s="1"/>
  <c r="E58" i="43"/>
  <c r="E58" i="44" s="1"/>
  <c r="E58" i="45" s="1"/>
  <c r="E58" i="46"/>
  <c r="E58" i="47" s="1"/>
  <c r="F55" i="43"/>
  <c r="F55" i="44" s="1"/>
  <c r="F55" i="45" s="1"/>
  <c r="F55" i="46"/>
  <c r="F55" i="47" s="1"/>
  <c r="F53" i="43"/>
  <c r="F53" i="44" s="1"/>
  <c r="F53" i="45" s="1"/>
  <c r="F53" i="46"/>
  <c r="F53" i="47" s="1"/>
  <c r="F54" i="43"/>
  <c r="F54" i="44" s="1"/>
  <c r="F54" i="45" s="1"/>
  <c r="F54" i="46"/>
  <c r="F54" i="47" s="1"/>
  <c r="F65" i="43"/>
  <c r="F65" i="44" s="1"/>
  <c r="F65" i="45" s="1"/>
  <c r="F65" i="46"/>
  <c r="F65" i="47" s="1"/>
  <c r="F50" i="43"/>
  <c r="F50" i="44" s="1"/>
  <c r="F50" i="45" s="1"/>
  <c r="F50" i="46"/>
  <c r="F50" i="47" s="1"/>
  <c r="F58" i="43"/>
  <c r="F58" i="44" s="1"/>
  <c r="F58" i="45" s="1"/>
  <c r="F58" i="46"/>
  <c r="F58" i="47" s="1"/>
  <c r="F60" i="43"/>
  <c r="F60" i="44" s="1"/>
  <c r="F60" i="45" s="1"/>
  <c r="F60" i="46"/>
  <c r="F60" i="47" s="1"/>
  <c r="F61" i="43"/>
  <c r="F61" i="44" s="1"/>
  <c r="F61" i="45" s="1"/>
  <c r="F61" i="46"/>
  <c r="F61" i="47" s="1"/>
  <c r="F62" i="43"/>
  <c r="F62" i="44" s="1"/>
  <c r="F62" i="45" s="1"/>
  <c r="F62" i="46"/>
  <c r="F62" i="47" s="1"/>
  <c r="F52" i="43"/>
  <c r="F52" i="44" s="1"/>
  <c r="F52" i="45" s="1"/>
  <c r="F52" i="46"/>
  <c r="F52" i="47" s="1"/>
  <c r="F49" i="43"/>
  <c r="F49" i="44" s="1"/>
  <c r="F49" i="45" s="1"/>
  <c r="F49" i="46"/>
  <c r="F49" i="47" s="1"/>
  <c r="F57" i="43"/>
  <c r="F57" i="44" s="1"/>
  <c r="F57" i="45" s="1"/>
  <c r="F57" i="46"/>
  <c r="F57" i="47" s="1"/>
  <c r="F56" i="43"/>
  <c r="F56" i="44" s="1"/>
  <c r="F56" i="45" s="1"/>
  <c r="F56" i="46"/>
  <c r="F56" i="47" s="1"/>
  <c r="F59" i="43"/>
  <c r="F59" i="44" s="1"/>
  <c r="F59" i="45" s="1"/>
  <c r="F59" i="46"/>
  <c r="F59" i="47" s="1"/>
  <c r="F51" i="43"/>
  <c r="F51" i="44" s="1"/>
  <c r="F51" i="45" s="1"/>
  <c r="F51" i="46"/>
  <c r="F51" i="47" s="1"/>
  <c r="F48" i="43"/>
  <c r="F48" i="44" s="1"/>
  <c r="F48" i="45" s="1"/>
  <c r="F48" i="46"/>
  <c r="F48" i="47" s="1"/>
  <c r="G45" i="9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6" i="20" s="1"/>
  <c r="G55" i="9"/>
  <c r="G56" i="10" s="1"/>
  <c r="G56" i="11" s="1"/>
  <c r="G56" i="12" s="1"/>
  <c r="G56" i="13" s="1"/>
  <c r="G56" i="14" s="1"/>
  <c r="G56" i="15" s="1"/>
  <c r="G56" i="16" s="1"/>
  <c r="G56" i="17" s="1"/>
  <c r="G56" i="18" s="1"/>
  <c r="G56" i="19" s="1"/>
  <c r="G56" i="20" s="1"/>
  <c r="G58" i="9"/>
  <c r="G59" i="10" s="1"/>
  <c r="G59" i="11" s="1"/>
  <c r="G59" i="12" s="1"/>
  <c r="G59" i="13" s="1"/>
  <c r="G59" i="14" s="1"/>
  <c r="G59" i="15" s="1"/>
  <c r="G59" i="16" s="1"/>
  <c r="G59" i="17" s="1"/>
  <c r="G59" i="18" s="1"/>
  <c r="G59" i="19" s="1"/>
  <c r="G59" i="20" s="1"/>
  <c r="G59" i="9"/>
  <c r="G60" i="10" s="1"/>
  <c r="G60" i="11" s="1"/>
  <c r="G60" i="12" s="1"/>
  <c r="G60" i="13" s="1"/>
  <c r="G60" i="14" s="1"/>
  <c r="G60" i="15" s="1"/>
  <c r="G60" i="16" s="1"/>
  <c r="G60" i="17" s="1"/>
  <c r="G60" i="18" s="1"/>
  <c r="G60" i="19" s="1"/>
  <c r="G60" i="20" s="1"/>
  <c r="G50" i="9"/>
  <c r="G51" i="10" s="1"/>
  <c r="G51" i="11" s="1"/>
  <c r="G51" i="12" s="1"/>
  <c r="G51" i="13" s="1"/>
  <c r="G51" i="14" s="1"/>
  <c r="G51" i="15" s="1"/>
  <c r="G51" i="16" s="1"/>
  <c r="G51" i="17" s="1"/>
  <c r="G51" i="18" s="1"/>
  <c r="G51" i="19" s="1"/>
  <c r="G51" i="20" s="1"/>
  <c r="G53" i="9"/>
  <c r="G54" i="10" s="1"/>
  <c r="G54" i="11" s="1"/>
  <c r="G54" i="12" s="1"/>
  <c r="G54" i="13" s="1"/>
  <c r="G54" i="14" s="1"/>
  <c r="G54" i="15" s="1"/>
  <c r="G54" i="16" s="1"/>
  <c r="G54" i="17" s="1"/>
  <c r="G54" i="18" s="1"/>
  <c r="G54" i="19" s="1"/>
  <c r="G54" i="20" s="1"/>
  <c r="G48" i="9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49" i="20" s="1"/>
  <c r="G60" i="9"/>
  <c r="G61" i="10" s="1"/>
  <c r="G61" i="11" s="1"/>
  <c r="G61" i="12" s="1"/>
  <c r="G61" i="13" s="1"/>
  <c r="G61" i="14" s="1"/>
  <c r="G61" i="15" s="1"/>
  <c r="G61" i="16" s="1"/>
  <c r="G61" i="17" s="1"/>
  <c r="G61" i="18" s="1"/>
  <c r="G61" i="19" s="1"/>
  <c r="G61" i="20" s="1"/>
  <c r="G61" i="9"/>
  <c r="G62" i="10" s="1"/>
  <c r="G62" i="11" s="1"/>
  <c r="G62" i="12" s="1"/>
  <c r="G62" i="13" s="1"/>
  <c r="G62" i="14" s="1"/>
  <c r="G62" i="15" s="1"/>
  <c r="G62" i="16" s="1"/>
  <c r="G62" i="17" s="1"/>
  <c r="G62" i="18" s="1"/>
  <c r="G62" i="19" s="1"/>
  <c r="G62" i="20" s="1"/>
  <c r="G49" i="9"/>
  <c r="G50" i="10" s="1"/>
  <c r="G50" i="11" s="1"/>
  <c r="G50" i="12" s="1"/>
  <c r="G50" i="13" s="1"/>
  <c r="G50" i="14" s="1"/>
  <c r="G50" i="15" s="1"/>
  <c r="G50" i="16" s="1"/>
  <c r="G50" i="17" s="1"/>
  <c r="G50" i="18" s="1"/>
  <c r="G50" i="19" s="1"/>
  <c r="G50" i="20" s="1"/>
  <c r="G56" i="9"/>
  <c r="G57" i="10" s="1"/>
  <c r="G57" i="11" s="1"/>
  <c r="G57" i="12" s="1"/>
  <c r="G57" i="13" s="1"/>
  <c r="G57" i="14" s="1"/>
  <c r="G57" i="15" s="1"/>
  <c r="G57" i="16" s="1"/>
  <c r="G57" i="17" s="1"/>
  <c r="G57" i="18" s="1"/>
  <c r="G57" i="19" s="1"/>
  <c r="G57" i="20" s="1"/>
  <c r="G44" i="9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5" i="20" s="1"/>
  <c r="G41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2" i="20" s="1"/>
  <c r="G54" i="9"/>
  <c r="G55" i="10" s="1"/>
  <c r="G55" i="11" s="1"/>
  <c r="G55" i="12" s="1"/>
  <c r="G55" i="13" s="1"/>
  <c r="G55" i="14" s="1"/>
  <c r="G55" i="15" s="1"/>
  <c r="G55" i="16" s="1"/>
  <c r="G55" i="17" s="1"/>
  <c r="G55" i="18" s="1"/>
  <c r="G55" i="19" s="1"/>
  <c r="G55" i="20" s="1"/>
  <c r="G46" i="9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7" i="20" s="1"/>
  <c r="G41" i="10"/>
  <c r="G41" i="11" s="1"/>
  <c r="G51" i="9"/>
  <c r="G52" i="10" s="1"/>
  <c r="G52" i="11" s="1"/>
  <c r="G52" i="12" s="1"/>
  <c r="G52" i="13" s="1"/>
  <c r="G52" i="14" s="1"/>
  <c r="G52" i="15" s="1"/>
  <c r="G52" i="16" s="1"/>
  <c r="G52" i="17" s="1"/>
  <c r="G52" i="18" s="1"/>
  <c r="G52" i="19" s="1"/>
  <c r="G52" i="20" s="1"/>
  <c r="G43" i="9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4" i="20" s="1"/>
  <c r="G57" i="9"/>
  <c r="G58" i="10" s="1"/>
  <c r="G58" i="11" s="1"/>
  <c r="G58" i="12" s="1"/>
  <c r="G58" i="13" s="1"/>
  <c r="G58" i="14" s="1"/>
  <c r="G58" i="15" s="1"/>
  <c r="G58" i="16" s="1"/>
  <c r="G58" i="17" s="1"/>
  <c r="G58" i="18" s="1"/>
  <c r="G58" i="19" s="1"/>
  <c r="G58" i="20" s="1"/>
  <c r="G47" i="9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8" i="20" s="1"/>
  <c r="G42" i="9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3" i="20" s="1"/>
  <c r="G64" i="9"/>
  <c r="G65" i="10" s="1"/>
  <c r="G65" i="11" s="1"/>
  <c r="G65" i="12" s="1"/>
  <c r="G65" i="13" s="1"/>
  <c r="G65" i="14" s="1"/>
  <c r="G65" i="15" s="1"/>
  <c r="G65" i="16" s="1"/>
  <c r="G65" i="17" s="1"/>
  <c r="G65" i="18" s="1"/>
  <c r="G65" i="19" s="1"/>
  <c r="G65" i="20" s="1"/>
  <c r="G52" i="9"/>
  <c r="G53" i="10" s="1"/>
  <c r="G53" i="11" s="1"/>
  <c r="G53" i="12" s="1"/>
  <c r="G53" i="13" s="1"/>
  <c r="G53" i="14" s="1"/>
  <c r="G53" i="15" s="1"/>
  <c r="G53" i="16" s="1"/>
  <c r="G53" i="17" s="1"/>
  <c r="G53" i="18" s="1"/>
  <c r="G53" i="19" s="1"/>
  <c r="G53" i="20" s="1"/>
  <c r="F41" i="12"/>
  <c r="F41" i="13" s="1"/>
  <c r="F41" i="14" s="1"/>
  <c r="F41" i="15" s="1"/>
  <c r="F41" i="16" s="1"/>
  <c r="F41" i="17" s="1"/>
  <c r="F41" i="18" s="1"/>
  <c r="F41" i="19" s="1"/>
  <c r="F41" i="20" s="1"/>
  <c r="E41" i="12"/>
  <c r="E41" i="13" s="1"/>
  <c r="E41" i="14" s="1"/>
  <c r="E41" i="15" s="1"/>
  <c r="E41" i="16" s="1"/>
  <c r="E41" i="17" s="1"/>
  <c r="E41" i="18" s="1"/>
  <c r="E41" i="19" s="1"/>
  <c r="E41" i="20" s="1"/>
  <c r="D45" i="9"/>
  <c r="D46" i="10" s="1"/>
  <c r="D46" i="11" s="1"/>
  <c r="D46" i="12" s="1"/>
  <c r="D46" i="13" s="1"/>
  <c r="D46" i="14" s="1"/>
  <c r="D46" i="15" s="1"/>
  <c r="D46" i="16" s="1"/>
  <c r="D46" i="17" s="1"/>
  <c r="D46" i="18" s="1"/>
  <c r="D46" i="19" s="1"/>
  <c r="D46" i="20" s="1"/>
  <c r="D54" i="9"/>
  <c r="D55" i="10" s="1"/>
  <c r="D55" i="11" s="1"/>
  <c r="D55" i="12" s="1"/>
  <c r="D55" i="13" s="1"/>
  <c r="D55" i="14" s="1"/>
  <c r="D55" i="15" s="1"/>
  <c r="D55" i="16" s="1"/>
  <c r="D55" i="17" s="1"/>
  <c r="D55" i="18" s="1"/>
  <c r="D55" i="19" s="1"/>
  <c r="D55" i="20" s="1"/>
  <c r="D60" i="9"/>
  <c r="D61" i="10" s="1"/>
  <c r="D61" i="11" s="1"/>
  <c r="D61" i="12" s="1"/>
  <c r="D61" i="13" s="1"/>
  <c r="D61" i="14" s="1"/>
  <c r="D61" i="15" s="1"/>
  <c r="D61" i="16" s="1"/>
  <c r="D61" i="17" s="1"/>
  <c r="D61" i="18" s="1"/>
  <c r="D61" i="19" s="1"/>
  <c r="D61" i="20" s="1"/>
  <c r="D64" i="9"/>
  <c r="D65" i="10" s="1"/>
  <c r="D65" i="11" s="1"/>
  <c r="D65" i="12" s="1"/>
  <c r="D65" i="13" s="1"/>
  <c r="D65" i="14" s="1"/>
  <c r="D65" i="15" s="1"/>
  <c r="D65" i="16" s="1"/>
  <c r="D65" i="17" s="1"/>
  <c r="D65" i="18" s="1"/>
  <c r="D65" i="19" s="1"/>
  <c r="D65" i="20" s="1"/>
  <c r="D46" i="9"/>
  <c r="D47" i="10" s="1"/>
  <c r="D47" i="11" s="1"/>
  <c r="D47" i="12" s="1"/>
  <c r="D47" i="13" s="1"/>
  <c r="D47" i="14" s="1"/>
  <c r="D47" i="15" s="1"/>
  <c r="D47" i="16" s="1"/>
  <c r="D47" i="17" s="1"/>
  <c r="D47" i="18" s="1"/>
  <c r="D47" i="19" s="1"/>
  <c r="D47" i="20" s="1"/>
  <c r="D55" i="9"/>
  <c r="D56" i="10" s="1"/>
  <c r="D56" i="11" s="1"/>
  <c r="D56" i="12" s="1"/>
  <c r="D56" i="13" s="1"/>
  <c r="D56" i="14" s="1"/>
  <c r="D56" i="15" s="1"/>
  <c r="D56" i="16" s="1"/>
  <c r="D56" i="17" s="1"/>
  <c r="D56" i="18" s="1"/>
  <c r="D56" i="19" s="1"/>
  <c r="D56" i="20" s="1"/>
  <c r="D42" i="9"/>
  <c r="D43" i="10" s="1"/>
  <c r="D43" i="11" s="1"/>
  <c r="D43" i="12" s="1"/>
  <c r="D43" i="13" s="1"/>
  <c r="D43" i="14" s="1"/>
  <c r="D43" i="15" s="1"/>
  <c r="D43" i="16" s="1"/>
  <c r="D43" i="17" s="1"/>
  <c r="D43" i="18" s="1"/>
  <c r="D43" i="19" s="1"/>
  <c r="D43" i="20" s="1"/>
  <c r="D53" i="9"/>
  <c r="D54" i="10" s="1"/>
  <c r="D54" i="11" s="1"/>
  <c r="D54" i="12" s="1"/>
  <c r="D54" i="13" s="1"/>
  <c r="D54" i="14" s="1"/>
  <c r="D54" i="15" s="1"/>
  <c r="D54" i="16" s="1"/>
  <c r="D54" i="17" s="1"/>
  <c r="D54" i="18" s="1"/>
  <c r="D54" i="19" s="1"/>
  <c r="D54" i="20" s="1"/>
  <c r="D41" i="9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2" i="20" s="1"/>
  <c r="D48" i="9"/>
  <c r="D49" i="10" s="1"/>
  <c r="D49" i="11" s="1"/>
  <c r="D49" i="12" s="1"/>
  <c r="D49" i="13" s="1"/>
  <c r="D49" i="14" s="1"/>
  <c r="D49" i="15" s="1"/>
  <c r="D49" i="16" s="1"/>
  <c r="D49" i="17" s="1"/>
  <c r="D49" i="18" s="1"/>
  <c r="D49" i="19" s="1"/>
  <c r="D49" i="20" s="1"/>
  <c r="D51" i="9"/>
  <c r="D52" i="10" s="1"/>
  <c r="D52" i="11" s="1"/>
  <c r="D52" i="12" s="1"/>
  <c r="D52" i="13" s="1"/>
  <c r="D52" i="14" s="1"/>
  <c r="D52" i="15" s="1"/>
  <c r="D52" i="16" s="1"/>
  <c r="D52" i="17" s="1"/>
  <c r="D52" i="18" s="1"/>
  <c r="D52" i="19" s="1"/>
  <c r="D52" i="20" s="1"/>
  <c r="D44" i="9"/>
  <c r="D45" i="10" s="1"/>
  <c r="D45" i="11" s="1"/>
  <c r="D45" i="12" s="1"/>
  <c r="D45" i="13" s="1"/>
  <c r="D45" i="14" s="1"/>
  <c r="D45" i="15" s="1"/>
  <c r="D45" i="16" s="1"/>
  <c r="D45" i="17" s="1"/>
  <c r="D45" i="18" s="1"/>
  <c r="D45" i="19" s="1"/>
  <c r="D45" i="20" s="1"/>
  <c r="D61" i="9"/>
  <c r="D62" i="10" s="1"/>
  <c r="D62" i="11" s="1"/>
  <c r="D62" i="12" s="1"/>
  <c r="D62" i="13" s="1"/>
  <c r="D62" i="14" s="1"/>
  <c r="D62" i="15" s="1"/>
  <c r="D62" i="16" s="1"/>
  <c r="D62" i="17" s="1"/>
  <c r="D62" i="18" s="1"/>
  <c r="D62" i="19" s="1"/>
  <c r="D62" i="20" s="1"/>
  <c r="D57" i="9"/>
  <c r="D58" i="10" s="1"/>
  <c r="D58" i="11" s="1"/>
  <c r="D58" i="12" s="1"/>
  <c r="D58" i="13" s="1"/>
  <c r="D58" i="14" s="1"/>
  <c r="D58" i="15" s="1"/>
  <c r="D58" i="16" s="1"/>
  <c r="D58" i="17" s="1"/>
  <c r="D58" i="18" s="1"/>
  <c r="D58" i="19" s="1"/>
  <c r="D58" i="20" s="1"/>
  <c r="D49" i="9"/>
  <c r="D50" i="10" s="1"/>
  <c r="D50" i="11" s="1"/>
  <c r="D50" i="12" s="1"/>
  <c r="D50" i="13" s="1"/>
  <c r="D50" i="14" s="1"/>
  <c r="D50" i="15" s="1"/>
  <c r="D50" i="16" s="1"/>
  <c r="D50" i="17" s="1"/>
  <c r="D50" i="18" s="1"/>
  <c r="D50" i="19" s="1"/>
  <c r="D50" i="20" s="1"/>
  <c r="D52" i="9"/>
  <c r="D53" i="10" s="1"/>
  <c r="D53" i="11" s="1"/>
  <c r="D53" i="12" s="1"/>
  <c r="D53" i="13" s="1"/>
  <c r="D53" i="14" s="1"/>
  <c r="D53" i="15" s="1"/>
  <c r="D53" i="16" s="1"/>
  <c r="D53" i="17" s="1"/>
  <c r="D53" i="18" s="1"/>
  <c r="D53" i="19" s="1"/>
  <c r="D53" i="20" s="1"/>
  <c r="D50" i="9"/>
  <c r="D51" i="10" s="1"/>
  <c r="D51" i="11" s="1"/>
  <c r="D51" i="12" s="1"/>
  <c r="D51" i="13" s="1"/>
  <c r="D51" i="14" s="1"/>
  <c r="D51" i="15" s="1"/>
  <c r="D51" i="16" s="1"/>
  <c r="D51" i="17" s="1"/>
  <c r="D51" i="18" s="1"/>
  <c r="D51" i="19" s="1"/>
  <c r="D51" i="20" s="1"/>
  <c r="D56" i="9"/>
  <c r="D57" i="10" s="1"/>
  <c r="D57" i="11" s="1"/>
  <c r="D57" i="12" s="1"/>
  <c r="D57" i="13" s="1"/>
  <c r="D57" i="14" s="1"/>
  <c r="D57" i="15" s="1"/>
  <c r="D57" i="16" s="1"/>
  <c r="D57" i="17" s="1"/>
  <c r="D57" i="18" s="1"/>
  <c r="D57" i="19" s="1"/>
  <c r="D57" i="20" s="1"/>
  <c r="D58" i="9"/>
  <c r="D59" i="10" s="1"/>
  <c r="D59" i="11" s="1"/>
  <c r="D59" i="12" s="1"/>
  <c r="D59" i="13" s="1"/>
  <c r="D59" i="14" s="1"/>
  <c r="D59" i="15" s="1"/>
  <c r="D59" i="16" s="1"/>
  <c r="D59" i="17" s="1"/>
  <c r="D59" i="18" s="1"/>
  <c r="D59" i="19" s="1"/>
  <c r="D59" i="20" s="1"/>
  <c r="D41" i="10"/>
  <c r="D41" i="11" s="1"/>
  <c r="D47" i="9"/>
  <c r="D48" i="10" s="1"/>
  <c r="D48" i="11" s="1"/>
  <c r="D48" i="12" s="1"/>
  <c r="D48" i="13" s="1"/>
  <c r="D48" i="14" s="1"/>
  <c r="D48" i="15" s="1"/>
  <c r="D48" i="16" s="1"/>
  <c r="D48" i="17" s="1"/>
  <c r="D48" i="18" s="1"/>
  <c r="D48" i="19" s="1"/>
  <c r="D48" i="20" s="1"/>
  <c r="D43" i="9"/>
  <c r="D44" i="10" s="1"/>
  <c r="D44" i="11" s="1"/>
  <c r="D44" i="12" s="1"/>
  <c r="D44" i="13" s="1"/>
  <c r="D44" i="14" s="1"/>
  <c r="D44" i="15" s="1"/>
  <c r="D44" i="16" s="1"/>
  <c r="D44" i="17" s="1"/>
  <c r="D44" i="18" s="1"/>
  <c r="D44" i="19" s="1"/>
  <c r="D44" i="20" s="1"/>
  <c r="D59" i="9"/>
  <c r="D60" i="10" s="1"/>
  <c r="D60" i="11" s="1"/>
  <c r="D60" i="12" s="1"/>
  <c r="D60" i="13" s="1"/>
  <c r="D60" i="14" s="1"/>
  <c r="D60" i="15" s="1"/>
  <c r="D60" i="16" s="1"/>
  <c r="D60" i="17" s="1"/>
  <c r="D60" i="18" s="1"/>
  <c r="D60" i="19" s="1"/>
  <c r="D60" i="20" s="1"/>
  <c r="J47" i="9"/>
  <c r="J48" i="10" s="1"/>
  <c r="J48" i="11" s="1"/>
  <c r="J48" i="12" s="1"/>
  <c r="J48" i="13" s="1"/>
  <c r="J48" i="14" s="1"/>
  <c r="J48" i="15" s="1"/>
  <c r="J48" i="16" s="1"/>
  <c r="J48" i="17" s="1"/>
  <c r="J48" i="18" s="1"/>
  <c r="J48" i="19" s="1"/>
  <c r="J48" i="20" s="1"/>
  <c r="J54" i="9"/>
  <c r="J55" i="10" s="1"/>
  <c r="J55" i="11" s="1"/>
  <c r="J55" i="12" s="1"/>
  <c r="J55" i="13" s="1"/>
  <c r="J55" i="14" s="1"/>
  <c r="J55" i="15" s="1"/>
  <c r="J55" i="16" s="1"/>
  <c r="J55" i="17" s="1"/>
  <c r="J55" i="18" s="1"/>
  <c r="J55" i="19" s="1"/>
  <c r="J55" i="20" s="1"/>
  <c r="J51" i="9"/>
  <c r="J52" i="10" s="1"/>
  <c r="J52" i="11" s="1"/>
  <c r="J52" i="12" s="1"/>
  <c r="J52" i="13" s="1"/>
  <c r="J52" i="14" s="1"/>
  <c r="J52" i="15" s="1"/>
  <c r="J52" i="16" s="1"/>
  <c r="J52" i="17" s="1"/>
  <c r="J52" i="18" s="1"/>
  <c r="J52" i="19" s="1"/>
  <c r="J52" i="20" s="1"/>
  <c r="J56" i="9"/>
  <c r="J57" i="10" s="1"/>
  <c r="J57" i="11" s="1"/>
  <c r="J57" i="12" s="1"/>
  <c r="J57" i="13" s="1"/>
  <c r="J57" i="14" s="1"/>
  <c r="J57" i="15" s="1"/>
  <c r="J57" i="16" s="1"/>
  <c r="J57" i="17" s="1"/>
  <c r="J57" i="18" s="1"/>
  <c r="J57" i="19" s="1"/>
  <c r="J57" i="20" s="1"/>
  <c r="J46" i="9"/>
  <c r="J47" i="10" s="1"/>
  <c r="J47" i="11" s="1"/>
  <c r="J47" i="12" s="1"/>
  <c r="J47" i="13" s="1"/>
  <c r="J47" i="14" s="1"/>
  <c r="J47" i="15" s="1"/>
  <c r="J47" i="16" s="1"/>
  <c r="J47" i="17" s="1"/>
  <c r="J47" i="18" s="1"/>
  <c r="J47" i="19" s="1"/>
  <c r="J47" i="20" s="1"/>
  <c r="J59" i="9"/>
  <c r="J60" i="10" s="1"/>
  <c r="J60" i="11" s="1"/>
  <c r="J60" i="12" s="1"/>
  <c r="J60" i="13" s="1"/>
  <c r="J60" i="14" s="1"/>
  <c r="J60" i="15" s="1"/>
  <c r="J60" i="16" s="1"/>
  <c r="J60" i="17" s="1"/>
  <c r="J60" i="18" s="1"/>
  <c r="J60" i="19" s="1"/>
  <c r="J60" i="20" s="1"/>
  <c r="J41" i="10"/>
  <c r="J41" i="11" s="1"/>
  <c r="J49" i="9"/>
  <c r="J50" i="10" s="1"/>
  <c r="J50" i="11" s="1"/>
  <c r="J50" i="12" s="1"/>
  <c r="J50" i="13" s="1"/>
  <c r="J50" i="14" s="1"/>
  <c r="J50" i="15" s="1"/>
  <c r="J50" i="16" s="1"/>
  <c r="J50" i="17" s="1"/>
  <c r="J50" i="18" s="1"/>
  <c r="J50" i="19" s="1"/>
  <c r="J50" i="20" s="1"/>
  <c r="J60" i="9"/>
  <c r="J61" i="10" s="1"/>
  <c r="J61" i="11" s="1"/>
  <c r="J61" i="12" s="1"/>
  <c r="J61" i="13" s="1"/>
  <c r="J61" i="14" s="1"/>
  <c r="J61" i="15" s="1"/>
  <c r="J61" i="16" s="1"/>
  <c r="J61" i="17" s="1"/>
  <c r="J61" i="18" s="1"/>
  <c r="J61" i="19" s="1"/>
  <c r="J61" i="20" s="1"/>
  <c r="J48" i="9"/>
  <c r="J49" i="10" s="1"/>
  <c r="J49" i="11" s="1"/>
  <c r="J49" i="12" s="1"/>
  <c r="J49" i="13" s="1"/>
  <c r="J49" i="14" s="1"/>
  <c r="J49" i="15" s="1"/>
  <c r="J49" i="16" s="1"/>
  <c r="J49" i="17" s="1"/>
  <c r="J49" i="18" s="1"/>
  <c r="J49" i="19" s="1"/>
  <c r="J49" i="20" s="1"/>
  <c r="J45" i="9"/>
  <c r="J46" i="10" s="1"/>
  <c r="J46" i="11" s="1"/>
  <c r="J46" i="12" s="1"/>
  <c r="J46" i="13" s="1"/>
  <c r="J46" i="14" s="1"/>
  <c r="J46" i="15" s="1"/>
  <c r="J46" i="16" s="1"/>
  <c r="J46" i="17" s="1"/>
  <c r="J46" i="18" s="1"/>
  <c r="J46" i="19" s="1"/>
  <c r="J46" i="20" s="1"/>
  <c r="J44" i="9"/>
  <c r="J45" i="10" s="1"/>
  <c r="J45" i="11" s="1"/>
  <c r="J45" i="12" s="1"/>
  <c r="J45" i="13" s="1"/>
  <c r="J45" i="14" s="1"/>
  <c r="J45" i="15" s="1"/>
  <c r="J45" i="16" s="1"/>
  <c r="J45" i="17" s="1"/>
  <c r="J45" i="18" s="1"/>
  <c r="J45" i="19" s="1"/>
  <c r="J45" i="20" s="1"/>
  <c r="J43" i="9"/>
  <c r="J44" i="10" s="1"/>
  <c r="J44" i="11" s="1"/>
  <c r="J44" i="12" s="1"/>
  <c r="J44" i="13" s="1"/>
  <c r="J44" i="14" s="1"/>
  <c r="J44" i="15" s="1"/>
  <c r="J44" i="16" s="1"/>
  <c r="J44" i="17" s="1"/>
  <c r="J44" i="18" s="1"/>
  <c r="J44" i="19" s="1"/>
  <c r="J44" i="20" s="1"/>
  <c r="J53" i="9"/>
  <c r="J54" i="10" s="1"/>
  <c r="J54" i="11" s="1"/>
  <c r="J54" i="12" s="1"/>
  <c r="J54" i="13" s="1"/>
  <c r="J54" i="14" s="1"/>
  <c r="J54" i="15" s="1"/>
  <c r="J54" i="16" s="1"/>
  <c r="J54" i="17" s="1"/>
  <c r="J54" i="18" s="1"/>
  <c r="J54" i="19" s="1"/>
  <c r="J54" i="20" s="1"/>
  <c r="J41" i="9"/>
  <c r="J42" i="10" s="1"/>
  <c r="J42" i="11" s="1"/>
  <c r="J42" i="12" s="1"/>
  <c r="J42" i="13" s="1"/>
  <c r="J42" i="14" s="1"/>
  <c r="J42" i="15" s="1"/>
  <c r="J42" i="16" s="1"/>
  <c r="J42" i="17" s="1"/>
  <c r="J42" i="18" s="1"/>
  <c r="J42" i="19" s="1"/>
  <c r="J42" i="20" s="1"/>
  <c r="J52" i="9"/>
  <c r="J53" i="10" s="1"/>
  <c r="J53" i="11" s="1"/>
  <c r="J53" i="12" s="1"/>
  <c r="J53" i="13" s="1"/>
  <c r="J53" i="14" s="1"/>
  <c r="J53" i="15" s="1"/>
  <c r="J53" i="16" s="1"/>
  <c r="J53" i="17" s="1"/>
  <c r="J53" i="18" s="1"/>
  <c r="J53" i="19" s="1"/>
  <c r="J53" i="20" s="1"/>
  <c r="J57" i="9"/>
  <c r="J58" i="10" s="1"/>
  <c r="J58" i="11" s="1"/>
  <c r="J58" i="12" s="1"/>
  <c r="J58" i="13" s="1"/>
  <c r="J58" i="14" s="1"/>
  <c r="J58" i="15" s="1"/>
  <c r="J58" i="16" s="1"/>
  <c r="J58" i="17" s="1"/>
  <c r="J58" i="18" s="1"/>
  <c r="J58" i="19" s="1"/>
  <c r="J58" i="20" s="1"/>
  <c r="J50" i="9"/>
  <c r="J51" i="10" s="1"/>
  <c r="J51" i="11" s="1"/>
  <c r="J51" i="12" s="1"/>
  <c r="J51" i="13" s="1"/>
  <c r="J51" i="14" s="1"/>
  <c r="J51" i="15" s="1"/>
  <c r="J51" i="16" s="1"/>
  <c r="J51" i="17" s="1"/>
  <c r="J51" i="18" s="1"/>
  <c r="J51" i="19" s="1"/>
  <c r="J51" i="20" s="1"/>
  <c r="J61" i="9"/>
  <c r="J62" i="10" s="1"/>
  <c r="J62" i="11" s="1"/>
  <c r="J62" i="12" s="1"/>
  <c r="J62" i="13" s="1"/>
  <c r="J62" i="14" s="1"/>
  <c r="J62" i="15" s="1"/>
  <c r="J62" i="16" s="1"/>
  <c r="J62" i="17" s="1"/>
  <c r="J62" i="18" s="1"/>
  <c r="J62" i="19" s="1"/>
  <c r="J62" i="20" s="1"/>
  <c r="J64" i="9"/>
  <c r="J65" i="10" s="1"/>
  <c r="J65" i="11" s="1"/>
  <c r="J65" i="12" s="1"/>
  <c r="J65" i="13" s="1"/>
  <c r="J65" i="14" s="1"/>
  <c r="J65" i="15" s="1"/>
  <c r="J65" i="16" s="1"/>
  <c r="J65" i="17" s="1"/>
  <c r="J65" i="18" s="1"/>
  <c r="J65" i="19" s="1"/>
  <c r="J65" i="20" s="1"/>
  <c r="I41" i="10"/>
  <c r="I41" i="11" s="1"/>
  <c r="I50" i="9"/>
  <c r="I51" i="10" s="1"/>
  <c r="I51" i="11" s="1"/>
  <c r="I51" i="12" s="1"/>
  <c r="I51" i="13" s="1"/>
  <c r="I51" i="14" s="1"/>
  <c r="I51" i="15" s="1"/>
  <c r="I51" i="16" s="1"/>
  <c r="I51" i="17" s="1"/>
  <c r="I51" i="18" s="1"/>
  <c r="I51" i="19" s="1"/>
  <c r="I51" i="20" s="1"/>
  <c r="I64" i="9"/>
  <c r="I65" i="10" s="1"/>
  <c r="I65" i="11" s="1"/>
  <c r="I65" i="12" s="1"/>
  <c r="I65" i="13" s="1"/>
  <c r="I65" i="14" s="1"/>
  <c r="I65" i="15" s="1"/>
  <c r="I65" i="16" s="1"/>
  <c r="I65" i="17" s="1"/>
  <c r="I65" i="18" s="1"/>
  <c r="I65" i="19" s="1"/>
  <c r="I65" i="20" s="1"/>
  <c r="I42" i="9"/>
  <c r="I43" i="10" s="1"/>
  <c r="I43" i="11" s="1"/>
  <c r="I43" i="12" s="1"/>
  <c r="I43" i="13" s="1"/>
  <c r="I43" i="14" s="1"/>
  <c r="I43" i="15" s="1"/>
  <c r="I43" i="16" s="1"/>
  <c r="I43" i="17" s="1"/>
  <c r="I43" i="18" s="1"/>
  <c r="I43" i="19" s="1"/>
  <c r="I43" i="20" s="1"/>
  <c r="I53" i="9"/>
  <c r="I54" i="10" s="1"/>
  <c r="I54" i="11" s="1"/>
  <c r="I54" i="12" s="1"/>
  <c r="I54" i="13" s="1"/>
  <c r="I54" i="14" s="1"/>
  <c r="I54" i="15" s="1"/>
  <c r="I54" i="16" s="1"/>
  <c r="I54" i="17" s="1"/>
  <c r="I54" i="18" s="1"/>
  <c r="I54" i="19" s="1"/>
  <c r="I54" i="20" s="1"/>
  <c r="I56" i="9"/>
  <c r="I57" i="10" s="1"/>
  <c r="I57" i="11" s="1"/>
  <c r="I57" i="12" s="1"/>
  <c r="I57" i="13" s="1"/>
  <c r="I57" i="14" s="1"/>
  <c r="I57" i="15" s="1"/>
  <c r="I57" i="16" s="1"/>
  <c r="I57" i="17" s="1"/>
  <c r="I57" i="18" s="1"/>
  <c r="I57" i="19" s="1"/>
  <c r="I57" i="20" s="1"/>
  <c r="I47" i="9"/>
  <c r="I48" i="10" s="1"/>
  <c r="I48" i="11" s="1"/>
  <c r="I48" i="12" s="1"/>
  <c r="I48" i="13" s="1"/>
  <c r="I48" i="14" s="1"/>
  <c r="I48" i="15" s="1"/>
  <c r="I48" i="16" s="1"/>
  <c r="I48" i="17" s="1"/>
  <c r="I48" i="18" s="1"/>
  <c r="I48" i="19" s="1"/>
  <c r="I48" i="20" s="1"/>
  <c r="I43" i="9"/>
  <c r="I44" i="10" s="1"/>
  <c r="I44" i="11" s="1"/>
  <c r="I44" i="12" s="1"/>
  <c r="I44" i="13" s="1"/>
  <c r="I44" i="14" s="1"/>
  <c r="I44" i="15" s="1"/>
  <c r="I44" i="16" s="1"/>
  <c r="I44" i="17" s="1"/>
  <c r="I44" i="18" s="1"/>
  <c r="I44" i="19" s="1"/>
  <c r="I44" i="20" s="1"/>
  <c r="I61" i="9"/>
  <c r="I62" i="10" s="1"/>
  <c r="I62" i="11" s="1"/>
  <c r="I62" i="12" s="1"/>
  <c r="I62" i="13" s="1"/>
  <c r="I62" i="14" s="1"/>
  <c r="I62" i="15" s="1"/>
  <c r="I62" i="16" s="1"/>
  <c r="I62" i="17" s="1"/>
  <c r="I62" i="18" s="1"/>
  <c r="I62" i="19" s="1"/>
  <c r="I62" i="20" s="1"/>
  <c r="I49" i="9"/>
  <c r="I50" i="10" s="1"/>
  <c r="I50" i="11" s="1"/>
  <c r="I50" i="12" s="1"/>
  <c r="I50" i="13" s="1"/>
  <c r="I50" i="14" s="1"/>
  <c r="I50" i="15" s="1"/>
  <c r="I50" i="16" s="1"/>
  <c r="I50" i="17" s="1"/>
  <c r="I50" i="18" s="1"/>
  <c r="I50" i="19" s="1"/>
  <c r="I50" i="20" s="1"/>
  <c r="I55" i="9"/>
  <c r="I56" i="10" s="1"/>
  <c r="I56" i="11" s="1"/>
  <c r="I56" i="12" s="1"/>
  <c r="I56" i="13" s="1"/>
  <c r="I56" i="14" s="1"/>
  <c r="I56" i="15" s="1"/>
  <c r="I56" i="16" s="1"/>
  <c r="I56" i="17" s="1"/>
  <c r="I56" i="18" s="1"/>
  <c r="I56" i="19" s="1"/>
  <c r="I56" i="20" s="1"/>
  <c r="I54" i="9"/>
  <c r="I55" i="10" s="1"/>
  <c r="I55" i="11" s="1"/>
  <c r="I55" i="12" s="1"/>
  <c r="I55" i="13" s="1"/>
  <c r="I55" i="14" s="1"/>
  <c r="I55" i="15" s="1"/>
  <c r="I55" i="16" s="1"/>
  <c r="I55" i="17" s="1"/>
  <c r="I55" i="18" s="1"/>
  <c r="I55" i="19" s="1"/>
  <c r="I55" i="20" s="1"/>
  <c r="I45" i="9"/>
  <c r="I46" i="10" s="1"/>
  <c r="I46" i="11" s="1"/>
  <c r="I46" i="12" s="1"/>
  <c r="I46" i="13" s="1"/>
  <c r="I46" i="14" s="1"/>
  <c r="I46" i="15" s="1"/>
  <c r="I46" i="16" s="1"/>
  <c r="I46" i="17" s="1"/>
  <c r="I46" i="18" s="1"/>
  <c r="I46" i="19" s="1"/>
  <c r="I46" i="20" s="1"/>
  <c r="I51" i="9"/>
  <c r="I52" i="10" s="1"/>
  <c r="I52" i="11" s="1"/>
  <c r="I52" i="12" s="1"/>
  <c r="I52" i="13" s="1"/>
  <c r="I52" i="14" s="1"/>
  <c r="I52" i="15" s="1"/>
  <c r="I52" i="16" s="1"/>
  <c r="I52" i="17" s="1"/>
  <c r="I52" i="18" s="1"/>
  <c r="I52" i="19" s="1"/>
  <c r="I52" i="20" s="1"/>
  <c r="I44" i="9"/>
  <c r="I45" i="10" s="1"/>
  <c r="I45" i="11" s="1"/>
  <c r="I45" i="12" s="1"/>
  <c r="I45" i="13" s="1"/>
  <c r="I45" i="14" s="1"/>
  <c r="I45" i="15" s="1"/>
  <c r="I45" i="16" s="1"/>
  <c r="I45" i="17" s="1"/>
  <c r="I45" i="18" s="1"/>
  <c r="I45" i="19" s="1"/>
  <c r="I45" i="20" s="1"/>
  <c r="I59" i="9"/>
  <c r="I60" i="10" s="1"/>
  <c r="I60" i="11" s="1"/>
  <c r="I60" i="12" s="1"/>
  <c r="I60" i="13" s="1"/>
  <c r="I60" i="14" s="1"/>
  <c r="I60" i="15" s="1"/>
  <c r="I60" i="16" s="1"/>
  <c r="I60" i="17" s="1"/>
  <c r="I60" i="18" s="1"/>
  <c r="I60" i="19" s="1"/>
  <c r="I60" i="20" s="1"/>
  <c r="I46" i="9"/>
  <c r="I47" i="10" s="1"/>
  <c r="I47" i="11" s="1"/>
  <c r="I47" i="12" s="1"/>
  <c r="I47" i="13" s="1"/>
  <c r="I47" i="14" s="1"/>
  <c r="I47" i="15" s="1"/>
  <c r="I47" i="16" s="1"/>
  <c r="I47" i="17" s="1"/>
  <c r="I47" i="18" s="1"/>
  <c r="I47" i="19" s="1"/>
  <c r="I47" i="20" s="1"/>
  <c r="I41" i="9"/>
  <c r="I42" i="10" s="1"/>
  <c r="I42" i="11" s="1"/>
  <c r="I42" i="12" s="1"/>
  <c r="I42" i="13" s="1"/>
  <c r="I42" i="14" s="1"/>
  <c r="I42" i="15" s="1"/>
  <c r="I42" i="16" s="1"/>
  <c r="I42" i="17" s="1"/>
  <c r="I42" i="18" s="1"/>
  <c r="I42" i="19" s="1"/>
  <c r="I42" i="20" s="1"/>
  <c r="I52" i="9"/>
  <c r="I53" i="10" s="1"/>
  <c r="I53" i="11" s="1"/>
  <c r="I53" i="12" s="1"/>
  <c r="I53" i="13" s="1"/>
  <c r="I53" i="14" s="1"/>
  <c r="I53" i="15" s="1"/>
  <c r="I53" i="16" s="1"/>
  <c r="I53" i="17" s="1"/>
  <c r="I53" i="18" s="1"/>
  <c r="I53" i="19" s="1"/>
  <c r="I53" i="20" s="1"/>
  <c r="I48" i="9"/>
  <c r="I49" i="10" s="1"/>
  <c r="I49" i="11" s="1"/>
  <c r="I49" i="12" s="1"/>
  <c r="I49" i="13" s="1"/>
  <c r="I49" i="14" s="1"/>
  <c r="I49" i="15" s="1"/>
  <c r="I49" i="16" s="1"/>
  <c r="I49" i="17" s="1"/>
  <c r="I49" i="18" s="1"/>
  <c r="I49" i="19" s="1"/>
  <c r="I49" i="20" s="1"/>
  <c r="I60" i="9"/>
  <c r="I61" i="10" s="1"/>
  <c r="I61" i="11" s="1"/>
  <c r="I61" i="12" s="1"/>
  <c r="I61" i="13" s="1"/>
  <c r="I61" i="14" s="1"/>
  <c r="I61" i="15" s="1"/>
  <c r="I61" i="16" s="1"/>
  <c r="I61" i="17" s="1"/>
  <c r="I61" i="18" s="1"/>
  <c r="I61" i="19" s="1"/>
  <c r="I61" i="20" s="1"/>
  <c r="I58" i="9"/>
  <c r="I59" i="10" s="1"/>
  <c r="I59" i="11" s="1"/>
  <c r="I59" i="12" s="1"/>
  <c r="I59" i="13" s="1"/>
  <c r="I59" i="14" s="1"/>
  <c r="I59" i="15" s="1"/>
  <c r="I59" i="16" s="1"/>
  <c r="I59" i="17" s="1"/>
  <c r="I59" i="18" s="1"/>
  <c r="I59" i="19" s="1"/>
  <c r="I59" i="20" s="1"/>
  <c r="I57" i="9"/>
  <c r="I58" i="10" s="1"/>
  <c r="I58" i="11" s="1"/>
  <c r="I58" i="12" s="1"/>
  <c r="I58" i="13" s="1"/>
  <c r="I58" i="14" s="1"/>
  <c r="I58" i="15" s="1"/>
  <c r="I58" i="16" s="1"/>
  <c r="I58" i="17" s="1"/>
  <c r="I58" i="18" s="1"/>
  <c r="I58" i="19" s="1"/>
  <c r="I58" i="20" s="1"/>
  <c r="J63" i="9"/>
  <c r="J64" i="10" s="1"/>
  <c r="J64" i="11" s="1"/>
  <c r="J64" i="12" s="1"/>
  <c r="J64" i="13" s="1"/>
  <c r="J64" i="14" s="1"/>
  <c r="J64" i="15" s="1"/>
  <c r="J64" i="16" s="1"/>
  <c r="J64" i="17" s="1"/>
  <c r="J64" i="18" s="1"/>
  <c r="J64" i="19" s="1"/>
  <c r="J64" i="20" s="1"/>
  <c r="G63" i="9"/>
  <c r="G64" i="10" s="1"/>
  <c r="G64" i="11" s="1"/>
  <c r="G64" i="12" s="1"/>
  <c r="G64" i="13" s="1"/>
  <c r="G64" i="14" s="1"/>
  <c r="G64" i="15" s="1"/>
  <c r="G64" i="16" s="1"/>
  <c r="G64" i="17" s="1"/>
  <c r="G64" i="18" s="1"/>
  <c r="G64" i="19" s="1"/>
  <c r="G64" i="20" s="1"/>
  <c r="D63" i="9"/>
  <c r="D64" i="10" s="1"/>
  <c r="D64" i="11" s="1"/>
  <c r="D64" i="12" s="1"/>
  <c r="D64" i="13" s="1"/>
  <c r="D64" i="14" s="1"/>
  <c r="D64" i="15" s="1"/>
  <c r="D64" i="16" s="1"/>
  <c r="D64" i="17" s="1"/>
  <c r="D64" i="18" s="1"/>
  <c r="D64" i="19" s="1"/>
  <c r="D64" i="20" s="1"/>
  <c r="I63" i="9"/>
  <c r="I64" i="10" s="1"/>
  <c r="I64" i="11" s="1"/>
  <c r="I64" i="12" s="1"/>
  <c r="I64" i="13" s="1"/>
  <c r="I64" i="14" s="1"/>
  <c r="I64" i="15" s="1"/>
  <c r="I64" i="16" s="1"/>
  <c r="I64" i="17" s="1"/>
  <c r="I64" i="18" s="1"/>
  <c r="I64" i="19" s="1"/>
  <c r="I64" i="20" s="1"/>
  <c r="E63" i="9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4" i="20" s="1"/>
  <c r="F63" i="9"/>
  <c r="F64" i="10" s="1"/>
  <c r="F64" i="11" s="1"/>
  <c r="F64" i="12" s="1"/>
  <c r="F64" i="13" s="1"/>
  <c r="F64" i="14" s="1"/>
  <c r="F64" i="15" s="1"/>
  <c r="F64" i="16" s="1"/>
  <c r="F64" i="17" s="1"/>
  <c r="F64" i="18" s="1"/>
  <c r="F64" i="19" s="1"/>
  <c r="F64" i="20" s="1"/>
  <c r="I62" i="9"/>
  <c r="I63" i="10" s="1"/>
  <c r="I63" i="11" s="1"/>
  <c r="I63" i="12" s="1"/>
  <c r="I63" i="13" s="1"/>
  <c r="I63" i="14" s="1"/>
  <c r="I63" i="15" s="1"/>
  <c r="I63" i="16" s="1"/>
  <c r="I63" i="17" s="1"/>
  <c r="I63" i="18" s="1"/>
  <c r="I63" i="19" s="1"/>
  <c r="I63" i="20" s="1"/>
  <c r="E62" i="9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3" i="20" s="1"/>
  <c r="J62" i="9"/>
  <c r="J63" i="10" s="1"/>
  <c r="J63" i="11" s="1"/>
  <c r="J63" i="12" s="1"/>
  <c r="J63" i="13" s="1"/>
  <c r="J63" i="14" s="1"/>
  <c r="J63" i="15" s="1"/>
  <c r="J63" i="16" s="1"/>
  <c r="J63" i="17" s="1"/>
  <c r="J63" i="18" s="1"/>
  <c r="J63" i="19" s="1"/>
  <c r="J63" i="20" s="1"/>
  <c r="G62" i="9"/>
  <c r="G63" i="10" s="1"/>
  <c r="G63" i="11" s="1"/>
  <c r="G63" i="12" s="1"/>
  <c r="G63" i="13" s="1"/>
  <c r="G63" i="14" s="1"/>
  <c r="G63" i="15" s="1"/>
  <c r="G63" i="16" s="1"/>
  <c r="G63" i="17" s="1"/>
  <c r="G63" i="18" s="1"/>
  <c r="G63" i="19" s="1"/>
  <c r="G63" i="20" s="1"/>
  <c r="F62" i="9"/>
  <c r="F63" i="10" s="1"/>
  <c r="F63" i="11" s="1"/>
  <c r="F63" i="12" s="1"/>
  <c r="F63" i="13" s="1"/>
  <c r="F63" i="14" s="1"/>
  <c r="F63" i="15" s="1"/>
  <c r="F63" i="16" s="1"/>
  <c r="F63" i="17" s="1"/>
  <c r="F63" i="18" s="1"/>
  <c r="F63" i="19" s="1"/>
  <c r="F63" i="20" s="1"/>
  <c r="D62" i="9"/>
  <c r="D63" i="10" s="1"/>
  <c r="D63" i="11" s="1"/>
  <c r="D63" i="12" s="1"/>
  <c r="D63" i="13" s="1"/>
  <c r="D63" i="14" s="1"/>
  <c r="D63" i="15" s="1"/>
  <c r="D63" i="16" s="1"/>
  <c r="D63" i="17" s="1"/>
  <c r="D63" i="18" s="1"/>
  <c r="D63" i="19" s="1"/>
  <c r="D63" i="20" s="1"/>
  <c r="H41" i="12"/>
  <c r="H41" i="13" s="1"/>
  <c r="H41" i="14" s="1"/>
  <c r="H41" i="15" s="1"/>
  <c r="H41" i="16" s="1"/>
  <c r="H41" i="17" s="1"/>
  <c r="H41" i="18" s="1"/>
  <c r="H41" i="19" s="1"/>
  <c r="H41" i="20" s="1"/>
  <c r="J43" i="20"/>
  <c r="G40" i="20"/>
  <c r="E47" i="20"/>
  <c r="D40" i="20"/>
  <c r="H42" i="20"/>
  <c r="F44" i="20"/>
  <c r="E45" i="20"/>
  <c r="F45" i="20"/>
  <c r="F46" i="20"/>
  <c r="J40" i="19"/>
  <c r="H43" i="20"/>
  <c r="F42" i="20"/>
  <c r="F40" i="20"/>
  <c r="F43" i="20"/>
  <c r="H45" i="20"/>
  <c r="E43" i="20"/>
  <c r="H47" i="20"/>
  <c r="E40" i="20"/>
  <c r="E42" i="20"/>
  <c r="H40" i="20"/>
  <c r="H46" i="20"/>
  <c r="E46" i="20"/>
  <c r="E44" i="20"/>
  <c r="F47" i="20"/>
  <c r="H44" i="20"/>
  <c r="I40" i="20"/>
  <c r="D63" i="43" l="1"/>
  <c r="D63" i="44" s="1"/>
  <c r="D63" i="45" s="1"/>
  <c r="D63" i="46"/>
  <c r="D63" i="47" s="1"/>
  <c r="I40" i="43"/>
  <c r="I40" i="44" s="1"/>
  <c r="I40" i="45" s="1"/>
  <c r="I40" i="46"/>
  <c r="I40" i="47" s="1"/>
  <c r="G40" i="43"/>
  <c r="G40" i="44" s="1"/>
  <c r="G40" i="45" s="1"/>
  <c r="G40" i="46"/>
  <c r="G40" i="47" s="1"/>
  <c r="I63" i="43"/>
  <c r="I63" i="44" s="1"/>
  <c r="I63" i="45" s="1"/>
  <c r="I63" i="46"/>
  <c r="I63" i="47" s="1"/>
  <c r="H46" i="43"/>
  <c r="H46" i="44" s="1"/>
  <c r="H46" i="45" s="1"/>
  <c r="H46" i="46"/>
  <c r="H46" i="47" s="1"/>
  <c r="H42" i="43"/>
  <c r="H42" i="44" s="1"/>
  <c r="H42" i="45" s="1"/>
  <c r="H42" i="46"/>
  <c r="H42" i="47" s="1"/>
  <c r="G63" i="43"/>
  <c r="G63" i="44" s="1"/>
  <c r="G63" i="45" s="1"/>
  <c r="G63" i="46"/>
  <c r="G63" i="47" s="1"/>
  <c r="G64" i="43"/>
  <c r="G64" i="44" s="1"/>
  <c r="G64" i="45" s="1"/>
  <c r="G64" i="46"/>
  <c r="G64" i="47" s="1"/>
  <c r="I47" i="43"/>
  <c r="I47" i="44" s="1"/>
  <c r="I47" i="45" s="1"/>
  <c r="I47" i="46"/>
  <c r="I47" i="47" s="1"/>
  <c r="H40" i="43"/>
  <c r="H40" i="44" s="1"/>
  <c r="H40" i="45" s="1"/>
  <c r="H40" i="46"/>
  <c r="H40" i="47" s="1"/>
  <c r="E43" i="43"/>
  <c r="E43" i="44" s="1"/>
  <c r="E43" i="45" s="1"/>
  <c r="E43" i="46"/>
  <c r="E43" i="47" s="1"/>
  <c r="D40" i="43"/>
  <c r="D40" i="44" s="1"/>
  <c r="D40" i="45" s="1"/>
  <c r="D40" i="46"/>
  <c r="D40" i="47" s="1"/>
  <c r="H41" i="43"/>
  <c r="H41" i="44" s="1"/>
  <c r="H41" i="45" s="1"/>
  <c r="H41" i="46"/>
  <c r="H41" i="47" s="1"/>
  <c r="J63" i="43"/>
  <c r="J63" i="44" s="1"/>
  <c r="J63" i="45" s="1"/>
  <c r="J63" i="46"/>
  <c r="J63" i="47" s="1"/>
  <c r="E64" i="43"/>
  <c r="E64" i="44" s="1"/>
  <c r="E64" i="45" s="1"/>
  <c r="E64" i="46"/>
  <c r="E64" i="47" s="1"/>
  <c r="J64" i="43"/>
  <c r="J64" i="44" s="1"/>
  <c r="J64" i="45" s="1"/>
  <c r="J64" i="46"/>
  <c r="J64" i="47" s="1"/>
  <c r="I49" i="43"/>
  <c r="I49" i="44" s="1"/>
  <c r="I49" i="45" s="1"/>
  <c r="I49" i="46"/>
  <c r="I49" i="47" s="1"/>
  <c r="I60" i="43"/>
  <c r="I60" i="44" s="1"/>
  <c r="I60" i="45" s="1"/>
  <c r="I60" i="46"/>
  <c r="I60" i="47" s="1"/>
  <c r="I55" i="43"/>
  <c r="I55" i="44" s="1"/>
  <c r="I55" i="45" s="1"/>
  <c r="I55" i="46"/>
  <c r="I55" i="47" s="1"/>
  <c r="I44" i="43"/>
  <c r="I44" i="44" s="1"/>
  <c r="I44" i="45" s="1"/>
  <c r="I44" i="46"/>
  <c r="I44" i="47" s="1"/>
  <c r="I43" i="43"/>
  <c r="I43" i="44" s="1"/>
  <c r="I43" i="45" s="1"/>
  <c r="I43" i="46"/>
  <c r="I43" i="47" s="1"/>
  <c r="J65" i="43"/>
  <c r="J65" i="44" s="1"/>
  <c r="J65" i="45" s="1"/>
  <c r="J65" i="46"/>
  <c r="J65" i="47" s="1"/>
  <c r="J53" i="43"/>
  <c r="J53" i="44" s="1"/>
  <c r="J53" i="45" s="1"/>
  <c r="J53" i="46"/>
  <c r="J53" i="47" s="1"/>
  <c r="J45" i="43"/>
  <c r="J45" i="44" s="1"/>
  <c r="J45" i="45" s="1"/>
  <c r="J45" i="46"/>
  <c r="J45" i="47" s="1"/>
  <c r="J50" i="43"/>
  <c r="J50" i="44" s="1"/>
  <c r="J50" i="45" s="1"/>
  <c r="J50" i="46"/>
  <c r="J50" i="47" s="1"/>
  <c r="J57" i="43"/>
  <c r="J57" i="44" s="1"/>
  <c r="J57" i="45" s="1"/>
  <c r="J57" i="46"/>
  <c r="J57" i="47" s="1"/>
  <c r="D60" i="43"/>
  <c r="D60" i="44" s="1"/>
  <c r="D60" i="45" s="1"/>
  <c r="D60" i="46"/>
  <c r="D60" i="47" s="1"/>
  <c r="D59" i="43"/>
  <c r="D59" i="44" s="1"/>
  <c r="D59" i="45" s="1"/>
  <c r="D59" i="46"/>
  <c r="D59" i="47" s="1"/>
  <c r="D50" i="43"/>
  <c r="D50" i="44" s="1"/>
  <c r="D50" i="45" s="1"/>
  <c r="D50" i="46"/>
  <c r="D50" i="47" s="1"/>
  <c r="D52" i="43"/>
  <c r="D52" i="44" s="1"/>
  <c r="D52" i="45" s="1"/>
  <c r="D52" i="46"/>
  <c r="D52" i="47" s="1"/>
  <c r="D43" i="43"/>
  <c r="D43" i="44" s="1"/>
  <c r="D43" i="45" s="1"/>
  <c r="D43" i="46"/>
  <c r="D43" i="47" s="1"/>
  <c r="D61" i="43"/>
  <c r="D61" i="44" s="1"/>
  <c r="D61" i="45" s="1"/>
  <c r="D61" i="46"/>
  <c r="D61" i="47" s="1"/>
  <c r="G48" i="43"/>
  <c r="G48" i="44" s="1"/>
  <c r="G48" i="45" s="1"/>
  <c r="G48" i="46"/>
  <c r="G48" i="47" s="1"/>
  <c r="G45" i="43"/>
  <c r="G45" i="44" s="1"/>
  <c r="G45" i="45" s="1"/>
  <c r="G45" i="46"/>
  <c r="G45" i="47" s="1"/>
  <c r="G61" i="43"/>
  <c r="G61" i="44" s="1"/>
  <c r="G61" i="45" s="1"/>
  <c r="G61" i="46"/>
  <c r="G61" i="47" s="1"/>
  <c r="G60" i="43"/>
  <c r="G60" i="44" s="1"/>
  <c r="G60" i="45" s="1"/>
  <c r="G60" i="46"/>
  <c r="G60" i="47" s="1"/>
  <c r="E42" i="43"/>
  <c r="E42" i="44" s="1"/>
  <c r="E42" i="45" s="1"/>
  <c r="E42" i="46"/>
  <c r="E42" i="47" s="1"/>
  <c r="E45" i="43"/>
  <c r="E45" i="44" s="1"/>
  <c r="E45" i="45" s="1"/>
  <c r="E45" i="46"/>
  <c r="E45" i="47" s="1"/>
  <c r="I64" i="43"/>
  <c r="I64" i="44" s="1"/>
  <c r="I64" i="45" s="1"/>
  <c r="I64" i="46"/>
  <c r="I64" i="47" s="1"/>
  <c r="I53" i="43"/>
  <c r="I53" i="44" s="1"/>
  <c r="I53" i="45" s="1"/>
  <c r="I53" i="46"/>
  <c r="I53" i="47" s="1"/>
  <c r="I45" i="43"/>
  <c r="I45" i="44" s="1"/>
  <c r="I45" i="45" s="1"/>
  <c r="I45" i="46"/>
  <c r="I45" i="47" s="1"/>
  <c r="I56" i="43"/>
  <c r="I56" i="44" s="1"/>
  <c r="I56" i="45" s="1"/>
  <c r="I56" i="46"/>
  <c r="I56" i="47" s="1"/>
  <c r="I48" i="43"/>
  <c r="I48" i="44" s="1"/>
  <c r="I48" i="45" s="1"/>
  <c r="I48" i="46"/>
  <c r="I48" i="47" s="1"/>
  <c r="I65" i="43"/>
  <c r="I65" i="44" s="1"/>
  <c r="I65" i="45" s="1"/>
  <c r="I65" i="46"/>
  <c r="I65" i="47" s="1"/>
  <c r="J62" i="43"/>
  <c r="J62" i="44" s="1"/>
  <c r="J62" i="45" s="1"/>
  <c r="J62" i="46"/>
  <c r="J62" i="47" s="1"/>
  <c r="J42" i="43"/>
  <c r="J42" i="44" s="1"/>
  <c r="J42" i="45" s="1"/>
  <c r="J42" i="46"/>
  <c r="J42" i="47" s="1"/>
  <c r="J46" i="43"/>
  <c r="J46" i="44" s="1"/>
  <c r="J46" i="45" s="1"/>
  <c r="J46" i="46"/>
  <c r="J46" i="47" s="1"/>
  <c r="J52" i="43"/>
  <c r="J52" i="44" s="1"/>
  <c r="J52" i="45" s="1"/>
  <c r="J52" i="46"/>
  <c r="J52" i="47" s="1"/>
  <c r="D44" i="43"/>
  <c r="D44" i="44" s="1"/>
  <c r="D44" i="45" s="1"/>
  <c r="D44" i="46"/>
  <c r="D44" i="47" s="1"/>
  <c r="D57" i="43"/>
  <c r="D57" i="44" s="1"/>
  <c r="D57" i="45" s="1"/>
  <c r="D57" i="46"/>
  <c r="D57" i="47" s="1"/>
  <c r="D58" i="43"/>
  <c r="D58" i="44" s="1"/>
  <c r="D58" i="45" s="1"/>
  <c r="D58" i="46"/>
  <c r="D58" i="47" s="1"/>
  <c r="D49" i="43"/>
  <c r="D49" i="44" s="1"/>
  <c r="D49" i="45" s="1"/>
  <c r="D49" i="46"/>
  <c r="D49" i="47" s="1"/>
  <c r="D56" i="43"/>
  <c r="D56" i="44" s="1"/>
  <c r="D56" i="45" s="1"/>
  <c r="D56" i="46"/>
  <c r="D56" i="47" s="1"/>
  <c r="D55" i="43"/>
  <c r="D55" i="44" s="1"/>
  <c r="D55" i="45" s="1"/>
  <c r="D55" i="46"/>
  <c r="D55" i="47" s="1"/>
  <c r="G53" i="43"/>
  <c r="G53" i="44" s="1"/>
  <c r="G53" i="45" s="1"/>
  <c r="G53" i="46"/>
  <c r="G53" i="47" s="1"/>
  <c r="G58" i="43"/>
  <c r="G58" i="44" s="1"/>
  <c r="G58" i="45" s="1"/>
  <c r="G58" i="46"/>
  <c r="G58" i="47" s="1"/>
  <c r="G47" i="43"/>
  <c r="G47" i="44" s="1"/>
  <c r="G47" i="45" s="1"/>
  <c r="G47" i="46"/>
  <c r="G47" i="47" s="1"/>
  <c r="G57" i="43"/>
  <c r="G57" i="44" s="1"/>
  <c r="G57" i="45" s="1"/>
  <c r="G57" i="46"/>
  <c r="G57" i="47" s="1"/>
  <c r="G49" i="43"/>
  <c r="G49" i="44" s="1"/>
  <c r="G49" i="45" s="1"/>
  <c r="G49" i="46"/>
  <c r="G49" i="47" s="1"/>
  <c r="G59" i="43"/>
  <c r="G59" i="44" s="1"/>
  <c r="G59" i="45" s="1"/>
  <c r="G59" i="46"/>
  <c r="G59" i="47" s="1"/>
  <c r="H45" i="43"/>
  <c r="H45" i="44" s="1"/>
  <c r="H45" i="45" s="1"/>
  <c r="H45" i="46"/>
  <c r="H45" i="47" s="1"/>
  <c r="E47" i="43"/>
  <c r="E47" i="44" s="1"/>
  <c r="E47" i="45" s="1"/>
  <c r="E47" i="46"/>
  <c r="E47" i="47" s="1"/>
  <c r="I58" i="43"/>
  <c r="I58" i="44" s="1"/>
  <c r="I58" i="45" s="1"/>
  <c r="I58" i="46"/>
  <c r="I58" i="47" s="1"/>
  <c r="E40" i="43"/>
  <c r="E40" i="44" s="1"/>
  <c r="E40" i="45" s="1"/>
  <c r="E40" i="46"/>
  <c r="E40" i="47" s="1"/>
  <c r="D64" i="43"/>
  <c r="D64" i="44" s="1"/>
  <c r="D64" i="45" s="1"/>
  <c r="D64" i="46"/>
  <c r="D64" i="47" s="1"/>
  <c r="I59" i="43"/>
  <c r="I59" i="44" s="1"/>
  <c r="I59" i="45" s="1"/>
  <c r="I59" i="46"/>
  <c r="I59" i="47" s="1"/>
  <c r="I42" i="43"/>
  <c r="I42" i="44" s="1"/>
  <c r="I42" i="45" s="1"/>
  <c r="I42" i="46"/>
  <c r="I42" i="47" s="1"/>
  <c r="I52" i="43"/>
  <c r="I52" i="44" s="1"/>
  <c r="I52" i="45" s="1"/>
  <c r="I52" i="46"/>
  <c r="I52" i="47" s="1"/>
  <c r="I50" i="43"/>
  <c r="I50" i="44" s="1"/>
  <c r="I50" i="45" s="1"/>
  <c r="I50" i="46"/>
  <c r="I50" i="47" s="1"/>
  <c r="I57" i="43"/>
  <c r="I57" i="44" s="1"/>
  <c r="I57" i="45" s="1"/>
  <c r="I57" i="46"/>
  <c r="I57" i="47" s="1"/>
  <c r="I51" i="43"/>
  <c r="I51" i="44" s="1"/>
  <c r="I51" i="45" s="1"/>
  <c r="I51" i="46"/>
  <c r="I51" i="47" s="1"/>
  <c r="J51" i="43"/>
  <c r="J51" i="44" s="1"/>
  <c r="J51" i="45" s="1"/>
  <c r="J51" i="46"/>
  <c r="J51" i="47" s="1"/>
  <c r="J54" i="43"/>
  <c r="J54" i="44" s="1"/>
  <c r="J54" i="45" s="1"/>
  <c r="J54" i="46"/>
  <c r="J54" i="47" s="1"/>
  <c r="J49" i="43"/>
  <c r="J49" i="44" s="1"/>
  <c r="J49" i="45" s="1"/>
  <c r="J49" i="46"/>
  <c r="J49" i="47" s="1"/>
  <c r="J60" i="43"/>
  <c r="J60" i="44" s="1"/>
  <c r="J60" i="45" s="1"/>
  <c r="J60" i="46"/>
  <c r="J60" i="47" s="1"/>
  <c r="J55" i="43"/>
  <c r="J55" i="44" s="1"/>
  <c r="J55" i="45" s="1"/>
  <c r="J55" i="46"/>
  <c r="J55" i="47" s="1"/>
  <c r="D48" i="43"/>
  <c r="D48" i="44" s="1"/>
  <c r="D48" i="45" s="1"/>
  <c r="D48" i="46"/>
  <c r="D48" i="47" s="1"/>
  <c r="D51" i="43"/>
  <c r="D51" i="44" s="1"/>
  <c r="D51" i="45" s="1"/>
  <c r="D51" i="46"/>
  <c r="D51" i="47" s="1"/>
  <c r="D62" i="43"/>
  <c r="D62" i="44" s="1"/>
  <c r="D62" i="45" s="1"/>
  <c r="D62" i="46"/>
  <c r="D62" i="47" s="1"/>
  <c r="D42" i="43"/>
  <c r="D42" i="44" s="1"/>
  <c r="D42" i="45" s="1"/>
  <c r="D42" i="46"/>
  <c r="D42" i="47" s="1"/>
  <c r="D47" i="43"/>
  <c r="D47" i="44" s="1"/>
  <c r="D47" i="45" s="1"/>
  <c r="D47" i="46"/>
  <c r="D47" i="47" s="1"/>
  <c r="D46" i="43"/>
  <c r="D46" i="44" s="1"/>
  <c r="D46" i="45" s="1"/>
  <c r="D46" i="46"/>
  <c r="D46" i="47" s="1"/>
  <c r="G65" i="43"/>
  <c r="G65" i="44" s="1"/>
  <c r="G65" i="45" s="1"/>
  <c r="G65" i="46"/>
  <c r="G65" i="47" s="1"/>
  <c r="G44" i="43"/>
  <c r="G44" i="44" s="1"/>
  <c r="G44" i="45" s="1"/>
  <c r="G44" i="46"/>
  <c r="G44" i="47" s="1"/>
  <c r="G55" i="43"/>
  <c r="G55" i="44" s="1"/>
  <c r="G55" i="45" s="1"/>
  <c r="G55" i="46"/>
  <c r="G55" i="47" s="1"/>
  <c r="G50" i="43"/>
  <c r="G50" i="44" s="1"/>
  <c r="G50" i="45" s="1"/>
  <c r="G50" i="46"/>
  <c r="G50" i="47" s="1"/>
  <c r="G54" i="43"/>
  <c r="G54" i="44" s="1"/>
  <c r="G54" i="45" s="1"/>
  <c r="G54" i="46"/>
  <c r="G54" i="47" s="1"/>
  <c r="G56" i="43"/>
  <c r="G56" i="44" s="1"/>
  <c r="G56" i="45" s="1"/>
  <c r="G56" i="46"/>
  <c r="G56" i="47" s="1"/>
  <c r="E44" i="43"/>
  <c r="E44" i="44" s="1"/>
  <c r="E44" i="45" s="1"/>
  <c r="E44" i="46"/>
  <c r="E44" i="47" s="1"/>
  <c r="H43" i="43"/>
  <c r="H43" i="44" s="1"/>
  <c r="H43" i="45" s="1"/>
  <c r="H43" i="46"/>
  <c r="H43" i="47" s="1"/>
  <c r="E63" i="43"/>
  <c r="E63" i="44" s="1"/>
  <c r="E63" i="45" s="1"/>
  <c r="E63" i="46"/>
  <c r="E63" i="47" s="1"/>
  <c r="E46" i="43"/>
  <c r="E46" i="44" s="1"/>
  <c r="E46" i="45" s="1"/>
  <c r="E46" i="46"/>
  <c r="E46" i="47" s="1"/>
  <c r="H44" i="43"/>
  <c r="H44" i="44" s="1"/>
  <c r="H44" i="45" s="1"/>
  <c r="H44" i="46"/>
  <c r="H44" i="47" s="1"/>
  <c r="H47" i="43"/>
  <c r="H47" i="44" s="1"/>
  <c r="H47" i="45" s="1"/>
  <c r="H47" i="46"/>
  <c r="H47" i="47" s="1"/>
  <c r="J43" i="43"/>
  <c r="J43" i="44" s="1"/>
  <c r="J43" i="45" s="1"/>
  <c r="J43" i="46"/>
  <c r="J43" i="47" s="1"/>
  <c r="I61" i="43"/>
  <c r="I61" i="44" s="1"/>
  <c r="I61" i="45" s="1"/>
  <c r="I61" i="46"/>
  <c r="I61" i="47" s="1"/>
  <c r="I46" i="43"/>
  <c r="I46" i="44" s="1"/>
  <c r="I46" i="45" s="1"/>
  <c r="I46" i="46"/>
  <c r="I46" i="47" s="1"/>
  <c r="I62" i="43"/>
  <c r="I62" i="44" s="1"/>
  <c r="I62" i="45" s="1"/>
  <c r="I62" i="46"/>
  <c r="I62" i="47" s="1"/>
  <c r="I54" i="43"/>
  <c r="I54" i="44" s="1"/>
  <c r="I54" i="45" s="1"/>
  <c r="I54" i="46"/>
  <c r="I54" i="47" s="1"/>
  <c r="J58" i="43"/>
  <c r="J58" i="44" s="1"/>
  <c r="J58" i="45" s="1"/>
  <c r="J58" i="46"/>
  <c r="J58" i="47" s="1"/>
  <c r="J44" i="43"/>
  <c r="J44" i="44" s="1"/>
  <c r="J44" i="45" s="1"/>
  <c r="J44" i="46"/>
  <c r="J44" i="47" s="1"/>
  <c r="J61" i="43"/>
  <c r="J61" i="44" s="1"/>
  <c r="J61" i="45" s="1"/>
  <c r="J61" i="46"/>
  <c r="J61" i="47" s="1"/>
  <c r="J47" i="43"/>
  <c r="J47" i="44" s="1"/>
  <c r="J47" i="45" s="1"/>
  <c r="J47" i="46"/>
  <c r="J47" i="47" s="1"/>
  <c r="J48" i="43"/>
  <c r="J48" i="44" s="1"/>
  <c r="J48" i="45" s="1"/>
  <c r="J48" i="46"/>
  <c r="J48" i="47" s="1"/>
  <c r="D53" i="43"/>
  <c r="D53" i="44" s="1"/>
  <c r="D53" i="45" s="1"/>
  <c r="D53" i="46"/>
  <c r="D53" i="47" s="1"/>
  <c r="D45" i="43"/>
  <c r="D45" i="44" s="1"/>
  <c r="D45" i="45" s="1"/>
  <c r="D45" i="46"/>
  <c r="D45" i="47" s="1"/>
  <c r="D54" i="43"/>
  <c r="D54" i="44" s="1"/>
  <c r="D54" i="45" s="1"/>
  <c r="D54" i="46"/>
  <c r="D54" i="47" s="1"/>
  <c r="D65" i="43"/>
  <c r="D65" i="44" s="1"/>
  <c r="D65" i="45" s="1"/>
  <c r="D65" i="46"/>
  <c r="D65" i="47" s="1"/>
  <c r="E41" i="43"/>
  <c r="E41" i="44" s="1"/>
  <c r="E41" i="45" s="1"/>
  <c r="E41" i="46"/>
  <c r="E41" i="47" s="1"/>
  <c r="G43" i="43"/>
  <c r="G43" i="44" s="1"/>
  <c r="G43" i="45" s="1"/>
  <c r="G43" i="46"/>
  <c r="G43" i="47" s="1"/>
  <c r="G52" i="43"/>
  <c r="G52" i="44" s="1"/>
  <c r="G52" i="45" s="1"/>
  <c r="G52" i="46"/>
  <c r="G52" i="47" s="1"/>
  <c r="G42" i="43"/>
  <c r="G42" i="44" s="1"/>
  <c r="G42" i="45" s="1"/>
  <c r="G42" i="46"/>
  <c r="G42" i="47" s="1"/>
  <c r="G62" i="43"/>
  <c r="G62" i="44" s="1"/>
  <c r="G62" i="45" s="1"/>
  <c r="G62" i="46"/>
  <c r="G62" i="47" s="1"/>
  <c r="G51" i="43"/>
  <c r="G51" i="44" s="1"/>
  <c r="G51" i="45" s="1"/>
  <c r="G51" i="46"/>
  <c r="G51" i="47" s="1"/>
  <c r="G46" i="43"/>
  <c r="G46" i="44" s="1"/>
  <c r="G46" i="45" s="1"/>
  <c r="G46" i="46"/>
  <c r="G46" i="47" s="1"/>
  <c r="F41" i="43"/>
  <c r="F41" i="44" s="1"/>
  <c r="F41" i="45" s="1"/>
  <c r="F41" i="46"/>
  <c r="F41" i="47" s="1"/>
  <c r="F42" i="43"/>
  <c r="F42" i="44" s="1"/>
  <c r="F42" i="45" s="1"/>
  <c r="F42" i="46"/>
  <c r="F42" i="47" s="1"/>
  <c r="F43" i="43"/>
  <c r="F43" i="44" s="1"/>
  <c r="F43" i="45" s="1"/>
  <c r="F43" i="46"/>
  <c r="F43" i="47" s="1"/>
  <c r="F44" i="43"/>
  <c r="F44" i="44" s="1"/>
  <c r="F44" i="45" s="1"/>
  <c r="F44" i="46"/>
  <c r="F44" i="47" s="1"/>
  <c r="F63" i="43"/>
  <c r="F63" i="44" s="1"/>
  <c r="F63" i="45" s="1"/>
  <c r="F63" i="46"/>
  <c r="F63" i="47" s="1"/>
  <c r="F47" i="43"/>
  <c r="F47" i="44" s="1"/>
  <c r="F47" i="45" s="1"/>
  <c r="F47" i="46"/>
  <c r="F47" i="47" s="1"/>
  <c r="F45" i="43"/>
  <c r="F45" i="44" s="1"/>
  <c r="F45" i="45" s="1"/>
  <c r="F45" i="46"/>
  <c r="F45" i="47" s="1"/>
  <c r="F40" i="43"/>
  <c r="F40" i="44" s="1"/>
  <c r="F40" i="45" s="1"/>
  <c r="F40" i="46"/>
  <c r="F40" i="47" s="1"/>
  <c r="F46" i="43"/>
  <c r="F46" i="44" s="1"/>
  <c r="F46" i="45" s="1"/>
  <c r="F46" i="46"/>
  <c r="F46" i="47" s="1"/>
  <c r="F64" i="43"/>
  <c r="F64" i="44" s="1"/>
  <c r="F64" i="45" s="1"/>
  <c r="F64" i="46"/>
  <c r="F64" i="47" s="1"/>
  <c r="G41" i="12"/>
  <c r="G41" i="13" s="1"/>
  <c r="G41" i="14" s="1"/>
  <c r="G41" i="15" s="1"/>
  <c r="G41" i="16" s="1"/>
  <c r="G41" i="17" s="1"/>
  <c r="G41" i="18" s="1"/>
  <c r="G41" i="19" s="1"/>
  <c r="G41" i="20" s="1"/>
  <c r="D41" i="12"/>
  <c r="D41" i="13" s="1"/>
  <c r="D41" i="14" s="1"/>
  <c r="D41" i="15" s="1"/>
  <c r="D41" i="16" s="1"/>
  <c r="D41" i="17" s="1"/>
  <c r="D41" i="18" s="1"/>
  <c r="D41" i="19" s="1"/>
  <c r="D41" i="20" s="1"/>
  <c r="J41" i="12"/>
  <c r="J41" i="13" s="1"/>
  <c r="J41" i="14" s="1"/>
  <c r="J41" i="15" s="1"/>
  <c r="J41" i="16" s="1"/>
  <c r="J41" i="17" s="1"/>
  <c r="J41" i="18" s="1"/>
  <c r="J41" i="19" s="1"/>
  <c r="J41" i="20" s="1"/>
  <c r="I41" i="12"/>
  <c r="I41" i="13" s="1"/>
  <c r="I41" i="14" s="1"/>
  <c r="I41" i="15" s="1"/>
  <c r="I41" i="16" s="1"/>
  <c r="I41" i="17" s="1"/>
  <c r="I41" i="18" s="1"/>
  <c r="I41" i="19" s="1"/>
  <c r="I41" i="20" s="1"/>
  <c r="J40" i="20"/>
  <c r="D41" i="43" l="1"/>
  <c r="D41" i="44" s="1"/>
  <c r="D41" i="45" s="1"/>
  <c r="D41" i="46"/>
  <c r="D41" i="47" s="1"/>
  <c r="J40" i="43"/>
  <c r="J40" i="44" s="1"/>
  <c r="J40" i="45" s="1"/>
  <c r="J40" i="46"/>
  <c r="J40" i="47" s="1"/>
  <c r="G41" i="43"/>
  <c r="G41" i="44" s="1"/>
  <c r="G41" i="45" s="1"/>
  <c r="G41" i="46"/>
  <c r="G41" i="47" s="1"/>
  <c r="I41" i="43"/>
  <c r="I41" i="44" s="1"/>
  <c r="I41" i="45" s="1"/>
  <c r="I41" i="46"/>
  <c r="I41" i="47" s="1"/>
  <c r="J41" i="43"/>
  <c r="J41" i="44" s="1"/>
  <c r="J41" i="45" s="1"/>
  <c r="J41" i="46"/>
  <c r="J41" i="47" s="1"/>
</calcChain>
</file>

<file path=xl/sharedStrings.xml><?xml version="1.0" encoding="utf-8"?>
<sst xmlns="http://schemas.openxmlformats.org/spreadsheetml/2006/main" count="2409" uniqueCount="244">
  <si>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</si>
  <si>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</si>
  <si>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</si>
  <si>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</si>
  <si>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</si>
  <si>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</si>
  <si>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</si>
  <si>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</si>
  <si>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</si>
  <si>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</si>
  <si>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</si>
  <si>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>16 группа</t>
  </si>
  <si>
    <t>Суббота</t>
  </si>
  <si>
    <t>№</t>
  </si>
  <si>
    <t>№ аудитории</t>
  </si>
  <si>
    <t>Время</t>
  </si>
  <si>
    <t>День недели</t>
  </si>
  <si>
    <t xml:space="preserve">Условные обозначения: </t>
  </si>
  <si>
    <t>МБК - медико-биологический корпус</t>
  </si>
  <si>
    <t>18:30-20:00</t>
  </si>
  <si>
    <t>20:20-21:50</t>
  </si>
  <si>
    <t xml:space="preserve">  </t>
  </si>
  <si>
    <t>*Л. Теория и методика*</t>
  </si>
  <si>
    <t>*Пр. Теория и методика*</t>
  </si>
  <si>
    <t>14:50-16:20</t>
  </si>
  <si>
    <t>16:40-18:10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</si>
  <si>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</si>
  <si>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</si>
  <si>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</si>
  <si>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</si>
  <si>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</si>
  <si>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</si>
  <si>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</si>
  <si>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</si>
  <si>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</si>
  <si>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</si>
  <si>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</si>
  <si>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</si>
  <si>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</si>
  <si>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Элективные дисциплины по ФКиС- Элективные дисциплины по физической культуре и спорту.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</si>
  <si>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</si>
  <si>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</si>
  <si>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</si>
  <si>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 xml:space="preserve">11 группа </t>
  </si>
  <si>
    <t>12 группа</t>
  </si>
  <si>
    <t xml:space="preserve">13 группа   </t>
  </si>
  <si>
    <t xml:space="preserve">14 группа   </t>
  </si>
  <si>
    <t>15 группа</t>
  </si>
  <si>
    <t>легкая атлетика</t>
  </si>
  <si>
    <t>плавание</t>
  </si>
  <si>
    <t>художественная гимнастика, эстетическая гимнастика</t>
  </si>
  <si>
    <t>* Профили (направленность) указанны на титульном листе</t>
  </si>
  <si>
    <t>ПСС - Профессионально-спортивное совершенствование</t>
  </si>
  <si>
    <t>Профессионально-спортивное совершенствование</t>
  </si>
  <si>
    <t>УСЗК - универсальный спортивно-зрелищный комплекс</t>
  </si>
  <si>
    <t>ТРЕНЕРСКИЙ ФАКУЛЬТЕТ, направление подготовки (образовательная программа)</t>
  </si>
  <si>
    <t>гребные и парусные виды спорта, циклические и сложнокоординационные виды лыжного спорта</t>
  </si>
  <si>
    <t>гребные и парусные виды спорта</t>
  </si>
  <si>
    <t>спортивная гимнастика, воздушно-силовая атлетика</t>
  </si>
  <si>
    <t xml:space="preserve">49.03.04 Спорт*
                                                                             </t>
  </si>
  <si>
    <t>49.03.04 Спорт*</t>
  </si>
  <si>
    <t>Б/о - без отчета</t>
  </si>
  <si>
    <t>УТВЕРЖДАЮ</t>
  </si>
  <si>
    <t>плавание, синхронное плавание</t>
  </si>
  <si>
    <t>синхронное плавание</t>
  </si>
  <si>
    <t>танцевальный спорт, чир спорт</t>
  </si>
  <si>
    <t>Зачет</t>
  </si>
  <si>
    <t>фигурное катание на коньках, конькобежный спорт, шорт-трек, кёрлинг</t>
  </si>
  <si>
    <t>Экзамен</t>
  </si>
  <si>
    <t>0/36</t>
  </si>
  <si>
    <t>Л - Максимова М.Н.</t>
  </si>
  <si>
    <t>П - Максимова М.Н.</t>
  </si>
  <si>
    <t>Л - Чеботарева И.В., Соломатин В.Р.</t>
  </si>
  <si>
    <t>П - Чеботарева И.В., Соломатин В.Р.</t>
  </si>
  <si>
    <t>циклические  виды лыжного спорта</t>
  </si>
  <si>
    <t>сложнокоординационные виды лыжного спорта</t>
  </si>
  <si>
    <t>П - Дубровинский С. С.</t>
  </si>
  <si>
    <t>Л - Парахин В.А.</t>
  </si>
  <si>
    <t>спортивная аэробика, фитнес аэробика</t>
  </si>
  <si>
    <t>спортивная акробатика, прыжки на батуте</t>
  </si>
  <si>
    <t>10 группа</t>
  </si>
  <si>
    <t>группы С3-10-23, С3-11-23, С3-12-23, С3-13-23, С3-14-23, С3-15-23, С3-16-23</t>
  </si>
  <si>
    <t>художественная гимнастика, эстетическая гимнастика, спортивная аэробика, фитнес аэробика</t>
  </si>
  <si>
    <t>велосипедный спорт, триатлон, спортивная акробатика, прыжки на батуте,  спортивная гимнастика, воздушно-силовая атлетика</t>
  </si>
  <si>
    <t>чир спорт</t>
  </si>
  <si>
    <t>танцевальный спорт</t>
  </si>
  <si>
    <t>205 СК, 206СК, 210СК,  ауд.212СК, ауд.16СК</t>
  </si>
  <si>
    <t xml:space="preserve">205 СК, 206СК, 210СК,  ауд.212СК, ауд.16СК </t>
  </si>
  <si>
    <t>92 УСЗК, 80 УСЗК, 83 УСЗК</t>
  </si>
  <si>
    <t>Теория и методика спортивная акробатика, прыжки на батуте, спортивная аэробика, фитнес аэробика, спортивная гимнастика, воздушно-силовая атлетика, профессионально-спортивное совершенствование, методика реализации программ дополнительного образования в области физической культуры и спорта (спортивная гимнастика, воздушно-силовая атлетика,  прыжки на батуте, фитнес аэробика, спортивная аэробика, спортивная акробатика)</t>
  </si>
  <si>
    <t>Теория и методика художественная гимнастика, эстетическая гимнастика, профессионально-спортивное совершенствование, методика реализации программ дополнительного образования в области физической культуры и спорта (художественная гимнастика, эстетическая гимнастика)</t>
  </si>
  <si>
    <t>Теория и методика гребного и парусного видов спорта, профессионально-спортивное совершенствование, методика реализации программ дополнительного образования в области физической культуры и спорта (гребные и парусные виды спорта)</t>
  </si>
  <si>
    <t>Теория и методика фигурное катание на коньках, конькобежный спорт, шорт-трек, кёрлинг; профессионально-спортивное совершенствование; методика реализации программ дополнительного образования в области физической культуры и спорта (фигурное катание на коньках, конькобежный спорт, шорт-трек, кёрлинг)</t>
  </si>
  <si>
    <t>Теория и методика легкой атлетики, профессионально-спортивное совершенствование, методика реализации программ дополнительного образования в области физической культуры и спорта (легкая атлетика)</t>
  </si>
  <si>
    <t>Теория и методика циклические виды лыжного спорта, сложнокоординационные виды лыжного спорта, профессионально-спортивное совершенствование, методика реализации программ дополнительного образования в области физической культуры и спорта (циклические виды лыжного спорта, сложнокоординационные виды лыжного спорта)</t>
  </si>
  <si>
    <t>Теория и методика плавание, водное поло, профессионально-спортивное совершенствование, методика реализации программ дополнительного образования в области физической культуры и спорта (плавание, синхронное плавание)</t>
  </si>
  <si>
    <t>Теория и методика велосипедный спорт, триатлон; профессионально-спортивное совершенствование, методика реализации программ дополнительного образования в области физической культуры и спорта (велосипедный спорт, триатлон)</t>
  </si>
  <si>
    <t>Теория и методика танцевальный спорт, профессионально-спортивное совершенствование, методика реализации программ дополнительного образования в области физической культуры и спорта (чир спорт)</t>
  </si>
  <si>
    <t>Теория и методика танцевальный спорт, профессионально-спортивное совершенствование, методика реализации программ дополнительного образования в области физической культуры и спорта (танцевальный спорт)</t>
  </si>
  <si>
    <t>Расписание учебных занятий на первое полугодие 2024-2025 учебного года</t>
  </si>
  <si>
    <t xml:space="preserve">Курс 2, семестр 3, очная форма обучения </t>
  </si>
  <si>
    <t>Л - Ивашина В.В.</t>
  </si>
  <si>
    <t xml:space="preserve">П - Парахин В.А. </t>
  </si>
  <si>
    <t xml:space="preserve">Л. Теория и методика танцевального спорта, чир спорта Прил. 1  </t>
  </si>
  <si>
    <t>Л. Теория и методика плавания, синхронного плавания Прил. 1</t>
  </si>
  <si>
    <t>Л. Теория и методика велосипедного спорта, триатлона, спортивной акробатики, прыжков на батуте,  спортивной гимнастики, воздушно-силовой атлетики Прил.1</t>
  </si>
  <si>
    <t>16:30-18:00</t>
  </si>
  <si>
    <t>Р.С. Халимулина</t>
  </si>
  <si>
    <t>Л. Теория и методика фигурного катания на коньках, конькобежного спорта, шорт-трек, кёрлинга Прил.1</t>
  </si>
  <si>
    <t>фигурное+лыжи</t>
  </si>
  <si>
    <t>коньки+лыжи</t>
  </si>
  <si>
    <t>лыжи</t>
  </si>
  <si>
    <t>Л. Теория и методика художественной гимнастики, эстетической гимнастики, спортивной аэробики, фитнес аэробики Прил.1</t>
  </si>
  <si>
    <t>лекции - 215 мбк, практические занятия 518мбк</t>
  </si>
  <si>
    <t>Начальник учебно-методического управления</t>
  </si>
  <si>
    <t>Расписание учебных занятий на первое полугодие 2025-2026 учебного года</t>
  </si>
  <si>
    <t xml:space="preserve">Курс 3, семестр 5, очная форма обучения </t>
  </si>
  <si>
    <t>10/22</t>
  </si>
  <si>
    <t>Л - Разинов Ю.И.</t>
  </si>
  <si>
    <t>Л - Дубровинский С. С.</t>
  </si>
  <si>
    <t>П - Ивашина В.В., Булгачева П.В.</t>
  </si>
  <si>
    <t>Л  -  Захарчук М.С.</t>
  </si>
  <si>
    <t>П  -  Захарчук М.С.</t>
  </si>
  <si>
    <r>
      <rPr>
        <b/>
        <sz val="24"/>
        <color indexed="8"/>
        <rFont val="Times New Roman"/>
        <family val="1"/>
        <charset val="204"/>
      </rPr>
      <t>49.03.04 Спорт</t>
    </r>
    <r>
      <rPr>
        <sz val="24"/>
        <color indexed="8"/>
        <rFont val="Times New Roman"/>
        <family val="1"/>
        <charset val="204"/>
      </rPr>
      <t xml:space="preserve">, Профиль (направленность)  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видах лыжного спорта. Педагогическая деятельность в области физической культуры и спорта; Спортивная подготовка в сложнокоординационных видах лыжного спорта. Педагогическая деятельность в области физической культуры и спорта; Спортивная подготовка по виду спорта «фигурное катание на коньках». Педагогическая деятельность в области физической культуры и спорта; Спортивная подготовка по видам спорта «конькобежный спорт», «шорт-трек», «кёрлинг». Педагогическая деятельность в области физической культуры и спорта; Спортивная подготовка по виду спорта «плавание». Педагогическая деятельность в области физической культуры и спорта; Спортивная подготовка в синхронном плавании. Педагогическая деятельность в области физической культуры и спорта; Спортивная подготовка по виду спорта «танцевальный спорт». Педагогическая деятельность в области физической культуры и спорта; Спортивная подготовка по виду спорта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 аэробика". Педагогическая деятельность в области физической культуры и спорта; </t>
    </r>
    <r>
      <rPr>
        <b/>
        <sz val="24"/>
        <color indexed="8"/>
        <rFont val="Times New Roman"/>
        <family val="1"/>
        <charset val="204"/>
      </rPr>
      <t>уровень образовния бакалавриат</t>
    </r>
  </si>
  <si>
    <t>250 мбк, 282МБК, л/а манеж, 64 мбк, 281мбк</t>
  </si>
  <si>
    <r>
      <t xml:space="preserve">легкоатлетический манеж </t>
    </r>
    <r>
      <rPr>
        <b/>
        <sz val="12"/>
        <color theme="1"/>
        <rFont val="Times New Roman"/>
        <family val="1"/>
        <charset val="204"/>
      </rPr>
      <t/>
    </r>
  </si>
  <si>
    <t>Л - Жгун Е.В.</t>
  </si>
  <si>
    <t>Л. Теория и методика легкой атлетики Прил.1</t>
  </si>
  <si>
    <t>*Л.  Теория и методика циклических и сложнокоординационных*</t>
  </si>
  <si>
    <t>*Пр.  Теория и методика циклических и сложнокоординационных*</t>
  </si>
  <si>
    <t>Л. Теория и методика гребного и парусного видов спорта, Л.  Теория и методика циклических и сложнокоординационных видов лыжного спорта Прил.1</t>
  </si>
  <si>
    <t>П - Сенатская В.Г.</t>
  </si>
  <si>
    <t>ауд.4 УСЗК, ауд.5 УСЗК, ГБУ ДО "Московская академия фигурного катания на коньках" г. Москва, Ул.Маршала Катукова, д.22</t>
  </si>
  <si>
    <t>Расписание учебных занятий на первое полугодие 2026-2027 учебного года</t>
  </si>
  <si>
    <t xml:space="preserve">Курс 4, семестр 7, очная форма обучения </t>
  </si>
  <si>
    <t>Приложение1 к расписанию учебных занятий на первое полугодие 2026-2027 учебного года</t>
  </si>
  <si>
    <t>с 01.09-19.10, с 02.12-30.12</t>
  </si>
  <si>
    <t>Учебная практика: Тренерская практика (дискретно) 20.10.2026 - 01.12.2026</t>
  </si>
  <si>
    <t>Основы медицинских знаний и спортивная медицина</t>
  </si>
  <si>
    <t>16/32</t>
  </si>
  <si>
    <t>Массаж</t>
  </si>
  <si>
    <t>10/38</t>
  </si>
  <si>
    <t>Диф.зачет</t>
  </si>
  <si>
    <t>Правовые основы профессиональной деятельности</t>
  </si>
  <si>
    <t>*Л. Основы медицинских знаний и спортивная медицина*</t>
  </si>
  <si>
    <t>*Пр. Основы медицинских знаний и спортивная медицина*</t>
  </si>
  <si>
    <t>*Л. Массаж*</t>
  </si>
  <si>
    <t>*Пр. Массаж*</t>
  </si>
  <si>
    <t>*Л. Правовые основы профессиональной деятельности*</t>
  </si>
  <si>
    <t>*Пр. Правовые основы профессиональной деятельности*</t>
  </si>
  <si>
    <t>Спортивная метрология</t>
  </si>
  <si>
    <t>10/88</t>
  </si>
  <si>
    <t>*Л. Спортивная метрология*</t>
  </si>
  <si>
    <t>*Пр. Спортивная метрология*</t>
  </si>
  <si>
    <t>Л - Долгова Е.В.</t>
  </si>
  <si>
    <t>П - Долгова Е.В.</t>
  </si>
  <si>
    <t xml:space="preserve">П - Жгун Е.В. </t>
  </si>
  <si>
    <t>П - Смирнова А.В.</t>
  </si>
  <si>
    <t>П - Разинов Ю.И., Тавыриков Е.Е.</t>
  </si>
  <si>
    <t>П - Тавыриков Е.Е.</t>
  </si>
  <si>
    <t>Л - Тарасов А.В.</t>
  </si>
  <si>
    <t>Тарасов А.В.</t>
  </si>
  <si>
    <t>Л - Татаринов И.Д., Сячин В.Д.</t>
  </si>
  <si>
    <t>П - Татаринов И.Д., Сячин В.Д.</t>
  </si>
  <si>
    <t>Л - Сенатская В.Г.</t>
  </si>
  <si>
    <t>Л -  Сингина Н.Ф.</t>
  </si>
  <si>
    <t>Л - Дышаков А.С.</t>
  </si>
  <si>
    <t>П - Дышаков А.С.</t>
  </si>
  <si>
    <t>П -Дышаков А.С.</t>
  </si>
  <si>
    <t>Л - Саламатов М.Б.</t>
  </si>
  <si>
    <t>Власова Н.А.</t>
  </si>
  <si>
    <t>Ларин А.В.</t>
  </si>
  <si>
    <t>Саламатов М.Б.</t>
  </si>
  <si>
    <t>Л  -  Лисицкая Т.С.</t>
  </si>
  <si>
    <t>П  -  Лисицкая Т.С.</t>
  </si>
  <si>
    <t>Л - Купцов Е.И.</t>
  </si>
  <si>
    <t>Купцов Е.И.</t>
  </si>
  <si>
    <t>Л - Тарханов И.В.</t>
  </si>
  <si>
    <t>Тарханов И.В.</t>
  </si>
  <si>
    <t xml:space="preserve">Пр. Теория и методика танцевального спорта, чир спорта Прил. 1  </t>
  </si>
  <si>
    <t>Пр. Теория и методика фигурного катания на коньках, конькобежного спорта, шорт-трек, кёрлинга Прил.1</t>
  </si>
  <si>
    <t>Пр. Теория и методика легкой атлетики Прил.1</t>
  </si>
  <si>
    <t>Пр. Теория и методика гребного и парусного видов спорта, Пр.  Теория и методика циклических и сложнокоординационных видов лыжного спорта Прил.1</t>
  </si>
  <si>
    <t>Пр. Теория и методика велосипедного спорта, триатлона, спортивной акробатики, прыжков на батуте,  спортивной гимнастики, воздушно-силовой атлетики Прил.1</t>
  </si>
  <si>
    <t>Пр. Теория и методика художественной гимнастики, эстетической гимнастики, спортивной аэробики, фитнес аэробики Прил.1</t>
  </si>
  <si>
    <t>Л. Основы медицинских знаний и спортивная медицина Тарасов А.В. 220 ауд.к.</t>
  </si>
  <si>
    <t>Пр. Основы медицинских знаний и спортивная медицина Тарасов А.В. 445мбк</t>
  </si>
  <si>
    <t>Пр. Основы медицинских знаний и спортивная медицина Тарасов А.В. 342мбк</t>
  </si>
  <si>
    <t>Пр. Основы медицинских знаний и спортивная медицина Тарасов А.В. 350мбк</t>
  </si>
  <si>
    <t>Л. Массаж Саламатов М.Б. 220 ауд.к.</t>
  </si>
  <si>
    <t>Пр. Массаж Власова Н.А. 346мбк</t>
  </si>
  <si>
    <t>Пр. Массаж Ларин А.В. 346мбк</t>
  </si>
  <si>
    <t>Пр. Массаж Саламатов М.Б. 346мбк</t>
  </si>
  <si>
    <t>Л. Правовые основы профессиональной деятельности Купцов Е.И. 212 ауд.к.</t>
  </si>
  <si>
    <t>Пр. Правовые основы профессиональной деятельности Купцов Е.И. 401 ауд.к.</t>
  </si>
  <si>
    <t>Л. Спортивная метрология Тарханов И.В. 212 ауд.к.</t>
  </si>
  <si>
    <t>Пр. Спортивная метрология Тарханов И.В. 68мбк</t>
  </si>
  <si>
    <t>Л. Спортивная метрология Тарханов И.В. 220 ауд.к.</t>
  </si>
  <si>
    <t>Л. Правовые основы профессиональной деятельности Купцов Е.И. 220 ауд.к.</t>
  </si>
  <si>
    <t>Пр. Теория и методика плавания, синхронного плавания Прил. 1</t>
  </si>
  <si>
    <t>Пр.  Теория и методика циклических и сложнокоординационных видов лыжного спорта Прил.1</t>
  </si>
  <si>
    <t>Пр. Спортивная метрология Тарханов И.В. 69мбк</t>
  </si>
  <si>
    <t>Пр. Основы медицинских знаний и спортивная медицина Тарасов А.В. 439мбк</t>
  </si>
  <si>
    <t>Пр. Правовые основы профессиональной деятельности Купцов Е.И. 401ауд.к.</t>
  </si>
  <si>
    <t>Л. Теория и методика гребного и парусного видов спорта, Пр.  Теория и методика циклических и сложнокоординационных видов лыжного спорта Прил.1</t>
  </si>
  <si>
    <t>Пр. Теория и методика гребного и парусного видов спорта, Л.  Теория и методика циклических и сложнокоординационных видов лыжного спорта Прил.1</t>
  </si>
  <si>
    <t>Фураев А.Н.</t>
  </si>
  <si>
    <t>Пр. Спортивная метрология Фураев А.Н. 68мбк</t>
  </si>
  <si>
    <t>321а мбк</t>
  </si>
  <si>
    <t>ПСС циклические и сложнокоординационные виды лыжного спорта  249мбк, 250мбк, 281мбк, 282мбк, легкоатлетический манеж - 04.09</t>
  </si>
  <si>
    <t>ПСС циклические и сложнокоординационные виды лыжного спорта 249мбк, 250мбк, 281мбк, 282мбк, легкоатлетический манеж - 21.09, 28.09, 05.10, 12.10, 19.10</t>
  </si>
  <si>
    <t>вторник - ауд.1 УСЗК, 11 УСЗК; четверг - ауд.1 УСЗК, 11 УСЗК; пятница - ауд.1 УСЗК, 11 УСЗК, 213СК - до 19.09</t>
  </si>
  <si>
    <t>Пр. Спортивная метрология Фураев А.Н. 69мбк</t>
  </si>
  <si>
    <t>ПСС 08.09-16.12 бассейн УСЗК, ауд.83</t>
  </si>
  <si>
    <t>ПСС 03.09-16.12 бассейн УСЗК, ауд.83</t>
  </si>
  <si>
    <t>ПСС легкая атлетика  -  легкоатлетический манеж - 08.09-22.12</t>
  </si>
  <si>
    <t>ПСС легкая атлетика  -  легкоатлетический манеж - 10.09 - 10.12</t>
  </si>
  <si>
    <t>ПСС гребные и парусные виды спорта 321а мбк  09.09-14.10, 02.12-16.12</t>
  </si>
  <si>
    <t>ПСС гребные и парусные виды спорта 321а мбк  04.09-16.10, 04.12-11.12</t>
  </si>
  <si>
    <t>ПСС фигурное катание на коньках ауд.4 УСЗК, ауд.5 УСЗК 09.09 - 14.10, 02.12-16.12</t>
  </si>
  <si>
    <t>ПСС фигурное катание на коньках ауд.4 УСЗК, ауд.5 УСЗК 10.09 - 15.10, 03.12- 17.12</t>
  </si>
  <si>
    <t>П - Дубровинский С.С. (6ч) 01.09-25.09, с 28.09 Баталов А.Г. (30ч)</t>
  </si>
  <si>
    <t>ПСС художественная гимнастика, эстетическая гимнастика 13.00-14.30 206СК 07.09-16.10</t>
  </si>
  <si>
    <t>П - Михалина Г.М.</t>
  </si>
  <si>
    <t xml:space="preserve">ПСС художественная гимнастика, эстетическая гимнастика 206СК, спортивная аэробика, фитнес аэробика 205 СК -  07.09-16.10, 02.12-17.12 </t>
  </si>
  <si>
    <t>ПСС  спортивная аэробика, фитнес аэробика 205 СК -  07.09-16.10, 02.12-17.12</t>
  </si>
  <si>
    <t xml:space="preserve">ПСС 16.30-18.00 спортивная акробатика, прыжки на батуте, спортивная гимнастика, воздушно-силовая атлетика 210СК 07.09-16.10, 02.12-17.12 </t>
  </si>
  <si>
    <t xml:space="preserve">ПСС 13.00-14.30 спортивная акробатика, прыжки на батуте  210СК  07.09-16.10, 02.12-17.12 </t>
  </si>
  <si>
    <t xml:space="preserve">ПСС велосипедный спорт, триатлон 16.30-18.00 ауд.518мбк  с 07.09-18.12;  ПСС 16.30-18.00 спортивная гимнастика, воздушно-силовая атлетика 210СК 07.09-16.10, 02.12-18.12 </t>
  </si>
  <si>
    <t>Пр. Основы медицинских знаний и спортивная медицина Тарасов А.В. 511 мбк</t>
  </si>
  <si>
    <t>ПСС танцевальный спорт, чир спорт 16.30-18.00   ауд.1УСЗК, ауд.11УСЗК</t>
  </si>
  <si>
    <t>П - Сингина Н.Ф./ Голивкин А.П.</t>
  </si>
  <si>
    <t>П - Ракитина Т.М.</t>
  </si>
  <si>
    <t>П - Сингина Н.Ф. / Голивкин А.П.</t>
  </si>
  <si>
    <t>П - Михайлов И. А.</t>
  </si>
  <si>
    <t>ПСС танцевальный спорт 12.10-12.55  ауд.1УСЗК, ауд.11УСЗК, чир спорт Сцена УСЗК</t>
  </si>
  <si>
    <t>ПСС танцевальный спорт 12.10-12.55  ауд.1УСЗК, ауд.11УСЗК</t>
  </si>
  <si>
    <t>ПСС чир спорт 16.30-18.00 205СК</t>
  </si>
  <si>
    <t>велосипедный спорт, триатлон до 10.10</t>
  </si>
  <si>
    <r>
      <rPr>
        <b/>
        <u/>
        <sz val="22"/>
        <rFont val="Times New Roman"/>
        <family val="1"/>
        <charset val="204"/>
      </rPr>
      <t>49.03.04 Спорт</t>
    </r>
    <r>
      <rPr>
        <sz val="22"/>
        <rFont val="Times New Roman"/>
        <family val="1"/>
        <charset val="204"/>
      </rPr>
      <t xml:space="preserve">, Профиль (направленность)  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видах лыжного спорта. Педагогическая деятельность в области физической культуры и спорта; Спортивная подготовка в сложнокоординационных видах лыжного спорта. Педагогическая деятельность в области физической культуры и спорта; Спортивная подготовка по виду спорта «фигурное катание на коньках». Педагогическая деятельность в области физической культуры и спорта; Спортивная подготовка по видам спорта «конькобежный спорт», «шорт-трек», «кёрлинг». Педагогическая деятельность в области физической культуры и спорта; Спортивная подготовка по виду спорта «плавание». Педагогическая деятельность в области физической культуры и спорта; Спортивная подготовка в синхронном плавании. Педагогическая деятельность в области физической культуры и спорта; Спортивная подготовка по виду спорта «танцевальный спорт». Педагогическая деятельность в области физической культуры и спорта; Спортивная подготовка по виду спорта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 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 аэробика". Педагогическая деятельность в области физической культуры и спорта; уровень образовния </t>
    </r>
    <r>
      <rPr>
        <b/>
        <sz val="22"/>
        <rFont val="Times New Roman"/>
        <family val="1"/>
        <charset val="204"/>
      </rPr>
      <t>бакалавриат</t>
    </r>
  </si>
  <si>
    <t>ПСС велосипедный спорт, триатлон 16.30-18.00 ауд.518мбк с 07.09-30.12</t>
  </si>
  <si>
    <t>конькобежный спорт, шорт-трек, кёрлинг</t>
  </si>
  <si>
    <t>фигурное катание на коньках</t>
  </si>
  <si>
    <t xml:space="preserve">конькобежный спорт, шорт-трек, кёрлинг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</si>
</sst>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b/>
      <sz val="18"/>
      <name val="Arial Cyr"/>
      <charset val="204"/>
    </font>
    <font>
      <sz val="18"/>
      <color theme="1"/>
      <name val="Calibri"/>
      <family val="2"/>
      <charset val="204"/>
      <scheme val="minor"/>
    </font>
    <font>
      <b/>
      <sz val="20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0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0"/>
      <name val="Arial Cyr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2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2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u/>
      <sz val="22"/>
      <name val="Times New Roman"/>
      <family val="1"/>
      <charset val="204"/>
    </font>
    <font>
      <b/>
      <sz val="22"/>
      <name val="Calibri"/>
      <family val="2"/>
      <charset val="204"/>
      <scheme val="minor"/>
    </font>
    <font>
      <b/>
      <sz val="24"/>
      <color indexed="8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8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sz val="20"/>
      <color indexed="8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24"/>
      <name val="Times New Roman"/>
      <family val="1"/>
      <charset val="204"/>
    </font>
    <font>
      <sz val="24"/>
      <color indexed="8"/>
      <name val="Calibri"/>
      <family val="2"/>
      <charset val="204"/>
    </font>
    <font>
      <sz val="36"/>
      <color theme="1"/>
      <name val="Calibri"/>
      <family val="2"/>
      <charset val="204"/>
      <scheme val="minor"/>
    </font>
    <font>
      <sz val="34"/>
      <color rgb="FF000000"/>
      <name val="Times New Roman"/>
      <family val="1"/>
      <charset val="204"/>
    </font>
    <font>
      <sz val="22"/>
      <color indexed="8"/>
      <name val="Calibri"/>
      <family val="2"/>
      <charset val="204"/>
    </font>
    <font>
      <sz val="22"/>
      <color rgb="FF0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9" fillId="0" borderId="0" applyFont="0" applyFill="0" applyBorder="0" applyAlignment="0" applyProtection="0"/>
  </cellStyleXfs>
  <cellXfs count="688">
    <xf numFmtId="0" fontId="0" fillId="0" borderId="0" xfId="0"/>
    <xf numFmtId="0" fontId="0" fillId="0" borderId="0" xfId="0" applyFill="1"/>
    <xf numFmtId="0" fontId="0" fillId="0" borderId="0" xfId="0" applyBorder="1"/>
    <xf numFmtId="0" fontId="5" fillId="2" borderId="0" xfId="0" applyFont="1" applyFill="1" applyBorder="1" applyAlignment="1"/>
    <xf numFmtId="0" fontId="15" fillId="0" borderId="0" xfId="0" applyFont="1"/>
    <xf numFmtId="0" fontId="10" fillId="0" borderId="0" xfId="0" applyFont="1"/>
    <xf numFmtId="0" fontId="10" fillId="0" borderId="0" xfId="0" applyFont="1" applyFill="1"/>
    <xf numFmtId="0" fontId="10" fillId="0" borderId="0" xfId="0" applyFont="1" applyBorder="1"/>
    <xf numFmtId="0" fontId="1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7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Border="1"/>
    <xf numFmtId="0" fontId="10" fillId="0" borderId="0" xfId="0" applyFont="1" applyAlignment="1"/>
    <xf numFmtId="0" fontId="18" fillId="4" borderId="0" xfId="0" applyFont="1" applyFill="1" applyBorder="1" applyAlignment="1">
      <alignment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1" fillId="0" borderId="0" xfId="0" applyFont="1" applyAlignment="1"/>
    <xf numFmtId="0" fontId="13" fillId="0" borderId="0" xfId="0" applyFont="1" applyFill="1"/>
    <xf numFmtId="0" fontId="13" fillId="0" borderId="13" xfId="0" applyFont="1" applyFill="1" applyBorder="1"/>
    <xf numFmtId="0" fontId="7" fillId="3" borderId="13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10" fillId="0" borderId="23" xfId="0" applyFont="1" applyFill="1" applyBorder="1"/>
    <xf numFmtId="0" fontId="20" fillId="0" borderId="13" xfId="0" applyFont="1" applyFill="1" applyBorder="1"/>
    <xf numFmtId="0" fontId="14" fillId="3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center" vertical="justify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top" wrapText="1"/>
    </xf>
    <xf numFmtId="0" fontId="14" fillId="4" borderId="4" xfId="0" applyFont="1" applyFill="1" applyBorder="1" applyAlignment="1">
      <alignment horizontal="center" vertical="top" wrapText="1"/>
    </xf>
    <xf numFmtId="0" fontId="14" fillId="4" borderId="15" xfId="0" applyFont="1" applyFill="1" applyBorder="1" applyAlignment="1">
      <alignment horizontal="center" vertical="justify" wrapText="1"/>
    </xf>
    <xf numFmtId="0" fontId="22" fillId="0" borderId="19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2" fillId="0" borderId="6" xfId="0" applyFont="1" applyFill="1" applyBorder="1" applyAlignment="1">
      <alignment horizontal="center" vertical="top" wrapText="1"/>
    </xf>
    <xf numFmtId="0" fontId="22" fillId="0" borderId="3" xfId="0" applyFont="1" applyFill="1" applyBorder="1" applyAlignment="1">
      <alignment horizontal="center" vertical="top" wrapText="1"/>
    </xf>
    <xf numFmtId="0" fontId="22" fillId="0" borderId="9" xfId="0" applyFont="1" applyFill="1" applyBorder="1" applyAlignment="1">
      <alignment horizontal="center" vertical="justify" wrapText="1"/>
    </xf>
    <xf numFmtId="0" fontId="22" fillId="0" borderId="0" xfId="0" applyFont="1" applyFill="1" applyBorder="1" applyAlignment="1"/>
    <xf numFmtId="0" fontId="22" fillId="0" borderId="12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5" xfId="0" applyFont="1" applyFill="1" applyBorder="1" applyAlignment="1">
      <alignment horizontal="center" vertical="justify" wrapText="1"/>
    </xf>
    <xf numFmtId="0" fontId="22" fillId="0" borderId="8" xfId="0" applyFont="1" applyFill="1" applyBorder="1" applyAlignment="1">
      <alignment horizontal="center" vertical="top" wrapText="1"/>
    </xf>
    <xf numFmtId="0" fontId="22" fillId="0" borderId="38" xfId="0" applyFont="1" applyFill="1" applyBorder="1" applyAlignment="1">
      <alignment horizontal="center" vertical="justify" wrapText="1"/>
    </xf>
    <xf numFmtId="0" fontId="21" fillId="0" borderId="13" xfId="0" applyFont="1" applyFill="1" applyBorder="1"/>
    <xf numFmtId="0" fontId="22" fillId="3" borderId="13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top" wrapText="1"/>
    </xf>
    <xf numFmtId="0" fontId="22" fillId="4" borderId="3" xfId="0" applyFont="1" applyFill="1" applyBorder="1" applyAlignment="1">
      <alignment horizontal="center" vertical="top" wrapText="1"/>
    </xf>
    <xf numFmtId="0" fontId="22" fillId="4" borderId="9" xfId="0" applyFont="1" applyFill="1" applyBorder="1" applyAlignment="1">
      <alignment horizontal="center" vertical="justify" wrapText="1"/>
    </xf>
    <xf numFmtId="0" fontId="21" fillId="0" borderId="0" xfId="0" applyFont="1" applyFill="1"/>
    <xf numFmtId="0" fontId="21" fillId="0" borderId="0" xfId="0" applyFont="1" applyFill="1" applyBorder="1"/>
    <xf numFmtId="0" fontId="22" fillId="0" borderId="13" xfId="0" applyFont="1" applyFill="1" applyBorder="1" applyAlignment="1">
      <alignment horizontal="center" vertical="center"/>
    </xf>
    <xf numFmtId="0" fontId="21" fillId="4" borderId="0" xfId="0" applyFont="1" applyFill="1"/>
    <xf numFmtId="0" fontId="21" fillId="4" borderId="0" xfId="0" applyFont="1" applyFill="1" applyBorder="1"/>
    <xf numFmtId="0" fontId="21" fillId="4" borderId="13" xfId="0" applyFont="1" applyFill="1" applyBorder="1"/>
    <xf numFmtId="0" fontId="22" fillId="4" borderId="13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top" wrapText="1"/>
    </xf>
    <xf numFmtId="0" fontId="22" fillId="4" borderId="4" xfId="0" applyFont="1" applyFill="1" applyBorder="1" applyAlignment="1">
      <alignment horizontal="center" vertical="top" wrapText="1"/>
    </xf>
    <xf numFmtId="0" fontId="22" fillId="4" borderId="15" xfId="0" applyFont="1" applyFill="1" applyBorder="1" applyAlignment="1">
      <alignment horizontal="center" vertical="justify" wrapText="1"/>
    </xf>
    <xf numFmtId="0" fontId="30" fillId="0" borderId="0" xfId="0" applyFont="1" applyFill="1"/>
    <xf numFmtId="0" fontId="30" fillId="0" borderId="13" xfId="0" applyFont="1" applyFill="1" applyBorder="1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Border="1"/>
    <xf numFmtId="0" fontId="21" fillId="0" borderId="0" xfId="0" applyFont="1" applyFill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13" xfId="0" applyFont="1" applyFill="1" applyBorder="1" applyAlignment="1">
      <alignment vertical="center"/>
    </xf>
    <xf numFmtId="0" fontId="33" fillId="0" borderId="0" xfId="0" applyFont="1" applyFill="1"/>
    <xf numFmtId="0" fontId="22" fillId="0" borderId="21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5" xfId="0" applyFont="1" applyFill="1" applyBorder="1" applyAlignment="1">
      <alignment horizontal="center" vertical="justify" wrapText="1"/>
    </xf>
    <xf numFmtId="0" fontId="22" fillId="4" borderId="22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0" fontId="32" fillId="0" borderId="0" xfId="0" applyFont="1"/>
    <xf numFmtId="0" fontId="25" fillId="0" borderId="0" xfId="0" applyFont="1"/>
    <xf numFmtId="0" fontId="21" fillId="0" borderId="0" xfId="0" applyFont="1"/>
    <xf numFmtId="0" fontId="22" fillId="2" borderId="0" xfId="0" applyFont="1" applyFill="1" applyBorder="1" applyAlignment="1"/>
    <xf numFmtId="0" fontId="21" fillId="0" borderId="0" xfId="0" applyFont="1" applyFill="1" applyAlignment="1">
      <alignment horizontal="center"/>
    </xf>
    <xf numFmtId="0" fontId="20" fillId="0" borderId="1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 wrapText="1"/>
    </xf>
    <xf numFmtId="0" fontId="10" fillId="0" borderId="0" xfId="0" applyFont="1" applyFill="1" applyBorder="1"/>
    <xf numFmtId="0" fontId="20" fillId="0" borderId="16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26" xfId="0" applyNumberFormat="1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top" wrapText="1"/>
    </xf>
    <xf numFmtId="0" fontId="7" fillId="3" borderId="25" xfId="0" applyFont="1" applyFill="1" applyBorder="1" applyAlignment="1">
      <alignment horizontal="center" vertical="center"/>
    </xf>
    <xf numFmtId="0" fontId="13" fillId="0" borderId="0" xfId="0" applyFont="1" applyFill="1" applyBorder="1"/>
    <xf numFmtId="0" fontId="39" fillId="0" borderId="0" xfId="0" applyFont="1" applyFill="1"/>
    <xf numFmtId="0" fontId="13" fillId="0" borderId="0" xfId="0" applyFont="1" applyBorder="1"/>
    <xf numFmtId="0" fontId="17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 wrapText="1"/>
    </xf>
    <xf numFmtId="0" fontId="39" fillId="0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21" fillId="0" borderId="0" xfId="0" applyFont="1" applyFill="1" applyAlignment="1"/>
    <xf numFmtId="0" fontId="21" fillId="0" borderId="39" xfId="0" applyFont="1" applyFill="1" applyBorder="1" applyAlignment="1"/>
    <xf numFmtId="0" fontId="11" fillId="0" borderId="14" xfId="0" applyFont="1" applyFill="1" applyBorder="1" applyAlignment="1">
      <alignment horizontal="center" vertical="top" wrapText="1"/>
    </xf>
    <xf numFmtId="0" fontId="20" fillId="0" borderId="36" xfId="0" applyFont="1" applyBorder="1"/>
    <xf numFmtId="0" fontId="20" fillId="0" borderId="43" xfId="0" applyFont="1" applyBorder="1"/>
    <xf numFmtId="0" fontId="20" fillId="0" borderId="44" xfId="0" applyFont="1" applyBorder="1"/>
    <xf numFmtId="0" fontId="17" fillId="4" borderId="13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39" fillId="4" borderId="13" xfId="0" applyFont="1" applyFill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39" fillId="4" borderId="18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40" fillId="4" borderId="14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justify" wrapText="1"/>
    </xf>
    <xf numFmtId="0" fontId="22" fillId="4" borderId="41" xfId="0" applyFont="1" applyFill="1" applyBorder="1" applyAlignment="1">
      <alignment horizontal="center" vertical="top" wrapText="1"/>
    </xf>
    <xf numFmtId="0" fontId="11" fillId="4" borderId="14" xfId="0" applyFont="1" applyFill="1" applyBorder="1" applyAlignment="1">
      <alignment horizontal="center" vertical="top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justify" wrapText="1"/>
    </xf>
    <xf numFmtId="0" fontId="14" fillId="0" borderId="27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40" fillId="4" borderId="19" xfId="0" applyFont="1" applyFill="1" applyBorder="1" applyAlignment="1">
      <alignment horizontal="center" vertical="center" wrapText="1"/>
    </xf>
    <xf numFmtId="0" fontId="39" fillId="4" borderId="25" xfId="0" applyFont="1" applyFill="1" applyBorder="1" applyAlignment="1">
      <alignment horizontal="center" vertical="center" wrapText="1"/>
    </xf>
    <xf numFmtId="0" fontId="39" fillId="4" borderId="28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18" xfId="0" applyFont="1" applyFill="1" applyBorder="1" applyAlignment="1">
      <alignment horizontal="center" vertical="center" wrapText="1"/>
    </xf>
    <xf numFmtId="0" fontId="29" fillId="4" borderId="19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0" fontId="39" fillId="4" borderId="21" xfId="0" applyFont="1" applyFill="1" applyBorder="1" applyAlignment="1">
      <alignment horizontal="center" vertical="center" wrapText="1"/>
    </xf>
    <xf numFmtId="0" fontId="39" fillId="4" borderId="16" xfId="0" applyFont="1" applyFill="1" applyBorder="1" applyAlignment="1">
      <alignment horizontal="center" vertical="center" wrapText="1"/>
    </xf>
    <xf numFmtId="0" fontId="39" fillId="4" borderId="17" xfId="0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top" wrapText="1"/>
    </xf>
    <xf numFmtId="0" fontId="29" fillId="0" borderId="4" xfId="0" applyFont="1" applyFill="1" applyBorder="1" applyAlignment="1">
      <alignment horizontal="center" vertical="top" wrapText="1"/>
    </xf>
    <xf numFmtId="0" fontId="29" fillId="0" borderId="15" xfId="0" applyFont="1" applyFill="1" applyBorder="1" applyAlignment="1">
      <alignment horizontal="center" vertical="justify" wrapText="1"/>
    </xf>
    <xf numFmtId="0" fontId="39" fillId="4" borderId="30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20" fillId="0" borderId="33" xfId="0" applyFont="1" applyBorder="1"/>
    <xf numFmtId="0" fontId="11" fillId="0" borderId="17" xfId="0" applyFont="1" applyFill="1" applyBorder="1" applyAlignment="1">
      <alignment horizontal="center" vertical="top" wrapText="1"/>
    </xf>
    <xf numFmtId="0" fontId="30" fillId="4" borderId="48" xfId="0" applyFont="1" applyFill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top" wrapText="1"/>
    </xf>
    <xf numFmtId="0" fontId="42" fillId="4" borderId="18" xfId="0" applyFont="1" applyFill="1" applyBorder="1" applyAlignment="1">
      <alignment horizontal="left" vertical="center" wrapText="1"/>
    </xf>
    <xf numFmtId="0" fontId="39" fillId="4" borderId="29" xfId="0" applyFont="1" applyFill="1" applyBorder="1" applyAlignment="1">
      <alignment horizontal="center" vertical="center" wrapText="1"/>
    </xf>
    <xf numFmtId="0" fontId="29" fillId="4" borderId="26" xfId="0" applyNumberFormat="1" applyFont="1" applyFill="1" applyBorder="1" applyAlignment="1">
      <alignment horizontal="center" vertical="center" wrapText="1"/>
    </xf>
    <xf numFmtId="0" fontId="40" fillId="4" borderId="16" xfId="0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top" wrapText="1"/>
    </xf>
    <xf numFmtId="0" fontId="11" fillId="0" borderId="51" xfId="0" applyFont="1" applyFill="1" applyBorder="1" applyAlignment="1">
      <alignment horizontal="center" vertical="top" wrapText="1"/>
    </xf>
    <xf numFmtId="0" fontId="11" fillId="4" borderId="51" xfId="0" applyFont="1" applyFill="1" applyBorder="1" applyAlignment="1">
      <alignment horizontal="center" vertical="top" wrapText="1"/>
    </xf>
    <xf numFmtId="0" fontId="11" fillId="0" borderId="58" xfId="0" applyFont="1" applyFill="1" applyBorder="1" applyAlignment="1">
      <alignment horizontal="center" vertical="top" wrapText="1"/>
    </xf>
    <xf numFmtId="0" fontId="30" fillId="4" borderId="1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top" wrapText="1"/>
    </xf>
    <xf numFmtId="0" fontId="29" fillId="4" borderId="4" xfId="0" applyFont="1" applyFill="1" applyBorder="1" applyAlignment="1">
      <alignment horizontal="center" vertical="top" wrapText="1"/>
    </xf>
    <xf numFmtId="0" fontId="29" fillId="4" borderId="15" xfId="0" applyFont="1" applyFill="1" applyBorder="1" applyAlignment="1">
      <alignment horizontal="center" vertical="justify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center" vertical="justify" wrapText="1"/>
    </xf>
    <xf numFmtId="0" fontId="20" fillId="0" borderId="0" xfId="0" applyFont="1" applyFill="1"/>
    <xf numFmtId="0" fontId="20" fillId="0" borderId="0" xfId="0" applyFont="1"/>
    <xf numFmtId="0" fontId="39" fillId="4" borderId="2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left" vertical="center"/>
    </xf>
    <xf numFmtId="0" fontId="22" fillId="8" borderId="13" xfId="0" applyFont="1" applyFill="1" applyBorder="1" applyAlignment="1">
      <alignment horizontal="center" vertical="center"/>
    </xf>
    <xf numFmtId="0" fontId="17" fillId="4" borderId="47" xfId="0" applyFont="1" applyFill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46" fillId="0" borderId="0" xfId="0" applyFont="1" applyAlignment="1"/>
    <xf numFmtId="0" fontId="46" fillId="0" borderId="0" xfId="0" applyFont="1" applyAlignment="1">
      <alignment vertical="center"/>
    </xf>
    <xf numFmtId="0" fontId="40" fillId="7" borderId="14" xfId="0" applyFont="1" applyFill="1" applyBorder="1" applyAlignment="1">
      <alignment horizontal="center" vertical="center" wrapText="1"/>
    </xf>
    <xf numFmtId="0" fontId="40" fillId="7" borderId="13" xfId="0" applyFont="1" applyFill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center" vertical="center" wrapText="1"/>
    </xf>
    <xf numFmtId="0" fontId="42" fillId="4" borderId="18" xfId="0" applyFont="1" applyFill="1" applyBorder="1" applyAlignment="1">
      <alignment horizontal="center" vertical="center" wrapText="1"/>
    </xf>
    <xf numFmtId="0" fontId="42" fillId="4" borderId="13" xfId="0" applyFont="1" applyFill="1" applyBorder="1" applyAlignment="1">
      <alignment horizontal="center" vertical="center" wrapText="1"/>
    </xf>
    <xf numFmtId="0" fontId="22" fillId="10" borderId="13" xfId="0" applyFont="1" applyFill="1" applyBorder="1" applyAlignment="1">
      <alignment horizontal="center" vertical="center"/>
    </xf>
    <xf numFmtId="0" fontId="40" fillId="7" borderId="19" xfId="0" applyFont="1" applyFill="1" applyBorder="1" applyAlignment="1">
      <alignment horizontal="center" vertical="center" wrapText="1"/>
    </xf>
    <xf numFmtId="0" fontId="42" fillId="4" borderId="16" xfId="0" applyFont="1" applyFill="1" applyBorder="1" applyAlignment="1">
      <alignment horizontal="center" vertical="center" wrapText="1"/>
    </xf>
    <xf numFmtId="0" fontId="39" fillId="4" borderId="27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39" fillId="4" borderId="59" xfId="0" applyFont="1" applyFill="1" applyBorder="1" applyAlignment="1">
      <alignment horizontal="center" vertical="center" wrapText="1"/>
    </xf>
    <xf numFmtId="0" fontId="33" fillId="0" borderId="0" xfId="0" applyFont="1"/>
    <xf numFmtId="0" fontId="38" fillId="0" borderId="0" xfId="0" applyFont="1" applyAlignment="1">
      <alignment vertical="center"/>
    </xf>
    <xf numFmtId="0" fontId="17" fillId="4" borderId="46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 wrapText="1"/>
    </xf>
    <xf numFmtId="0" fontId="30" fillId="4" borderId="29" xfId="0" applyFont="1" applyFill="1" applyBorder="1" applyAlignment="1">
      <alignment horizontal="center" vertical="center" wrapText="1"/>
    </xf>
    <xf numFmtId="0" fontId="40" fillId="7" borderId="18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left" vertical="center"/>
    </xf>
    <xf numFmtId="0" fontId="42" fillId="4" borderId="22" xfId="0" applyFont="1" applyFill="1" applyBorder="1" applyAlignment="1">
      <alignment horizontal="left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37" fillId="5" borderId="14" xfId="0" applyFont="1" applyFill="1" applyBorder="1" applyAlignment="1">
      <alignment horizontal="left" vertical="center" wrapText="1"/>
    </xf>
    <xf numFmtId="0" fontId="37" fillId="5" borderId="14" xfId="0" applyFont="1" applyFill="1" applyBorder="1" applyAlignment="1">
      <alignment horizontal="left" vertical="center"/>
    </xf>
    <xf numFmtId="0" fontId="42" fillId="4" borderId="13" xfId="0" applyFont="1" applyFill="1" applyBorder="1" applyAlignment="1">
      <alignment horizontal="left" vertical="center"/>
    </xf>
    <xf numFmtId="0" fontId="42" fillId="4" borderId="13" xfId="0" applyFont="1" applyFill="1" applyBorder="1" applyAlignment="1">
      <alignment horizontal="left" vertical="center" wrapText="1"/>
    </xf>
    <xf numFmtId="0" fontId="42" fillId="4" borderId="19" xfId="0" applyFont="1" applyFill="1" applyBorder="1" applyAlignment="1">
      <alignment horizontal="left" vertical="center" wrapText="1"/>
    </xf>
    <xf numFmtId="0" fontId="37" fillId="5" borderId="27" xfId="0" applyFont="1" applyFill="1" applyBorder="1" applyAlignment="1">
      <alignment horizontal="left" vertical="center" wrapText="1"/>
    </xf>
    <xf numFmtId="0" fontId="37" fillId="4" borderId="13" xfId="0" applyFont="1" applyFill="1" applyBorder="1" applyAlignment="1">
      <alignment horizontal="left" vertical="center" wrapText="1"/>
    </xf>
    <xf numFmtId="0" fontId="37" fillId="0" borderId="13" xfId="0" applyFont="1" applyFill="1" applyBorder="1" applyAlignment="1">
      <alignment horizontal="left" vertical="center"/>
    </xf>
    <xf numFmtId="0" fontId="37" fillId="5" borderId="13" xfId="0" applyFont="1" applyFill="1" applyBorder="1" applyAlignment="1">
      <alignment horizontal="left" vertical="center" wrapText="1"/>
    </xf>
    <xf numFmtId="0" fontId="37" fillId="5" borderId="19" xfId="0" applyFont="1" applyFill="1" applyBorder="1" applyAlignment="1">
      <alignment horizontal="left" vertical="center" wrapText="1"/>
    </xf>
    <xf numFmtId="0" fontId="42" fillId="4" borderId="19" xfId="0" applyFont="1" applyFill="1" applyBorder="1" applyAlignment="1">
      <alignment horizontal="left" vertical="center"/>
    </xf>
    <xf numFmtId="0" fontId="49" fillId="0" borderId="13" xfId="0" applyFont="1" applyBorder="1"/>
    <xf numFmtId="0" fontId="37" fillId="0" borderId="13" xfId="0" applyFont="1" applyFill="1" applyBorder="1" applyAlignment="1">
      <alignment horizontal="left" vertical="center" wrapText="1"/>
    </xf>
    <xf numFmtId="0" fontId="37" fillId="5" borderId="13" xfId="0" applyFont="1" applyFill="1" applyBorder="1" applyAlignment="1">
      <alignment vertical="center" wrapText="1"/>
    </xf>
    <xf numFmtId="0" fontId="42" fillId="0" borderId="19" xfId="0" applyFont="1" applyFill="1" applyBorder="1" applyAlignment="1">
      <alignment horizontal="left" vertical="center"/>
    </xf>
    <xf numFmtId="0" fontId="30" fillId="4" borderId="20" xfId="0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 wrapText="1"/>
    </xf>
    <xf numFmtId="0" fontId="37" fillId="5" borderId="25" xfId="0" applyFont="1" applyFill="1" applyBorder="1" applyAlignment="1">
      <alignment horizontal="left" vertical="center"/>
    </xf>
    <xf numFmtId="0" fontId="37" fillId="5" borderId="28" xfId="0" applyFont="1" applyFill="1" applyBorder="1" applyAlignment="1">
      <alignment vertical="center" wrapText="1"/>
    </xf>
    <xf numFmtId="0" fontId="49" fillId="0" borderId="26" xfId="0" applyFont="1" applyBorder="1"/>
    <xf numFmtId="0" fontId="42" fillId="4" borderId="26" xfId="0" applyFont="1" applyFill="1" applyBorder="1" applyAlignment="1">
      <alignment horizontal="left" vertical="center"/>
    </xf>
    <xf numFmtId="0" fontId="42" fillId="4" borderId="26" xfId="0" applyFont="1" applyFill="1" applyBorder="1" applyAlignment="1">
      <alignment horizontal="left" vertical="center" wrapText="1"/>
    </xf>
    <xf numFmtId="0" fontId="42" fillId="4" borderId="30" xfId="0" applyFont="1" applyFill="1" applyBorder="1" applyAlignment="1">
      <alignment horizontal="left" vertical="center"/>
    </xf>
    <xf numFmtId="0" fontId="37" fillId="5" borderId="17" xfId="0" applyFont="1" applyFill="1" applyBorder="1" applyAlignment="1">
      <alignment horizontal="left" vertical="center" wrapText="1"/>
    </xf>
    <xf numFmtId="0" fontId="50" fillId="0" borderId="13" xfId="0" applyFont="1" applyBorder="1" applyAlignment="1">
      <alignment vertical="center"/>
    </xf>
    <xf numFmtId="0" fontId="50" fillId="0" borderId="21" xfId="0" applyFont="1" applyBorder="1" applyAlignment="1">
      <alignment vertical="center"/>
    </xf>
    <xf numFmtId="0" fontId="37" fillId="4" borderId="21" xfId="0" applyFont="1" applyFill="1" applyBorder="1" applyAlignment="1">
      <alignment horizontal="left" vertical="center" wrapText="1"/>
    </xf>
    <xf numFmtId="0" fontId="42" fillId="4" borderId="14" xfId="0" applyFont="1" applyFill="1" applyBorder="1" applyAlignment="1">
      <alignment horizontal="center" vertical="center" wrapText="1"/>
    </xf>
    <xf numFmtId="0" fontId="42" fillId="4" borderId="17" xfId="0" applyFont="1" applyFill="1" applyBorder="1" applyAlignment="1">
      <alignment horizontal="center" vertical="center" wrapText="1"/>
    </xf>
    <xf numFmtId="0" fontId="42" fillId="4" borderId="19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15" xfId="0" applyFont="1" applyFill="1" applyBorder="1" applyAlignment="1">
      <alignment horizontal="center" vertical="justify" wrapText="1"/>
    </xf>
    <xf numFmtId="0" fontId="5" fillId="4" borderId="12" xfId="0" applyFont="1" applyFill="1" applyBorder="1" applyAlignment="1">
      <alignment horizontal="center" vertical="top" wrapText="1"/>
    </xf>
    <xf numFmtId="0" fontId="51" fillId="6" borderId="19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52" fillId="0" borderId="13" xfId="0" applyFont="1" applyFill="1" applyBorder="1" applyAlignment="1">
      <alignment horizontal="center" vertical="center" wrapText="1"/>
    </xf>
    <xf numFmtId="0" fontId="52" fillId="0" borderId="25" xfId="0" applyFont="1" applyFill="1" applyBorder="1" applyAlignment="1">
      <alignment horizontal="center" vertical="center" wrapText="1"/>
    </xf>
    <xf numFmtId="0" fontId="52" fillId="0" borderId="25" xfId="0" applyFont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right"/>
    </xf>
    <xf numFmtId="0" fontId="53" fillId="0" borderId="0" xfId="0" applyFont="1"/>
    <xf numFmtId="0" fontId="53" fillId="6" borderId="0" xfId="0" applyFont="1" applyFill="1"/>
    <xf numFmtId="0" fontId="29" fillId="4" borderId="30" xfId="0" applyNumberFormat="1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7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0" fontId="23" fillId="4" borderId="29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23" fillId="7" borderId="14" xfId="0" applyFont="1" applyFill="1" applyBorder="1" applyAlignment="1">
      <alignment horizontal="center" vertical="center" wrapText="1"/>
    </xf>
    <xf numFmtId="0" fontId="54" fillId="4" borderId="20" xfId="0" applyFont="1" applyFill="1" applyBorder="1" applyAlignment="1">
      <alignment horizontal="center" vertical="center"/>
    </xf>
    <xf numFmtId="0" fontId="54" fillId="4" borderId="21" xfId="0" applyFont="1" applyFill="1" applyBorder="1" applyAlignment="1">
      <alignment horizontal="center" vertical="center"/>
    </xf>
    <xf numFmtId="0" fontId="22" fillId="4" borderId="21" xfId="0" applyNumberFormat="1" applyFont="1" applyFill="1" applyBorder="1" applyAlignment="1">
      <alignment horizontal="center" vertical="center" wrapText="1"/>
    </xf>
    <xf numFmtId="0" fontId="22" fillId="4" borderId="22" xfId="0" applyNumberFormat="1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 vertical="center" wrapText="1"/>
    </xf>
    <xf numFmtId="0" fontId="23" fillId="7" borderId="25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23" fillId="7" borderId="16" xfId="0" applyFont="1" applyFill="1" applyBorder="1" applyAlignment="1">
      <alignment horizontal="center" vertical="center" wrapText="1"/>
    </xf>
    <xf numFmtId="0" fontId="23" fillId="7" borderId="18" xfId="0" applyFont="1" applyFill="1" applyBorder="1" applyAlignment="1">
      <alignment horizontal="center" vertical="center" wrapText="1"/>
    </xf>
    <xf numFmtId="0" fontId="23" fillId="7" borderId="19" xfId="0" applyFont="1" applyFill="1" applyBorder="1" applyAlignment="1">
      <alignment horizontal="center" vertical="center" wrapText="1"/>
    </xf>
    <xf numFmtId="0" fontId="15" fillId="0" borderId="0" xfId="0" applyFont="1" applyFill="1"/>
    <xf numFmtId="0" fontId="23" fillId="4" borderId="17" xfId="0" applyFont="1" applyFill="1" applyBorder="1" applyAlignment="1">
      <alignment horizontal="center" vertical="center" wrapText="1"/>
    </xf>
    <xf numFmtId="0" fontId="30" fillId="7" borderId="19" xfId="0" applyFont="1" applyFill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1" fillId="0" borderId="1" xfId="0" applyFont="1" applyFill="1" applyBorder="1"/>
    <xf numFmtId="0" fontId="22" fillId="4" borderId="14" xfId="0" applyFont="1" applyFill="1" applyBorder="1" applyAlignment="1">
      <alignment horizontal="center" vertical="center"/>
    </xf>
    <xf numFmtId="0" fontId="0" fillId="0" borderId="11" xfId="0" applyBorder="1"/>
    <xf numFmtId="0" fontId="21" fillId="0" borderId="5" xfId="0" applyFont="1" applyFill="1" applyBorder="1"/>
    <xf numFmtId="0" fontId="22" fillId="4" borderId="21" xfId="0" applyFont="1" applyFill="1" applyBorder="1" applyAlignment="1">
      <alignment horizontal="center" vertical="center"/>
    </xf>
    <xf numFmtId="0" fontId="0" fillId="0" borderId="61" xfId="0" applyBorder="1"/>
    <xf numFmtId="0" fontId="22" fillId="4" borderId="6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justify" wrapText="1"/>
    </xf>
    <xf numFmtId="0" fontId="19" fillId="0" borderId="13" xfId="0" applyFont="1" applyBorder="1" applyAlignment="1">
      <alignment horizontal="center" vertical="center" wrapText="1"/>
    </xf>
    <xf numFmtId="0" fontId="21" fillId="4" borderId="60" xfId="0" applyFont="1" applyFill="1" applyBorder="1" applyAlignment="1">
      <alignment horizontal="center" vertical="center" wrapText="1"/>
    </xf>
    <xf numFmtId="0" fontId="53" fillId="6" borderId="0" xfId="0" applyFont="1" applyFill="1" applyAlignment="1">
      <alignment horizontal="right" vertical="center"/>
    </xf>
    <xf numFmtId="0" fontId="30" fillId="4" borderId="13" xfId="0" applyFont="1" applyFill="1" applyBorder="1"/>
    <xf numFmtId="0" fontId="22" fillId="4" borderId="59" xfId="0" applyFont="1" applyFill="1" applyBorder="1" applyAlignment="1">
      <alignment horizontal="center" vertical="center"/>
    </xf>
    <xf numFmtId="0" fontId="22" fillId="4" borderId="60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left" vertical="center"/>
    </xf>
    <xf numFmtId="0" fontId="21" fillId="4" borderId="14" xfId="0" applyFont="1" applyFill="1" applyBorder="1" applyAlignment="1">
      <alignment horizontal="left" vertical="center"/>
    </xf>
    <xf numFmtId="0" fontId="21" fillId="4" borderId="21" xfId="0" applyFont="1" applyFill="1" applyBorder="1" applyAlignment="1">
      <alignment horizontal="left" vertical="center"/>
    </xf>
    <xf numFmtId="0" fontId="21" fillId="4" borderId="25" xfId="0" applyFont="1" applyFill="1" applyBorder="1" applyAlignment="1">
      <alignment horizontal="left" vertical="center"/>
    </xf>
    <xf numFmtId="0" fontId="53" fillId="6" borderId="18" xfId="0" applyFont="1" applyFill="1" applyBorder="1" applyAlignment="1">
      <alignment horizontal="center" vertical="center" wrapText="1"/>
    </xf>
    <xf numFmtId="0" fontId="57" fillId="6" borderId="13" xfId="0" applyFont="1" applyFill="1" applyBorder="1" applyAlignment="1">
      <alignment horizontal="center" vertical="center" wrapText="1"/>
    </xf>
    <xf numFmtId="0" fontId="53" fillId="6" borderId="13" xfId="0" applyFont="1" applyFill="1" applyBorder="1" applyAlignment="1">
      <alignment horizontal="center" vertical="center" wrapText="1"/>
    </xf>
    <xf numFmtId="0" fontId="53" fillId="6" borderId="19" xfId="0" applyFont="1" applyFill="1" applyBorder="1" applyAlignment="1">
      <alignment horizontal="center" vertical="center" wrapText="1"/>
    </xf>
    <xf numFmtId="0" fontId="53" fillId="4" borderId="18" xfId="0" applyFont="1" applyFill="1" applyBorder="1" applyAlignment="1">
      <alignment horizontal="center" vertical="center" wrapText="1"/>
    </xf>
    <xf numFmtId="0" fontId="53" fillId="7" borderId="13" xfId="0" applyFont="1" applyFill="1" applyBorder="1" applyAlignment="1">
      <alignment horizontal="center" vertical="center" wrapText="1"/>
    </xf>
    <xf numFmtId="0" fontId="38" fillId="4" borderId="13" xfId="0" applyFont="1" applyFill="1" applyBorder="1" applyAlignment="1">
      <alignment horizontal="center" vertical="center" wrapText="1"/>
    </xf>
    <xf numFmtId="0" fontId="53" fillId="4" borderId="13" xfId="0" applyFont="1" applyFill="1" applyBorder="1" applyAlignment="1">
      <alignment horizontal="center" vertical="center" wrapText="1"/>
    </xf>
    <xf numFmtId="0" fontId="53" fillId="4" borderId="19" xfId="0" applyFont="1" applyFill="1" applyBorder="1" applyAlignment="1">
      <alignment horizontal="center" vertical="center" wrapText="1"/>
    </xf>
    <xf numFmtId="0" fontId="38" fillId="4" borderId="19" xfId="0" applyFont="1" applyFill="1" applyBorder="1" applyAlignment="1">
      <alignment horizontal="center" vertical="center" wrapText="1"/>
    </xf>
    <xf numFmtId="0" fontId="38" fillId="4" borderId="16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56" fillId="4" borderId="14" xfId="0" applyFont="1" applyFill="1" applyBorder="1" applyAlignment="1">
      <alignment horizontal="center" vertical="center" wrapText="1"/>
    </xf>
    <xf numFmtId="0" fontId="53" fillId="6" borderId="14" xfId="0" applyFont="1" applyFill="1" applyBorder="1" applyAlignment="1">
      <alignment horizontal="center" vertical="center" wrapText="1"/>
    </xf>
    <xf numFmtId="0" fontId="38" fillId="4" borderId="17" xfId="0" applyFont="1" applyFill="1" applyBorder="1" applyAlignment="1">
      <alignment horizontal="center" vertical="center" wrapText="1"/>
    </xf>
    <xf numFmtId="0" fontId="38" fillId="4" borderId="18" xfId="0" applyFont="1" applyFill="1" applyBorder="1" applyAlignment="1">
      <alignment horizontal="center" vertical="center" wrapText="1"/>
    </xf>
    <xf numFmtId="0" fontId="56" fillId="4" borderId="13" xfId="0" applyFont="1" applyFill="1" applyBorder="1" applyAlignment="1">
      <alignment horizontal="center" vertical="center" wrapText="1"/>
    </xf>
    <xf numFmtId="0" fontId="53" fillId="7" borderId="14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4" borderId="43" xfId="0" applyFont="1" applyFill="1" applyBorder="1" applyAlignment="1">
      <alignment horizontal="center" vertical="center" wrapText="1"/>
    </xf>
    <xf numFmtId="0" fontId="42" fillId="4" borderId="44" xfId="0" applyFont="1" applyFill="1" applyBorder="1" applyAlignment="1">
      <alignment horizontal="center" vertical="center" wrapText="1"/>
    </xf>
    <xf numFmtId="0" fontId="40" fillId="7" borderId="17" xfId="0" applyFont="1" applyFill="1" applyBorder="1" applyAlignment="1">
      <alignment horizontal="center" vertical="center" wrapText="1"/>
    </xf>
    <xf numFmtId="0" fontId="40" fillId="4" borderId="20" xfId="0" applyFont="1" applyFill="1" applyBorder="1" applyAlignment="1">
      <alignment horizontal="center" vertical="center" wrapText="1"/>
    </xf>
    <xf numFmtId="0" fontId="57" fillId="4" borderId="48" xfId="0" applyFont="1" applyFill="1" applyBorder="1" applyAlignment="1">
      <alignment horizontal="center" vertical="center" wrapText="1"/>
    </xf>
    <xf numFmtId="0" fontId="57" fillId="4" borderId="43" xfId="0" applyFont="1" applyFill="1" applyBorder="1" applyAlignment="1">
      <alignment horizontal="center" vertical="center" wrapText="1"/>
    </xf>
    <xf numFmtId="0" fontId="57" fillId="4" borderId="44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center" vertical="center" wrapText="1"/>
    </xf>
    <xf numFmtId="0" fontId="42" fillId="4" borderId="26" xfId="0" applyFont="1" applyFill="1" applyBorder="1" applyAlignment="1">
      <alignment horizontal="center" vertical="center" wrapText="1"/>
    </xf>
    <xf numFmtId="0" fontId="42" fillId="4" borderId="30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42" fillId="8" borderId="14" xfId="0" applyFont="1" applyFill="1" applyBorder="1" applyAlignment="1">
      <alignment horizontal="center" vertical="center" wrapText="1"/>
    </xf>
    <xf numFmtId="0" fontId="42" fillId="8" borderId="17" xfId="0" applyFont="1" applyFill="1" applyBorder="1" applyAlignment="1">
      <alignment horizontal="center" vertical="center" wrapText="1"/>
    </xf>
    <xf numFmtId="0" fontId="40" fillId="8" borderId="18" xfId="0" applyFont="1" applyFill="1" applyBorder="1" applyAlignment="1">
      <alignment horizontal="center" vertical="center" wrapText="1"/>
    </xf>
    <xf numFmtId="0" fontId="42" fillId="8" borderId="13" xfId="0" applyFont="1" applyFill="1" applyBorder="1" applyAlignment="1">
      <alignment horizontal="center" vertical="center" wrapText="1"/>
    </xf>
    <xf numFmtId="0" fontId="42" fillId="8" borderId="19" xfId="0" applyFont="1" applyFill="1" applyBorder="1" applyAlignment="1">
      <alignment horizontal="center" vertical="center" wrapText="1"/>
    </xf>
    <xf numFmtId="0" fontId="40" fillId="9" borderId="13" xfId="0" applyFont="1" applyFill="1" applyBorder="1" applyAlignment="1">
      <alignment horizontal="center" vertical="center" wrapText="1"/>
    </xf>
    <xf numFmtId="0" fontId="39" fillId="8" borderId="13" xfId="0" applyFont="1" applyFill="1" applyBorder="1" applyAlignment="1">
      <alignment horizontal="center" vertical="center" wrapText="1"/>
    </xf>
    <xf numFmtId="0" fontId="40" fillId="8" borderId="13" xfId="0" applyFont="1" applyFill="1" applyBorder="1" applyAlignment="1">
      <alignment horizontal="center" vertical="center" wrapText="1"/>
    </xf>
    <xf numFmtId="0" fontId="40" fillId="9" borderId="19" xfId="0" applyFont="1" applyFill="1" applyBorder="1" applyAlignment="1">
      <alignment horizontal="center" vertical="center" wrapText="1"/>
    </xf>
    <xf numFmtId="0" fontId="42" fillId="8" borderId="20" xfId="0" applyFont="1" applyFill="1" applyBorder="1" applyAlignment="1">
      <alignment horizontal="center" vertical="center" wrapText="1"/>
    </xf>
    <xf numFmtId="0" fontId="42" fillId="8" borderId="21" xfId="0" applyFont="1" applyFill="1" applyBorder="1" applyAlignment="1">
      <alignment horizontal="center" vertical="center" wrapText="1"/>
    </xf>
    <xf numFmtId="0" fontId="42" fillId="8" borderId="22" xfId="0" applyFont="1" applyFill="1" applyBorder="1" applyAlignment="1">
      <alignment horizontal="center" vertical="center" wrapText="1"/>
    </xf>
    <xf numFmtId="0" fontId="39" fillId="8" borderId="16" xfId="0" applyFont="1" applyFill="1" applyBorder="1" applyAlignment="1">
      <alignment horizontal="center" vertical="center" wrapText="1"/>
    </xf>
    <xf numFmtId="0" fontId="39" fillId="8" borderId="18" xfId="0" applyFont="1" applyFill="1" applyBorder="1" applyAlignment="1">
      <alignment horizontal="center" vertical="center" wrapText="1"/>
    </xf>
    <xf numFmtId="0" fontId="39" fillId="8" borderId="19" xfId="0" applyFont="1" applyFill="1" applyBorder="1" applyAlignment="1">
      <alignment horizontal="center" vertical="center" wrapText="1"/>
    </xf>
    <xf numFmtId="0" fontId="29" fillId="8" borderId="20" xfId="0" applyFont="1" applyFill="1" applyBorder="1" applyAlignment="1">
      <alignment horizontal="center" vertical="center" wrapText="1"/>
    </xf>
    <xf numFmtId="0" fontId="29" fillId="8" borderId="21" xfId="0" applyFont="1" applyFill="1" applyBorder="1" applyAlignment="1">
      <alignment horizontal="center" vertical="center" wrapText="1"/>
    </xf>
    <xf numFmtId="0" fontId="29" fillId="8" borderId="22" xfId="0" applyFont="1" applyFill="1" applyBorder="1" applyAlignment="1">
      <alignment horizontal="center" vertical="center" wrapText="1"/>
    </xf>
    <xf numFmtId="0" fontId="42" fillId="4" borderId="15" xfId="0" applyFont="1" applyFill="1" applyBorder="1" applyAlignment="1">
      <alignment horizontal="left" vertical="center" wrapText="1"/>
    </xf>
    <xf numFmtId="0" fontId="42" fillId="4" borderId="21" xfId="0" applyFont="1" applyFill="1" applyBorder="1" applyAlignment="1">
      <alignment horizontal="left" vertical="center" wrapText="1"/>
    </xf>
    <xf numFmtId="0" fontId="42" fillId="4" borderId="38" xfId="0" applyFont="1" applyFill="1" applyBorder="1" applyAlignment="1">
      <alignment horizontal="left" vertical="center" wrapText="1"/>
    </xf>
    <xf numFmtId="0" fontId="42" fillId="4" borderId="30" xfId="0" applyFont="1" applyFill="1" applyBorder="1" applyAlignment="1">
      <alignment horizontal="left" vertical="center" wrapText="1"/>
    </xf>
    <xf numFmtId="0" fontId="42" fillId="4" borderId="13" xfId="0" applyFont="1" applyFill="1" applyBorder="1" applyAlignment="1">
      <alignment vertical="center" wrapText="1"/>
    </xf>
    <xf numFmtId="0" fontId="53" fillId="4" borderId="16" xfId="0" applyFont="1" applyFill="1" applyBorder="1" applyAlignment="1">
      <alignment horizontal="center" vertical="center" wrapText="1"/>
    </xf>
    <xf numFmtId="0" fontId="56" fillId="4" borderId="21" xfId="0" applyFont="1" applyFill="1" applyBorder="1" applyAlignment="1">
      <alignment horizontal="center" vertical="center" wrapText="1"/>
    </xf>
    <xf numFmtId="0" fontId="38" fillId="4" borderId="21" xfId="0" applyFont="1" applyFill="1" applyBorder="1" applyAlignment="1">
      <alignment horizontal="center" vertical="center" wrapText="1"/>
    </xf>
    <xf numFmtId="0" fontId="38" fillId="4" borderId="22" xfId="0" applyFont="1" applyFill="1" applyBorder="1" applyAlignment="1">
      <alignment horizontal="center" vertical="center" wrapText="1"/>
    </xf>
    <xf numFmtId="0" fontId="56" fillId="4" borderId="16" xfId="0" applyFont="1" applyFill="1" applyBorder="1" applyAlignment="1">
      <alignment horizontal="center" vertical="center" wrapText="1"/>
    </xf>
    <xf numFmtId="0" fontId="38" fillId="0" borderId="14" xfId="0" applyFont="1" applyFill="1" applyBorder="1" applyAlignment="1">
      <alignment horizontal="center" vertical="center" wrapText="1"/>
    </xf>
    <xf numFmtId="0" fontId="53" fillId="4" borderId="20" xfId="0" applyFont="1" applyFill="1" applyBorder="1" applyAlignment="1">
      <alignment horizontal="center" vertical="center" wrapText="1"/>
    </xf>
    <xf numFmtId="0" fontId="22" fillId="11" borderId="13" xfId="0" applyFont="1" applyFill="1" applyBorder="1" applyAlignment="1">
      <alignment horizontal="center" vertical="center"/>
    </xf>
    <xf numFmtId="0" fontId="22" fillId="11" borderId="59" xfId="0" applyFont="1" applyFill="1" applyBorder="1" applyAlignment="1">
      <alignment horizontal="center" vertical="center"/>
    </xf>
    <xf numFmtId="0" fontId="42" fillId="7" borderId="13" xfId="0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center" vertical="center"/>
    </xf>
    <xf numFmtId="0" fontId="29" fillId="4" borderId="26" xfId="0" applyFont="1" applyFill="1" applyBorder="1" applyAlignment="1">
      <alignment horizontal="center" vertical="center"/>
    </xf>
    <xf numFmtId="0" fontId="40" fillId="4" borderId="27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vertical="center" wrapText="1"/>
    </xf>
    <xf numFmtId="0" fontId="40" fillId="4" borderId="13" xfId="0" applyFont="1" applyFill="1" applyBorder="1" applyAlignment="1">
      <alignment vertical="center" wrapText="1"/>
    </xf>
    <xf numFmtId="0" fontId="40" fillId="4" borderId="19" xfId="0" applyFont="1" applyFill="1" applyBorder="1" applyAlignment="1">
      <alignment vertical="center" wrapText="1"/>
    </xf>
    <xf numFmtId="0" fontId="21" fillId="4" borderId="16" xfId="0" applyFont="1" applyFill="1" applyBorder="1" applyAlignment="1">
      <alignment horizontal="left" vertical="center"/>
    </xf>
    <xf numFmtId="0" fontId="22" fillId="4" borderId="17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left" vertical="center"/>
    </xf>
    <xf numFmtId="0" fontId="22" fillId="4" borderId="22" xfId="0" applyFont="1" applyFill="1" applyBorder="1" applyAlignment="1">
      <alignment horizontal="center" vertical="center"/>
    </xf>
    <xf numFmtId="0" fontId="30" fillId="4" borderId="44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40" fillId="9" borderId="25" xfId="0" applyFont="1" applyFill="1" applyBorder="1" applyAlignment="1">
      <alignment horizontal="center" vertical="center" wrapText="1"/>
    </xf>
    <xf numFmtId="0" fontId="39" fillId="8" borderId="25" xfId="0" applyFont="1" applyFill="1" applyBorder="1" applyAlignment="1">
      <alignment horizontal="center" vertical="center" wrapText="1"/>
    </xf>
    <xf numFmtId="0" fontId="39" fillId="8" borderId="28" xfId="0" applyFont="1" applyFill="1" applyBorder="1" applyAlignment="1">
      <alignment horizontal="center" vertical="center" wrapText="1"/>
    </xf>
    <xf numFmtId="0" fontId="40" fillId="9" borderId="14" xfId="0" applyFont="1" applyFill="1" applyBorder="1" applyAlignment="1">
      <alignment horizontal="center" vertical="center" wrapText="1"/>
    </xf>
    <xf numFmtId="0" fontId="29" fillId="8" borderId="14" xfId="0" applyFont="1" applyFill="1" applyBorder="1" applyAlignment="1">
      <alignment horizontal="center" vertical="center" wrapText="1"/>
    </xf>
    <xf numFmtId="0" fontId="39" fillId="8" borderId="14" xfId="0" applyFont="1" applyFill="1" applyBorder="1" applyAlignment="1">
      <alignment horizontal="center" vertical="center" wrapText="1"/>
    </xf>
    <xf numFmtId="0" fontId="39" fillId="8" borderId="17" xfId="0" applyFont="1" applyFill="1" applyBorder="1" applyAlignment="1">
      <alignment horizontal="center" vertical="center" wrapText="1"/>
    </xf>
    <xf numFmtId="0" fontId="42" fillId="9" borderId="13" xfId="0" applyFont="1" applyFill="1" applyBorder="1" applyAlignment="1">
      <alignment horizontal="center" vertical="center" wrapText="1"/>
    </xf>
    <xf numFmtId="0" fontId="29" fillId="8" borderId="13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40" fillId="4" borderId="19" xfId="0" applyFont="1" applyFill="1" applyBorder="1" applyAlignment="1">
      <alignment horizontal="center" vertical="center" wrapText="1"/>
    </xf>
    <xf numFmtId="0" fontId="42" fillId="8" borderId="16" xfId="0" applyFont="1" applyFill="1" applyBorder="1" applyAlignment="1">
      <alignment horizontal="center" vertical="center" wrapText="1"/>
    </xf>
    <xf numFmtId="0" fontId="57" fillId="8" borderId="18" xfId="0" applyFont="1" applyFill="1" applyBorder="1" applyAlignment="1">
      <alignment horizontal="center" vertical="center" wrapText="1"/>
    </xf>
    <xf numFmtId="0" fontId="57" fillId="8" borderId="13" xfId="0" applyFont="1" applyFill="1" applyBorder="1" applyAlignment="1">
      <alignment horizontal="center" vertical="center" wrapText="1"/>
    </xf>
    <xf numFmtId="0" fontId="57" fillId="8" borderId="19" xfId="0" applyFont="1" applyFill="1" applyBorder="1" applyAlignment="1">
      <alignment horizontal="center" vertical="center" wrapText="1"/>
    </xf>
    <xf numFmtId="0" fontId="53" fillId="8" borderId="18" xfId="0" applyFont="1" applyFill="1" applyBorder="1" applyAlignment="1">
      <alignment horizontal="center" vertical="center" wrapText="1"/>
    </xf>
    <xf numFmtId="0" fontId="53" fillId="9" borderId="13" xfId="0" applyFont="1" applyFill="1" applyBorder="1" applyAlignment="1">
      <alignment horizontal="center" vertical="center" wrapText="1"/>
    </xf>
    <xf numFmtId="0" fontId="38" fillId="8" borderId="13" xfId="0" applyFont="1" applyFill="1" applyBorder="1" applyAlignment="1">
      <alignment horizontal="center" vertical="center" wrapText="1"/>
    </xf>
    <xf numFmtId="0" fontId="53" fillId="8" borderId="13" xfId="0" applyFont="1" applyFill="1" applyBorder="1" applyAlignment="1">
      <alignment horizontal="center" vertical="center" wrapText="1"/>
    </xf>
    <xf numFmtId="0" fontId="38" fillId="8" borderId="19" xfId="0" applyFont="1" applyFill="1" applyBorder="1" applyAlignment="1">
      <alignment horizontal="center" vertical="center" wrapText="1"/>
    </xf>
    <xf numFmtId="0" fontId="29" fillId="8" borderId="16" xfId="0" applyFont="1" applyFill="1" applyBorder="1" applyAlignment="1">
      <alignment horizontal="center" vertical="center" wrapText="1"/>
    </xf>
    <xf numFmtId="0" fontId="40" fillId="9" borderId="18" xfId="0" applyFont="1" applyFill="1" applyBorder="1" applyAlignment="1">
      <alignment horizontal="center" vertical="center" wrapText="1"/>
    </xf>
    <xf numFmtId="0" fontId="40" fillId="8" borderId="19" xfId="0" applyFont="1" applyFill="1" applyBorder="1" applyAlignment="1">
      <alignment horizontal="center" vertical="center" wrapText="1"/>
    </xf>
    <xf numFmtId="0" fontId="40" fillId="8" borderId="18" xfId="0" applyFont="1" applyFill="1" applyBorder="1" applyAlignment="1">
      <alignment vertical="center" wrapText="1"/>
    </xf>
    <xf numFmtId="0" fontId="40" fillId="8" borderId="13" xfId="0" applyFont="1" applyFill="1" applyBorder="1" applyAlignment="1">
      <alignment vertical="center" wrapText="1"/>
    </xf>
    <xf numFmtId="0" fontId="40" fillId="8" borderId="19" xfId="0" applyFont="1" applyFill="1" applyBorder="1" applyAlignment="1">
      <alignment vertical="center" wrapText="1"/>
    </xf>
    <xf numFmtId="0" fontId="40" fillId="8" borderId="20" xfId="0" applyFont="1" applyFill="1" applyBorder="1" applyAlignment="1">
      <alignment horizontal="center" vertical="center" wrapText="1"/>
    </xf>
    <xf numFmtId="0" fontId="39" fillId="8" borderId="21" xfId="0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40" fillId="8" borderId="27" xfId="0" applyFont="1" applyFill="1" applyBorder="1" applyAlignment="1">
      <alignment horizontal="center" vertical="center" wrapText="1"/>
    </xf>
    <xf numFmtId="0" fontId="40" fillId="9" borderId="17" xfId="0" applyFont="1" applyFill="1" applyBorder="1" applyAlignment="1">
      <alignment horizontal="center" vertical="center" wrapText="1"/>
    </xf>
    <xf numFmtId="0" fontId="29" fillId="8" borderId="29" xfId="0" applyFont="1" applyFill="1" applyBorder="1" applyAlignment="1">
      <alignment horizontal="center" vertical="center"/>
    </xf>
    <xf numFmtId="0" fontId="29" fillId="8" borderId="26" xfId="0" applyFont="1" applyFill="1" applyBorder="1" applyAlignment="1">
      <alignment horizontal="center" vertical="center"/>
    </xf>
    <xf numFmtId="0" fontId="39" fillId="8" borderId="26" xfId="0" applyFont="1" applyFill="1" applyBorder="1" applyAlignment="1">
      <alignment horizontal="center" vertical="center" wrapText="1"/>
    </xf>
    <xf numFmtId="0" fontId="29" fillId="8" borderId="26" xfId="0" applyNumberFormat="1" applyFont="1" applyFill="1" applyBorder="1" applyAlignment="1">
      <alignment horizontal="center" vertical="center" wrapText="1"/>
    </xf>
    <xf numFmtId="0" fontId="29" fillId="8" borderId="26" xfId="0" applyFont="1" applyFill="1" applyBorder="1" applyAlignment="1">
      <alignment horizontal="center" vertical="center" wrapText="1"/>
    </xf>
    <xf numFmtId="0" fontId="29" fillId="8" borderId="30" xfId="0" applyNumberFormat="1" applyFont="1" applyFill="1" applyBorder="1" applyAlignment="1">
      <alignment horizontal="center" vertical="center" wrapText="1"/>
    </xf>
    <xf numFmtId="0" fontId="21" fillId="8" borderId="27" xfId="0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horizontal="center" vertical="center" wrapText="1"/>
    </xf>
    <xf numFmtId="0" fontId="23" fillId="8" borderId="13" xfId="0" applyFont="1" applyFill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42" fillId="4" borderId="20" xfId="0" applyFont="1" applyFill="1" applyBorder="1" applyAlignment="1">
      <alignment vertical="center" wrapText="1"/>
    </xf>
    <xf numFmtId="0" fontId="42" fillId="4" borderId="21" xfId="0" applyFont="1" applyFill="1" applyBorder="1" applyAlignment="1">
      <alignment vertical="center" wrapText="1"/>
    </xf>
    <xf numFmtId="0" fontId="42" fillId="4" borderId="22" xfId="0" applyFont="1" applyFill="1" applyBorder="1" applyAlignment="1">
      <alignment vertical="center" wrapText="1"/>
    </xf>
    <xf numFmtId="0" fontId="42" fillId="4" borderId="18" xfId="0" applyFont="1" applyFill="1" applyBorder="1" applyAlignment="1">
      <alignment vertical="center" wrapText="1"/>
    </xf>
    <xf numFmtId="0" fontId="42" fillId="4" borderId="13" xfId="0" applyFont="1" applyFill="1" applyBorder="1" applyAlignment="1">
      <alignment vertical="center"/>
    </xf>
    <xf numFmtId="0" fontId="42" fillId="4" borderId="19" xfId="0" applyFont="1" applyFill="1" applyBorder="1" applyAlignment="1">
      <alignment vertical="center" wrapText="1"/>
    </xf>
    <xf numFmtId="0" fontId="42" fillId="4" borderId="59" xfId="0" applyFont="1" applyFill="1" applyBorder="1" applyAlignment="1">
      <alignment horizontal="left" vertical="center" wrapText="1"/>
    </xf>
    <xf numFmtId="0" fontId="42" fillId="7" borderId="13" xfId="0" applyFont="1" applyFill="1" applyBorder="1" applyAlignment="1">
      <alignment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42" fillId="4" borderId="63" xfId="0" applyFont="1" applyFill="1" applyBorder="1" applyAlignment="1">
      <alignment horizontal="left" vertical="center" wrapText="1"/>
    </xf>
    <xf numFmtId="0" fontId="42" fillId="7" borderId="21" xfId="0" applyFont="1" applyFill="1" applyBorder="1" applyAlignment="1">
      <alignment vertical="center" wrapText="1"/>
    </xf>
    <xf numFmtId="0" fontId="56" fillId="4" borderId="20" xfId="0" applyFont="1" applyFill="1" applyBorder="1" applyAlignment="1">
      <alignment horizontal="center" vertical="center" wrapText="1"/>
    </xf>
    <xf numFmtId="0" fontId="58" fillId="4" borderId="20" xfId="0" applyFont="1" applyFill="1" applyBorder="1" applyAlignment="1">
      <alignment horizontal="center" vertical="center"/>
    </xf>
    <xf numFmtId="0" fontId="58" fillId="4" borderId="21" xfId="0" applyFont="1" applyFill="1" applyBorder="1" applyAlignment="1">
      <alignment horizontal="center" vertical="center"/>
    </xf>
    <xf numFmtId="0" fontId="56" fillId="4" borderId="21" xfId="0" applyNumberFormat="1" applyFont="1" applyFill="1" applyBorder="1" applyAlignment="1">
      <alignment horizontal="center" vertical="center" wrapText="1"/>
    </xf>
    <xf numFmtId="0" fontId="56" fillId="4" borderId="22" xfId="0" applyNumberFormat="1" applyFont="1" applyFill="1" applyBorder="1" applyAlignment="1">
      <alignment horizontal="center" vertical="center" wrapText="1"/>
    </xf>
    <xf numFmtId="0" fontId="53" fillId="7" borderId="19" xfId="0" applyFont="1" applyFill="1" applyBorder="1" applyAlignment="1">
      <alignment horizontal="center" vertical="center" wrapText="1"/>
    </xf>
    <xf numFmtId="0" fontId="56" fillId="4" borderId="22" xfId="0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40" fillId="6" borderId="13" xfId="0" applyFont="1" applyFill="1" applyBorder="1" applyAlignment="1">
      <alignment horizontal="center" vertical="center" wrapText="1"/>
    </xf>
    <xf numFmtId="0" fontId="61" fillId="4" borderId="20" xfId="0" applyFont="1" applyFill="1" applyBorder="1" applyAlignment="1">
      <alignment horizontal="center" vertical="center"/>
    </xf>
    <xf numFmtId="0" fontId="61" fillId="4" borderId="21" xfId="0" applyFont="1" applyFill="1" applyBorder="1" applyAlignment="1">
      <alignment horizontal="center" vertical="center"/>
    </xf>
    <xf numFmtId="0" fontId="29" fillId="4" borderId="21" xfId="0" applyNumberFormat="1" applyFont="1" applyFill="1" applyBorder="1" applyAlignment="1">
      <alignment horizontal="center" vertical="center" wrapText="1"/>
    </xf>
    <xf numFmtId="0" fontId="29" fillId="4" borderId="22" xfId="0" applyNumberFormat="1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40" fillId="6" borderId="19" xfId="0" applyFont="1" applyFill="1" applyBorder="1" applyAlignment="1">
      <alignment horizontal="center" vertical="center" wrapText="1"/>
    </xf>
    <xf numFmtId="0" fontId="39" fillId="0" borderId="19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 wrapText="1"/>
    </xf>
    <xf numFmtId="0" fontId="42" fillId="6" borderId="65" xfId="0" applyFont="1" applyFill="1" applyBorder="1" applyAlignment="1">
      <alignment horizontal="center" vertical="center" wrapText="1"/>
    </xf>
    <xf numFmtId="0" fontId="40" fillId="6" borderId="65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center" vertical="center" wrapText="1"/>
    </xf>
    <xf numFmtId="0" fontId="42" fillId="6" borderId="27" xfId="0" applyFont="1" applyFill="1" applyBorder="1" applyAlignment="1">
      <alignment horizontal="center" vertical="center" wrapText="1"/>
    </xf>
    <xf numFmtId="0" fontId="42" fillId="6" borderId="66" xfId="0" applyFont="1" applyFill="1" applyBorder="1" applyAlignment="1">
      <alignment horizontal="center" vertical="center" wrapText="1"/>
    </xf>
    <xf numFmtId="0" fontId="40" fillId="6" borderId="66" xfId="0" applyFont="1" applyFill="1" applyBorder="1" applyAlignment="1">
      <alignment horizontal="center" vertical="center" wrapText="1"/>
    </xf>
    <xf numFmtId="0" fontId="40" fillId="6" borderId="67" xfId="0" applyFont="1" applyFill="1" applyBorder="1" applyAlignment="1">
      <alignment horizontal="center" vertical="center" wrapText="1"/>
    </xf>
    <xf numFmtId="0" fontId="40" fillId="6" borderId="27" xfId="0" applyFont="1" applyFill="1" applyBorder="1" applyAlignment="1">
      <alignment horizontal="center" vertical="center" wrapText="1"/>
    </xf>
    <xf numFmtId="0" fontId="42" fillId="6" borderId="50" xfId="0" applyFont="1" applyFill="1" applyBorder="1" applyAlignment="1">
      <alignment horizontal="center" vertical="center" wrapText="1"/>
    </xf>
    <xf numFmtId="0" fontId="42" fillId="6" borderId="39" xfId="0" applyFont="1" applyFill="1" applyBorder="1" applyAlignment="1">
      <alignment horizontal="center" vertical="center" wrapText="1"/>
    </xf>
    <xf numFmtId="0" fontId="42" fillId="6" borderId="68" xfId="0" applyFont="1" applyFill="1" applyBorder="1" applyAlignment="1">
      <alignment horizontal="center" vertical="center" wrapText="1"/>
    </xf>
    <xf numFmtId="0" fontId="40" fillId="6" borderId="16" xfId="0" applyFont="1" applyFill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40" fillId="6" borderId="46" xfId="0" applyFont="1" applyFill="1" applyBorder="1" applyAlignment="1">
      <alignment horizontal="center" vertical="center" wrapText="1"/>
    </xf>
    <xf numFmtId="0" fontId="40" fillId="6" borderId="69" xfId="0" applyFont="1" applyFill="1" applyBorder="1" applyAlignment="1">
      <alignment horizontal="center" vertical="center" wrapText="1"/>
    </xf>
    <xf numFmtId="0" fontId="40" fillId="6" borderId="61" xfId="0" applyFont="1" applyFill="1" applyBorder="1" applyAlignment="1">
      <alignment horizontal="center" vertical="center" wrapText="1"/>
    </xf>
    <xf numFmtId="0" fontId="62" fillId="6" borderId="46" xfId="0" applyFont="1" applyFill="1" applyBorder="1" applyAlignment="1">
      <alignment horizontal="center" vertical="center"/>
    </xf>
    <xf numFmtId="0" fontId="62" fillId="6" borderId="69" xfId="0" applyFont="1" applyFill="1" applyBorder="1" applyAlignment="1">
      <alignment horizontal="center" vertical="center"/>
    </xf>
    <xf numFmtId="0" fontId="40" fillId="0" borderId="66" xfId="0" applyFont="1" applyBorder="1" applyAlignment="1">
      <alignment horizontal="center" vertical="center" wrapText="1"/>
    </xf>
    <xf numFmtId="0" fontId="40" fillId="0" borderId="67" xfId="0" applyFont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 wrapText="1"/>
    </xf>
    <xf numFmtId="0" fontId="40" fillId="0" borderId="69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0" fontId="42" fillId="6" borderId="46" xfId="0" applyFont="1" applyFill="1" applyBorder="1" applyAlignment="1">
      <alignment horizontal="center" vertical="center" wrapText="1"/>
    </xf>
    <xf numFmtId="0" fontId="42" fillId="6" borderId="69" xfId="0" applyFont="1" applyFill="1" applyBorder="1" applyAlignment="1">
      <alignment horizontal="center" vertical="center" wrapText="1"/>
    </xf>
    <xf numFmtId="0" fontId="42" fillId="6" borderId="61" xfId="0" applyFont="1" applyFill="1" applyBorder="1" applyAlignment="1">
      <alignment horizontal="center" vertical="center" wrapText="1"/>
    </xf>
    <xf numFmtId="0" fontId="42" fillId="6" borderId="13" xfId="0" applyFont="1" applyFill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42" fillId="7" borderId="42" xfId="0" applyFont="1" applyFill="1" applyBorder="1" applyAlignment="1">
      <alignment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42" fillId="4" borderId="12" xfId="0" applyFont="1" applyFill="1" applyBorder="1" applyAlignment="1">
      <alignment horizontal="center" vertical="center"/>
    </xf>
    <xf numFmtId="0" fontId="42" fillId="4" borderId="31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/>
    </xf>
    <xf numFmtId="0" fontId="42" fillId="4" borderId="12" xfId="0" applyFont="1" applyFill="1" applyBorder="1" applyAlignment="1">
      <alignment horizontal="center" vertical="center" wrapText="1"/>
    </xf>
    <xf numFmtId="0" fontId="42" fillId="4" borderId="31" xfId="0" applyFont="1" applyFill="1" applyBorder="1" applyAlignment="1">
      <alignment horizontal="center" vertical="center" wrapText="1"/>
    </xf>
    <xf numFmtId="0" fontId="42" fillId="4" borderId="53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center" vertical="center" wrapText="1"/>
    </xf>
    <xf numFmtId="49" fontId="30" fillId="4" borderId="43" xfId="0" applyNumberFormat="1" applyFont="1" applyFill="1" applyBorder="1" applyAlignment="1">
      <alignment horizontal="center" vertical="center" wrapText="1"/>
    </xf>
    <xf numFmtId="49" fontId="30" fillId="4" borderId="47" xfId="0" applyNumberFormat="1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 wrapText="1"/>
    </xf>
    <xf numFmtId="0" fontId="21" fillId="4" borderId="43" xfId="0" applyFont="1" applyFill="1" applyBorder="1" applyAlignment="1">
      <alignment horizontal="center" vertical="center" wrapText="1"/>
    </xf>
    <xf numFmtId="0" fontId="21" fillId="4" borderId="42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49" fontId="21" fillId="4" borderId="43" xfId="0" applyNumberFormat="1" applyFont="1" applyFill="1" applyBorder="1" applyAlignment="1">
      <alignment horizontal="center" vertical="center" wrapText="1"/>
    </xf>
    <xf numFmtId="49" fontId="21" fillId="4" borderId="42" xfId="0" applyNumberFormat="1" applyFont="1" applyFill="1" applyBorder="1" applyAlignment="1">
      <alignment horizontal="center" vertical="center" wrapText="1"/>
    </xf>
    <xf numFmtId="49" fontId="21" fillId="4" borderId="47" xfId="0" applyNumberFormat="1" applyFont="1" applyFill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30" fillId="4" borderId="42" xfId="0" applyFont="1" applyFill="1" applyBorder="1" applyAlignment="1">
      <alignment horizontal="center" vertical="center" wrapText="1"/>
    </xf>
    <xf numFmtId="49" fontId="30" fillId="0" borderId="42" xfId="0" applyNumberFormat="1" applyFont="1" applyFill="1" applyBorder="1" applyAlignment="1">
      <alignment horizontal="center" vertical="center" wrapText="1"/>
    </xf>
    <xf numFmtId="49" fontId="30" fillId="0" borderId="47" xfId="0" applyNumberFormat="1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8" fillId="0" borderId="0" xfId="0" applyFont="1" applyAlignment="1">
      <alignment horizontal="center" vertical="top" wrapText="1"/>
    </xf>
    <xf numFmtId="0" fontId="35" fillId="0" borderId="0" xfId="0" applyFont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textRotation="90" wrapText="1"/>
    </xf>
    <xf numFmtId="14" fontId="11" fillId="0" borderId="3" xfId="0" applyNumberFormat="1" applyFont="1" applyFill="1" applyBorder="1" applyAlignment="1">
      <alignment horizontal="center" vertical="center" textRotation="90" wrapText="1"/>
    </xf>
    <xf numFmtId="0" fontId="11" fillId="0" borderId="8" xfId="0" applyFont="1" applyFill="1" applyBorder="1" applyAlignment="1">
      <alignment horizontal="center" vertical="center" textRotation="90" wrapText="1"/>
    </xf>
    <xf numFmtId="14" fontId="11" fillId="0" borderId="8" xfId="0" applyNumberFormat="1" applyFont="1" applyFill="1" applyBorder="1" applyAlignment="1">
      <alignment horizontal="center" vertical="center" textRotation="90" wrapText="1"/>
    </xf>
    <xf numFmtId="0" fontId="11" fillId="0" borderId="9" xfId="0" applyFont="1" applyFill="1" applyBorder="1" applyAlignment="1">
      <alignment horizontal="center" vertical="center" textRotation="90" wrapText="1"/>
    </xf>
    <xf numFmtId="0" fontId="28" fillId="0" borderId="0" xfId="0" applyFont="1" applyAlignment="1">
      <alignment horizontal="center" vertical="center" wrapText="1"/>
    </xf>
    <xf numFmtId="0" fontId="37" fillId="6" borderId="0" xfId="0" applyFont="1" applyFill="1" applyAlignment="1">
      <alignment horizontal="center" vertical="center"/>
    </xf>
    <xf numFmtId="0" fontId="31" fillId="4" borderId="24" xfId="0" applyFont="1" applyFill="1" applyBorder="1" applyAlignment="1">
      <alignment horizontal="center" vertical="center"/>
    </xf>
    <xf numFmtId="0" fontId="25" fillId="0" borderId="3" xfId="0" applyFont="1" applyFill="1" applyBorder="1"/>
    <xf numFmtId="0" fontId="24" fillId="0" borderId="6" xfId="0" applyFont="1" applyFill="1" applyBorder="1" applyAlignment="1">
      <alignment horizontal="center" vertical="center" textRotation="90"/>
    </xf>
    <xf numFmtId="0" fontId="24" fillId="0" borderId="9" xfId="0" applyFont="1" applyFill="1" applyBorder="1" applyAlignment="1">
      <alignment horizontal="center" vertical="center" textRotation="90"/>
    </xf>
    <xf numFmtId="0" fontId="56" fillId="0" borderId="0" xfId="0" applyFont="1" applyAlignment="1">
      <alignment horizontal="center" vertical="center" wrapText="1"/>
    </xf>
    <xf numFmtId="0" fontId="48" fillId="6" borderId="0" xfId="0" applyFont="1" applyFill="1" applyAlignment="1">
      <alignment horizontal="center" vertical="center"/>
    </xf>
    <xf numFmtId="0" fontId="22" fillId="0" borderId="6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34" fillId="0" borderId="6" xfId="0" applyFont="1" applyFill="1" applyBorder="1" applyAlignment="1">
      <alignment horizontal="center" vertical="center" textRotation="90"/>
    </xf>
    <xf numFmtId="0" fontId="34" fillId="0" borderId="9" xfId="0" applyFont="1" applyFill="1" applyBorder="1" applyAlignment="1">
      <alignment horizontal="center" vertical="center" textRotation="90"/>
    </xf>
    <xf numFmtId="0" fontId="26" fillId="4" borderId="3" xfId="0" applyFont="1" applyFill="1" applyBorder="1" applyAlignment="1">
      <alignment horizontal="center" vertical="center" textRotation="90" wrapText="1"/>
    </xf>
    <xf numFmtId="0" fontId="32" fillId="4" borderId="3" xfId="0" applyFont="1" applyFill="1" applyBorder="1"/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8" xfId="0" applyFont="1" applyFill="1" applyBorder="1" applyAlignment="1">
      <alignment horizontal="center" vertical="center" textRotation="90" wrapText="1"/>
    </xf>
    <xf numFmtId="14" fontId="26" fillId="4" borderId="8" xfId="0" applyNumberFormat="1" applyFont="1" applyFill="1" applyBorder="1" applyAlignment="1">
      <alignment horizontal="center" vertical="center" textRotation="90" wrapText="1"/>
    </xf>
    <xf numFmtId="14" fontId="12" fillId="0" borderId="3" xfId="0" applyNumberFormat="1" applyFont="1" applyFill="1" applyBorder="1" applyAlignment="1">
      <alignment horizontal="center" vertical="center" textRotation="90" wrapText="1"/>
    </xf>
    <xf numFmtId="0" fontId="12" fillId="0" borderId="3" xfId="0" applyFont="1" applyFill="1" applyBorder="1" applyAlignment="1">
      <alignment horizontal="center" vertical="center" textRotation="90" wrapText="1"/>
    </xf>
    <xf numFmtId="0" fontId="12" fillId="0" borderId="9" xfId="0" applyFont="1" applyFill="1" applyBorder="1" applyAlignment="1">
      <alignment horizontal="center" vertical="center" textRotation="90" wrapText="1"/>
    </xf>
    <xf numFmtId="0" fontId="27" fillId="0" borderId="6" xfId="0" applyFont="1" applyFill="1" applyBorder="1" applyAlignment="1">
      <alignment horizontal="center" vertical="center" textRotation="90"/>
    </xf>
    <xf numFmtId="0" fontId="27" fillId="0" borderId="9" xfId="0" applyFont="1" applyFill="1" applyBorder="1" applyAlignment="1">
      <alignment horizontal="center" vertical="center" textRotation="90"/>
    </xf>
    <xf numFmtId="0" fontId="14" fillId="0" borderId="15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4" borderId="0" xfId="0" applyFont="1" applyFill="1" applyAlignment="1">
      <alignment horizontal="center" vertical="center"/>
    </xf>
    <xf numFmtId="0" fontId="11" fillId="4" borderId="3" xfId="0" applyFont="1" applyFill="1" applyBorder="1" applyAlignment="1">
      <alignment horizontal="center" vertical="center" textRotation="90" wrapText="1"/>
    </xf>
    <xf numFmtId="14" fontId="11" fillId="4" borderId="3" xfId="0" applyNumberFormat="1" applyFont="1" applyFill="1" applyBorder="1" applyAlignment="1">
      <alignment horizontal="center" vertical="center" textRotation="90" wrapText="1"/>
    </xf>
    <xf numFmtId="0" fontId="25" fillId="4" borderId="3" xfId="0" applyFont="1" applyFill="1" applyBorder="1"/>
    <xf numFmtId="14" fontId="11" fillId="4" borderId="8" xfId="0" applyNumberFormat="1" applyFont="1" applyFill="1" applyBorder="1" applyAlignment="1">
      <alignment horizontal="center" vertical="center" textRotation="90" wrapText="1"/>
    </xf>
    <xf numFmtId="0" fontId="11" fillId="4" borderId="9" xfId="0" applyFont="1" applyFill="1" applyBorder="1" applyAlignment="1">
      <alignment horizontal="center" vertical="center" textRotation="90" wrapText="1"/>
    </xf>
    <xf numFmtId="0" fontId="11" fillId="4" borderId="8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31" fillId="0" borderId="6" xfId="0" applyFont="1" applyFill="1" applyBorder="1" applyAlignment="1">
      <alignment horizontal="center" vertical="center" textRotation="90"/>
    </xf>
    <xf numFmtId="0" fontId="31" fillId="0" borderId="9" xfId="0" applyFont="1" applyFill="1" applyBorder="1" applyAlignment="1">
      <alignment horizontal="center" vertical="center" textRotation="90"/>
    </xf>
    <xf numFmtId="14" fontId="26" fillId="0" borderId="8" xfId="0" applyNumberFormat="1" applyFont="1" applyFill="1" applyBorder="1" applyAlignment="1">
      <alignment horizontal="center" vertical="center" textRotation="90" wrapText="1"/>
    </xf>
    <xf numFmtId="0" fontId="32" fillId="0" borderId="10" xfId="0" applyFont="1" applyFill="1" applyBorder="1"/>
    <xf numFmtId="0" fontId="32" fillId="0" borderId="7" xfId="0" applyFont="1" applyFill="1" applyBorder="1"/>
    <xf numFmtId="0" fontId="60" fillId="8" borderId="4" xfId="0" applyFont="1" applyFill="1" applyBorder="1" applyAlignment="1">
      <alignment horizontal="center" vertical="center" wrapText="1"/>
    </xf>
    <xf numFmtId="0" fontId="60" fillId="8" borderId="64" xfId="0" applyFont="1" applyFill="1" applyBorder="1" applyAlignment="1">
      <alignment horizontal="center" vertical="center" wrapText="1"/>
    </xf>
    <xf numFmtId="0" fontId="60" fillId="8" borderId="56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32" xfId="0" applyFont="1" applyFill="1" applyBorder="1" applyAlignment="1">
      <alignment horizontal="center" vertical="center" textRotation="90" wrapText="1"/>
    </xf>
    <xf numFmtId="14" fontId="26" fillId="0" borderId="6" xfId="0" applyNumberFormat="1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32" fillId="4" borderId="10" xfId="0" applyFont="1" applyFill="1" applyBorder="1"/>
    <xf numFmtId="0" fontId="32" fillId="4" borderId="7" xfId="0" applyFont="1" applyFill="1" applyBorder="1"/>
    <xf numFmtId="0" fontId="26" fillId="4" borderId="9" xfId="0" applyFont="1" applyFill="1" applyBorder="1" applyAlignment="1">
      <alignment horizontal="center" vertical="center" textRotation="90" wrapText="1"/>
    </xf>
    <xf numFmtId="0" fontId="26" fillId="4" borderId="10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0" fontId="12" fillId="4" borderId="3" xfId="0" applyFont="1" applyFill="1" applyBorder="1" applyAlignment="1">
      <alignment horizontal="center" vertical="center" textRotation="90" wrapText="1"/>
    </xf>
    <xf numFmtId="0" fontId="12" fillId="4" borderId="9" xfId="0" applyFont="1" applyFill="1" applyBorder="1" applyAlignment="1">
      <alignment horizontal="center" vertical="center" textRotation="90" wrapText="1"/>
    </xf>
    <xf numFmtId="14" fontId="12" fillId="4" borderId="3" xfId="0" applyNumberFormat="1" applyFont="1" applyFill="1" applyBorder="1" applyAlignment="1">
      <alignment horizontal="center" vertical="center" textRotation="90" wrapText="1"/>
    </xf>
    <xf numFmtId="14" fontId="26" fillId="4" borderId="6" xfId="0" applyNumberFormat="1" applyFont="1" applyFill="1" applyBorder="1" applyAlignment="1">
      <alignment horizontal="center" vertical="center" textRotation="90" wrapText="1"/>
    </xf>
    <xf numFmtId="0" fontId="26" fillId="4" borderId="32" xfId="0" applyFont="1" applyFill="1" applyBorder="1" applyAlignment="1">
      <alignment horizontal="center" vertical="center" textRotation="90" wrapText="1"/>
    </xf>
    <xf numFmtId="14" fontId="2" fillId="0" borderId="3" xfId="0" applyNumberFormat="1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horizontal="center" vertical="center" textRotation="90" wrapText="1"/>
    </xf>
    <xf numFmtId="0" fontId="2" fillId="0" borderId="9" xfId="0" applyFont="1" applyFill="1" applyBorder="1" applyAlignment="1">
      <alignment horizontal="center" vertical="center" textRotation="90" wrapText="1"/>
    </xf>
    <xf numFmtId="0" fontId="32" fillId="0" borderId="10" xfId="0" applyFont="1" applyFill="1" applyBorder="1" applyAlignment="1">
      <alignment vertical="center"/>
    </xf>
    <xf numFmtId="0" fontId="32" fillId="0" borderId="7" xfId="0" applyFont="1" applyFill="1" applyBorder="1" applyAlignment="1">
      <alignment vertical="center"/>
    </xf>
    <xf numFmtId="0" fontId="55" fillId="0" borderId="3" xfId="0" applyFont="1" applyFill="1" applyBorder="1" applyAlignment="1">
      <alignment horizontal="center" vertical="center" textRotation="90" wrapText="1"/>
    </xf>
    <xf numFmtId="0" fontId="55" fillId="0" borderId="9" xfId="0" applyFont="1" applyFill="1" applyBorder="1" applyAlignment="1">
      <alignment horizontal="center" vertical="center" textRotation="90" wrapText="1"/>
    </xf>
    <xf numFmtId="14" fontId="55" fillId="0" borderId="3" xfId="0" applyNumberFormat="1" applyFont="1" applyFill="1" applyBorder="1" applyAlignment="1">
      <alignment horizontal="center" vertical="center" textRotation="90" wrapText="1"/>
    </xf>
    <xf numFmtId="0" fontId="33" fillId="0" borderId="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24" xfId="0" applyFont="1" applyBorder="1" applyAlignment="1">
      <alignment horizontal="center" vertical="center"/>
    </xf>
    <xf numFmtId="0" fontId="59" fillId="0" borderId="61" xfId="0" applyFont="1" applyBorder="1" applyAlignment="1">
      <alignment horizontal="center" vertical="center"/>
    </xf>
  </cellXfs>
  <cellStyles count="3">
    <cellStyle name="Денежный 2" xfId="2"/>
    <cellStyle name="Обычный" xfId="0" builtinId="0"/>
    <cellStyle name="Обычный 2" xfId="1"/>
  </cellStyles>
  <dxfs count="3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view="pageBreakPreview" zoomScale="40" zoomScaleNormal="40" zoomScaleSheetLayoutView="40" zoomScalePageLayoutView="40" workbookViewId="0">
      <selection activeCell="F13" sqref="F13"/>
    </sheetView>
  </sheetViews>
  <sheetFormatPr defaultRowHeight="15" x14ac:dyDescent="0.25"/>
  <cols>
    <col min="1" max="1" width="6" customWidth="1"/>
    <col min="2" max="2" width="59.85546875" customWidth="1"/>
    <col min="3" max="3" width="13.5703125" customWidth="1"/>
    <col min="4" max="4" width="20.140625" customWidth="1"/>
    <col min="5" max="5" width="44.140625" customWidth="1"/>
    <col min="6" max="6" width="45" customWidth="1"/>
    <col min="7" max="7" width="40.5703125" customWidth="1"/>
    <col min="8" max="8" width="46.85546875" customWidth="1"/>
    <col min="9" max="9" width="51" customWidth="1"/>
    <col min="10" max="10" width="52.7109375" customWidth="1"/>
    <col min="11" max="11" width="54.42578125" customWidth="1"/>
  </cols>
  <sheetData>
    <row r="1" spans="1:11" s="96" customFormat="1" ht="41.25" customHeight="1" x14ac:dyDescent="0.4">
      <c r="A1" s="98"/>
      <c r="B1" s="98"/>
      <c r="C1" s="98"/>
      <c r="D1" s="98"/>
      <c r="E1" s="98"/>
      <c r="F1" s="98"/>
      <c r="G1" s="98"/>
      <c r="H1" s="98"/>
      <c r="I1" s="98"/>
      <c r="J1" s="305"/>
      <c r="K1" s="354" t="s">
        <v>62</v>
      </c>
    </row>
    <row r="2" spans="1:11" s="96" customFormat="1" ht="41.25" customHeight="1" x14ac:dyDescent="0.4">
      <c r="A2" s="98"/>
      <c r="B2" s="98"/>
      <c r="C2" s="98"/>
      <c r="D2" s="98"/>
      <c r="E2" s="98"/>
      <c r="F2" s="98"/>
      <c r="G2" s="98"/>
      <c r="H2" s="98"/>
      <c r="I2" s="98"/>
      <c r="J2" s="305"/>
      <c r="K2" s="354" t="s">
        <v>114</v>
      </c>
    </row>
    <row r="3" spans="1:11" s="96" customFormat="1" ht="41.25" customHeight="1" x14ac:dyDescent="0.4">
      <c r="A3" s="98"/>
      <c r="B3" s="98"/>
      <c r="C3" s="98"/>
      <c r="D3" s="98"/>
      <c r="E3" s="98"/>
      <c r="F3" s="98"/>
      <c r="G3" s="98"/>
      <c r="H3" s="98"/>
      <c r="I3" s="98"/>
      <c r="J3" s="305"/>
      <c r="K3" s="354" t="s">
        <v>107</v>
      </c>
    </row>
    <row r="4" spans="1:11" s="96" customFormat="1" ht="41.25" customHeight="1" x14ac:dyDescent="0.4">
      <c r="A4" s="98"/>
      <c r="B4" s="98"/>
      <c r="C4" s="98"/>
      <c r="D4" s="98"/>
      <c r="E4" s="98"/>
      <c r="F4" s="98"/>
      <c r="G4" s="98"/>
      <c r="H4" s="98"/>
      <c r="I4" s="98"/>
      <c r="J4" s="305"/>
      <c r="K4" s="354" t="s">
        <v>27</v>
      </c>
    </row>
    <row r="5" spans="1:11" s="96" customFormat="1" ht="41.25" customHeight="1" x14ac:dyDescent="0.4">
      <c r="A5" s="98"/>
      <c r="B5" s="98"/>
      <c r="C5" s="98"/>
      <c r="D5" s="98"/>
      <c r="E5" s="98"/>
      <c r="F5" s="98"/>
      <c r="G5" s="98"/>
      <c r="H5" s="98"/>
      <c r="I5" s="98"/>
      <c r="J5" s="305"/>
      <c r="K5" s="354" t="s">
        <v>28</v>
      </c>
    </row>
    <row r="6" spans="1:11" ht="21.75" customHeight="1" x14ac:dyDescent="0.25"/>
    <row r="7" spans="1:11" s="250" customFormat="1" ht="39.75" customHeight="1" x14ac:dyDescent="0.5">
      <c r="A7" s="554" t="s">
        <v>133</v>
      </c>
      <c r="B7" s="554"/>
      <c r="C7" s="554"/>
      <c r="D7" s="554"/>
      <c r="E7" s="554"/>
      <c r="F7" s="554"/>
      <c r="G7" s="554"/>
      <c r="H7" s="554"/>
      <c r="I7" s="554"/>
      <c r="J7" s="554"/>
      <c r="K7" s="554"/>
    </row>
    <row r="8" spans="1:11" s="250" customFormat="1" ht="39.75" customHeight="1" x14ac:dyDescent="0.5">
      <c r="A8" s="554" t="s">
        <v>55</v>
      </c>
      <c r="B8" s="554"/>
      <c r="C8" s="554"/>
      <c r="D8" s="554"/>
      <c r="E8" s="554"/>
      <c r="F8" s="554"/>
      <c r="G8" s="554"/>
      <c r="H8" s="554"/>
      <c r="I8" s="554"/>
      <c r="J8" s="554"/>
      <c r="K8" s="554"/>
    </row>
    <row r="9" spans="1:11" ht="294.75" customHeight="1" x14ac:dyDescent="0.25">
      <c r="A9" s="555" t="s">
        <v>239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</row>
    <row r="10" spans="1:11" ht="39.75" customHeight="1" x14ac:dyDescent="0.25">
      <c r="A10" s="556" t="s">
        <v>134</v>
      </c>
      <c r="B10" s="556"/>
      <c r="C10" s="556"/>
      <c r="D10" s="556"/>
      <c r="E10" s="556"/>
      <c r="F10" s="556"/>
      <c r="G10" s="556"/>
      <c r="H10" s="556"/>
      <c r="I10" s="556"/>
      <c r="J10" s="556"/>
      <c r="K10" s="556"/>
    </row>
    <row r="11" spans="1:11" ht="28.5" customHeight="1" thickBot="1" x14ac:dyDescent="0.3">
      <c r="A11" s="557" t="s">
        <v>81</v>
      </c>
      <c r="B11" s="557"/>
      <c r="C11" s="557"/>
      <c r="D11" s="557"/>
      <c r="E11" s="557"/>
      <c r="F11" s="557"/>
      <c r="G11" s="557"/>
      <c r="H11" s="557"/>
      <c r="I11" s="557"/>
      <c r="J11" s="557"/>
      <c r="K11" s="557"/>
    </row>
    <row r="12" spans="1:11" ht="30.75" customHeight="1" thickBot="1" x14ac:dyDescent="0.3">
      <c r="A12" s="567" t="s">
        <v>13</v>
      </c>
      <c r="B12" s="561" t="s">
        <v>29</v>
      </c>
      <c r="C12" s="561" t="s">
        <v>30</v>
      </c>
      <c r="D12" s="564" t="s">
        <v>31</v>
      </c>
      <c r="E12" s="570" t="s">
        <v>32</v>
      </c>
      <c r="F12" s="571"/>
      <c r="G12" s="571"/>
      <c r="H12" s="571"/>
      <c r="I12" s="571"/>
      <c r="J12" s="571"/>
      <c r="K12" s="572"/>
    </row>
    <row r="13" spans="1:11" ht="189.75" customHeight="1" thickBot="1" x14ac:dyDescent="0.3">
      <c r="A13" s="568"/>
      <c r="B13" s="562"/>
      <c r="C13" s="562"/>
      <c r="D13" s="565"/>
      <c r="E13" s="483" t="s">
        <v>65</v>
      </c>
      <c r="F13" s="484" t="s">
        <v>67</v>
      </c>
      <c r="G13" s="484" t="s">
        <v>48</v>
      </c>
      <c r="H13" s="484" t="s">
        <v>63</v>
      </c>
      <c r="I13" s="484" t="s">
        <v>56</v>
      </c>
      <c r="J13" s="484" t="s">
        <v>83</v>
      </c>
      <c r="K13" s="439" t="s">
        <v>82</v>
      </c>
    </row>
    <row r="14" spans="1:11" ht="30.75" customHeight="1" thickBot="1" x14ac:dyDescent="0.3">
      <c r="A14" s="569"/>
      <c r="B14" s="563"/>
      <c r="C14" s="563"/>
      <c r="D14" s="566"/>
      <c r="E14" s="209" t="s">
        <v>80</v>
      </c>
      <c r="F14" s="139" t="s">
        <v>43</v>
      </c>
      <c r="G14" s="139" t="s">
        <v>44</v>
      </c>
      <c r="H14" s="139" t="s">
        <v>45</v>
      </c>
      <c r="I14" s="161" t="s">
        <v>46</v>
      </c>
      <c r="J14" s="161" t="s">
        <v>47</v>
      </c>
      <c r="K14" s="207" t="s">
        <v>11</v>
      </c>
    </row>
    <row r="15" spans="1:11" ht="24" thickBot="1" x14ac:dyDescent="0.4">
      <c r="A15" s="140"/>
      <c r="B15" s="141"/>
      <c r="C15" s="141"/>
      <c r="D15" s="142"/>
      <c r="E15" s="206"/>
      <c r="F15" s="558" t="s">
        <v>33</v>
      </c>
      <c r="G15" s="559"/>
      <c r="H15" s="559"/>
      <c r="I15" s="559"/>
      <c r="J15" s="559"/>
      <c r="K15" s="560"/>
    </row>
    <row r="16" spans="1:11" ht="54" customHeight="1" x14ac:dyDescent="0.25">
      <c r="A16" s="573">
        <v>1</v>
      </c>
      <c r="B16" s="575" t="s">
        <v>138</v>
      </c>
      <c r="C16" s="577" t="s">
        <v>139</v>
      </c>
      <c r="D16" s="579" t="s">
        <v>68</v>
      </c>
      <c r="E16" s="551" t="s">
        <v>160</v>
      </c>
      <c r="F16" s="552"/>
      <c r="G16" s="552"/>
      <c r="H16" s="552"/>
      <c r="I16" s="552"/>
      <c r="J16" s="552"/>
      <c r="K16" s="553"/>
    </row>
    <row r="17" spans="1:11" ht="54" customHeight="1" thickBot="1" x14ac:dyDescent="0.3">
      <c r="A17" s="574"/>
      <c r="B17" s="576"/>
      <c r="C17" s="578"/>
      <c r="D17" s="580"/>
      <c r="E17" s="485" t="s">
        <v>161</v>
      </c>
      <c r="F17" s="486" t="s">
        <v>161</v>
      </c>
      <c r="G17" s="486" t="s">
        <v>161</v>
      </c>
      <c r="H17" s="486" t="s">
        <v>161</v>
      </c>
      <c r="I17" s="486" t="s">
        <v>161</v>
      </c>
      <c r="J17" s="486" t="s">
        <v>161</v>
      </c>
      <c r="K17" s="487" t="s">
        <v>161</v>
      </c>
    </row>
    <row r="18" spans="1:11" ht="43.5" customHeight="1" x14ac:dyDescent="0.25">
      <c r="A18" s="584">
        <v>2</v>
      </c>
      <c r="B18" s="575" t="s">
        <v>140</v>
      </c>
      <c r="C18" s="577" t="s">
        <v>141</v>
      </c>
      <c r="D18" s="579" t="s">
        <v>142</v>
      </c>
      <c r="E18" s="548" t="s">
        <v>169</v>
      </c>
      <c r="F18" s="549"/>
      <c r="G18" s="549"/>
      <c r="H18" s="549"/>
      <c r="I18" s="549"/>
      <c r="J18" s="549"/>
      <c r="K18" s="550"/>
    </row>
    <row r="19" spans="1:11" ht="62.25" customHeight="1" thickBot="1" x14ac:dyDescent="0.3">
      <c r="A19" s="586"/>
      <c r="B19" s="576"/>
      <c r="C19" s="578"/>
      <c r="D19" s="580"/>
      <c r="E19" s="413" t="s">
        <v>170</v>
      </c>
      <c r="F19" s="414" t="s">
        <v>170</v>
      </c>
      <c r="G19" s="414" t="s">
        <v>170</v>
      </c>
      <c r="H19" s="414" t="s">
        <v>170</v>
      </c>
      <c r="I19" s="414" t="s">
        <v>171</v>
      </c>
      <c r="J19" s="414" t="s">
        <v>172</v>
      </c>
      <c r="K19" s="257" t="s">
        <v>172</v>
      </c>
    </row>
    <row r="20" spans="1:11" ht="62.25" customHeight="1" x14ac:dyDescent="0.25">
      <c r="A20" s="584">
        <v>3</v>
      </c>
      <c r="B20" s="575" t="s">
        <v>143</v>
      </c>
      <c r="C20" s="577" t="s">
        <v>117</v>
      </c>
      <c r="D20" s="579" t="s">
        <v>142</v>
      </c>
      <c r="E20" s="548" t="s">
        <v>175</v>
      </c>
      <c r="F20" s="549"/>
      <c r="G20" s="549"/>
      <c r="H20" s="549"/>
      <c r="I20" s="549"/>
      <c r="J20" s="549"/>
      <c r="K20" s="550"/>
    </row>
    <row r="21" spans="1:11" ht="62.25" customHeight="1" thickBot="1" x14ac:dyDescent="0.3">
      <c r="A21" s="586"/>
      <c r="B21" s="576"/>
      <c r="C21" s="578"/>
      <c r="D21" s="580"/>
      <c r="E21" s="415" t="s">
        <v>176</v>
      </c>
      <c r="F21" s="280" t="s">
        <v>176</v>
      </c>
      <c r="G21" s="280" t="s">
        <v>176</v>
      </c>
      <c r="H21" s="280" t="s">
        <v>176</v>
      </c>
      <c r="I21" s="280" t="s">
        <v>176</v>
      </c>
      <c r="J21" s="280" t="s">
        <v>176</v>
      </c>
      <c r="K21" s="416" t="s">
        <v>176</v>
      </c>
    </row>
    <row r="22" spans="1:11" ht="51" customHeight="1" x14ac:dyDescent="0.25">
      <c r="A22" s="584">
        <v>4</v>
      </c>
      <c r="B22" s="575" t="s">
        <v>150</v>
      </c>
      <c r="C22" s="577" t="s">
        <v>117</v>
      </c>
      <c r="D22" s="579" t="s">
        <v>66</v>
      </c>
      <c r="E22" s="548" t="s">
        <v>177</v>
      </c>
      <c r="F22" s="549"/>
      <c r="G22" s="549"/>
      <c r="H22" s="549"/>
      <c r="I22" s="549"/>
      <c r="J22" s="549"/>
      <c r="K22" s="550"/>
    </row>
    <row r="23" spans="1:11" ht="51" customHeight="1" thickBot="1" x14ac:dyDescent="0.3">
      <c r="A23" s="586"/>
      <c r="B23" s="576"/>
      <c r="C23" s="578"/>
      <c r="D23" s="580"/>
      <c r="E23" s="413" t="s">
        <v>178</v>
      </c>
      <c r="F23" s="414" t="s">
        <v>178</v>
      </c>
      <c r="G23" s="414" t="s">
        <v>178</v>
      </c>
      <c r="H23" s="414" t="s">
        <v>178</v>
      </c>
      <c r="I23" s="414" t="s">
        <v>206</v>
      </c>
      <c r="J23" s="414" t="s">
        <v>206</v>
      </c>
      <c r="K23" s="257" t="s">
        <v>178</v>
      </c>
    </row>
    <row r="24" spans="1:11" ht="81" x14ac:dyDescent="0.25">
      <c r="A24" s="585">
        <v>5</v>
      </c>
      <c r="B24" s="593" t="s">
        <v>34</v>
      </c>
      <c r="C24" s="594" t="s">
        <v>151</v>
      </c>
      <c r="D24" s="596" t="s">
        <v>66</v>
      </c>
      <c r="E24" s="264" t="s">
        <v>85</v>
      </c>
      <c r="F24" s="275" t="s">
        <v>242</v>
      </c>
      <c r="G24" s="276" t="s">
        <v>48</v>
      </c>
      <c r="H24" s="276" t="s">
        <v>49</v>
      </c>
      <c r="I24" s="275" t="s">
        <v>57</v>
      </c>
      <c r="J24" s="275" t="s">
        <v>58</v>
      </c>
      <c r="K24" s="277" t="s">
        <v>50</v>
      </c>
    </row>
    <row r="25" spans="1:11" ht="72.75" customHeight="1" x14ac:dyDescent="0.25">
      <c r="A25" s="585"/>
      <c r="B25" s="593"/>
      <c r="C25" s="594"/>
      <c r="D25" s="596"/>
      <c r="E25" s="488" t="s">
        <v>165</v>
      </c>
      <c r="F25" s="489" t="s">
        <v>126</v>
      </c>
      <c r="G25" s="417" t="s">
        <v>162</v>
      </c>
      <c r="H25" s="417" t="s">
        <v>72</v>
      </c>
      <c r="I25" s="417" t="s">
        <v>154</v>
      </c>
      <c r="J25" s="417" t="s">
        <v>77</v>
      </c>
      <c r="K25" s="490" t="s">
        <v>101</v>
      </c>
    </row>
    <row r="26" spans="1:11" ht="55.5" x14ac:dyDescent="0.25">
      <c r="A26" s="585"/>
      <c r="B26" s="593"/>
      <c r="C26" s="594"/>
      <c r="D26" s="596"/>
      <c r="E26" s="210" t="s">
        <v>233</v>
      </c>
      <c r="F26" s="262" t="s">
        <v>156</v>
      </c>
      <c r="G26" s="262" t="s">
        <v>163</v>
      </c>
      <c r="H26" s="262" t="s">
        <v>73</v>
      </c>
      <c r="I26" s="262" t="s">
        <v>155</v>
      </c>
      <c r="J26" s="262" t="s">
        <v>102</v>
      </c>
      <c r="K26" s="263" t="s">
        <v>120</v>
      </c>
    </row>
    <row r="27" spans="1:11" ht="54" x14ac:dyDescent="0.25">
      <c r="A27" s="585"/>
      <c r="B27" s="593"/>
      <c r="C27" s="594"/>
      <c r="D27" s="596"/>
      <c r="E27" s="264" t="s">
        <v>84</v>
      </c>
      <c r="F27" s="267" t="s">
        <v>241</v>
      </c>
      <c r="G27" s="266"/>
      <c r="H27" s="267" t="s">
        <v>64</v>
      </c>
      <c r="I27" s="267" t="s">
        <v>74</v>
      </c>
      <c r="J27" s="267" t="s">
        <v>79</v>
      </c>
      <c r="K27" s="268" t="s">
        <v>78</v>
      </c>
    </row>
    <row r="28" spans="1:11" ht="48.75" customHeight="1" x14ac:dyDescent="0.25">
      <c r="A28" s="585"/>
      <c r="B28" s="593"/>
      <c r="C28" s="594"/>
      <c r="D28" s="596"/>
      <c r="E28" s="488" t="s">
        <v>165</v>
      </c>
      <c r="F28" s="262" t="s">
        <v>118</v>
      </c>
      <c r="G28" s="261"/>
      <c r="H28" s="262" t="s">
        <v>70</v>
      </c>
      <c r="I28" s="262" t="s">
        <v>164</v>
      </c>
      <c r="J28" s="261" t="s">
        <v>121</v>
      </c>
      <c r="K28" s="269" t="s">
        <v>173</v>
      </c>
    </row>
    <row r="29" spans="1:11" ht="93" customHeight="1" x14ac:dyDescent="0.25">
      <c r="A29" s="585"/>
      <c r="B29" s="593"/>
      <c r="C29" s="594"/>
      <c r="D29" s="596"/>
      <c r="E29" s="210" t="s">
        <v>234</v>
      </c>
      <c r="F29" s="262" t="s">
        <v>158</v>
      </c>
      <c r="G29" s="261"/>
      <c r="H29" s="262" t="s">
        <v>71</v>
      </c>
      <c r="I29" s="262" t="s">
        <v>131</v>
      </c>
      <c r="J29" s="262" t="s">
        <v>122</v>
      </c>
      <c r="K29" s="263" t="s">
        <v>174</v>
      </c>
    </row>
    <row r="30" spans="1:11" ht="54" x14ac:dyDescent="0.25">
      <c r="A30" s="585"/>
      <c r="B30" s="593"/>
      <c r="C30" s="594"/>
      <c r="D30" s="596"/>
      <c r="E30" s="253"/>
      <c r="F30" s="270"/>
      <c r="G30" s="266"/>
      <c r="H30" s="271"/>
      <c r="I30" s="267" t="s">
        <v>75</v>
      </c>
      <c r="J30" s="272" t="s">
        <v>238</v>
      </c>
      <c r="K30" s="273"/>
    </row>
    <row r="31" spans="1:11" ht="48.75" customHeight="1" x14ac:dyDescent="0.25">
      <c r="A31" s="585"/>
      <c r="B31" s="593"/>
      <c r="C31" s="594"/>
      <c r="D31" s="596"/>
      <c r="E31" s="253"/>
      <c r="F31" s="270"/>
      <c r="G31" s="261"/>
      <c r="H31" s="262"/>
      <c r="I31" s="491" t="s">
        <v>119</v>
      </c>
      <c r="J31" s="492" t="s">
        <v>166</v>
      </c>
      <c r="K31" s="269"/>
    </row>
    <row r="32" spans="1:11" ht="48.75" customHeight="1" thickBot="1" x14ac:dyDescent="0.3">
      <c r="A32" s="586"/>
      <c r="B32" s="576"/>
      <c r="C32" s="595"/>
      <c r="D32" s="580"/>
      <c r="E32" s="254"/>
      <c r="F32" s="278"/>
      <c r="G32" s="279"/>
      <c r="H32" s="280"/>
      <c r="I32" s="493" t="s">
        <v>76</v>
      </c>
      <c r="J32" s="546" t="s">
        <v>167</v>
      </c>
      <c r="K32" s="281"/>
    </row>
    <row r="33" spans="1:11" s="169" customFormat="1" ht="81" x14ac:dyDescent="0.25">
      <c r="A33" s="584">
        <v>6</v>
      </c>
      <c r="B33" s="581" t="s">
        <v>53</v>
      </c>
      <c r="C33" s="587" t="s">
        <v>69</v>
      </c>
      <c r="D33" s="590" t="s">
        <v>68</v>
      </c>
      <c r="E33" s="258" t="s">
        <v>85</v>
      </c>
      <c r="F33" s="259" t="s">
        <v>242</v>
      </c>
      <c r="G33" s="260" t="s">
        <v>48</v>
      </c>
      <c r="H33" s="260" t="s">
        <v>49</v>
      </c>
      <c r="I33" s="259" t="s">
        <v>57</v>
      </c>
      <c r="J33" s="259" t="s">
        <v>58</v>
      </c>
      <c r="K33" s="282" t="s">
        <v>50</v>
      </c>
    </row>
    <row r="34" spans="1:11" s="169" customFormat="1" ht="93.75" customHeight="1" x14ac:dyDescent="0.25">
      <c r="A34" s="585"/>
      <c r="B34" s="582"/>
      <c r="C34" s="588"/>
      <c r="D34" s="591"/>
      <c r="E34" s="210" t="s">
        <v>231</v>
      </c>
      <c r="F34" s="262" t="s">
        <v>157</v>
      </c>
      <c r="G34" s="262" t="s">
        <v>163</v>
      </c>
      <c r="H34" s="543" t="s">
        <v>73</v>
      </c>
      <c r="I34" s="417" t="s">
        <v>155</v>
      </c>
      <c r="J34" s="262" t="s">
        <v>102</v>
      </c>
      <c r="K34" s="263" t="s">
        <v>120</v>
      </c>
    </row>
    <row r="35" spans="1:11" s="169" customFormat="1" ht="54" x14ac:dyDescent="0.25">
      <c r="A35" s="585"/>
      <c r="B35" s="582"/>
      <c r="C35" s="588"/>
      <c r="D35" s="591"/>
      <c r="E35" s="264" t="s">
        <v>84</v>
      </c>
      <c r="F35" s="267" t="s">
        <v>243</v>
      </c>
      <c r="G35" s="265"/>
      <c r="H35" s="267" t="s">
        <v>64</v>
      </c>
      <c r="I35" s="267" t="s">
        <v>74</v>
      </c>
      <c r="J35" s="267" t="s">
        <v>79</v>
      </c>
      <c r="K35" s="268" t="s">
        <v>78</v>
      </c>
    </row>
    <row r="36" spans="1:11" s="169" customFormat="1" ht="45" customHeight="1" x14ac:dyDescent="0.25">
      <c r="A36" s="585"/>
      <c r="B36" s="582"/>
      <c r="C36" s="588"/>
      <c r="D36" s="591"/>
      <c r="E36" s="210" t="s">
        <v>232</v>
      </c>
      <c r="F36" s="262" t="s">
        <v>159</v>
      </c>
      <c r="G36" s="265"/>
      <c r="H36" s="262" t="s">
        <v>71</v>
      </c>
      <c r="I36" s="262" t="s">
        <v>131</v>
      </c>
      <c r="J36" s="262" t="s">
        <v>223</v>
      </c>
      <c r="K36" s="263" t="s">
        <v>174</v>
      </c>
    </row>
    <row r="37" spans="1:11" s="169" customFormat="1" ht="54" x14ac:dyDescent="0.25">
      <c r="A37" s="585"/>
      <c r="B37" s="582"/>
      <c r="C37" s="588"/>
      <c r="D37" s="591"/>
      <c r="E37" s="210"/>
      <c r="F37" s="283"/>
      <c r="G37" s="265"/>
      <c r="H37" s="265"/>
      <c r="I37" s="267" t="s">
        <v>75</v>
      </c>
      <c r="J37" s="272" t="s">
        <v>238</v>
      </c>
      <c r="K37" s="263"/>
    </row>
    <row r="38" spans="1:11" s="169" customFormat="1" ht="84" thickBot="1" x14ac:dyDescent="0.3">
      <c r="A38" s="586"/>
      <c r="B38" s="583"/>
      <c r="C38" s="589"/>
      <c r="D38" s="592"/>
      <c r="E38" s="274"/>
      <c r="F38" s="284"/>
      <c r="G38" s="285"/>
      <c r="H38" s="285"/>
      <c r="I38" s="494" t="s">
        <v>221</v>
      </c>
      <c r="J38" s="495" t="s">
        <v>168</v>
      </c>
      <c r="K38" s="257"/>
    </row>
    <row r="39" spans="1:11" ht="26.25" customHeight="1" x14ac:dyDescent="0.25"/>
    <row r="40" spans="1:11" ht="45.75" customHeight="1" x14ac:dyDescent="0.25">
      <c r="A40" s="251"/>
      <c r="B40" s="251" t="s">
        <v>35</v>
      </c>
      <c r="C40" s="251"/>
      <c r="D40" s="251"/>
      <c r="E40" s="251"/>
      <c r="F40" s="251"/>
      <c r="G40" s="251"/>
      <c r="H40" s="251"/>
      <c r="I40" s="251"/>
      <c r="J40" s="251"/>
      <c r="K40" s="251"/>
    </row>
    <row r="41" spans="1:11" ht="45.75" customHeight="1" x14ac:dyDescent="0.25">
      <c r="A41" s="251"/>
      <c r="B41" s="251" t="s">
        <v>36</v>
      </c>
      <c r="C41" s="251"/>
      <c r="D41" s="251"/>
      <c r="E41" s="251" t="s">
        <v>37</v>
      </c>
      <c r="F41" s="251"/>
      <c r="H41" s="251" t="s">
        <v>38</v>
      </c>
      <c r="I41" s="251"/>
      <c r="J41" s="251" t="s">
        <v>61</v>
      </c>
      <c r="K41" s="251"/>
    </row>
    <row r="42" spans="1:11" ht="45.75" customHeight="1" x14ac:dyDescent="0.25">
      <c r="A42" s="251"/>
      <c r="B42" s="251" t="s">
        <v>39</v>
      </c>
      <c r="C42" s="251"/>
      <c r="D42" s="251"/>
      <c r="E42" s="251"/>
      <c r="F42" s="251"/>
      <c r="G42" s="251"/>
      <c r="H42" s="251"/>
      <c r="I42" s="251"/>
      <c r="J42" s="251"/>
      <c r="K42" s="251"/>
    </row>
    <row r="43" spans="1:11" ht="45.75" customHeight="1" x14ac:dyDescent="0.25">
      <c r="A43" s="251"/>
      <c r="B43" s="251" t="s">
        <v>40</v>
      </c>
      <c r="C43" s="251"/>
      <c r="D43" s="251"/>
      <c r="E43" s="251"/>
      <c r="F43" s="251"/>
      <c r="G43" s="251"/>
      <c r="H43" s="251"/>
      <c r="I43" s="251"/>
      <c r="J43" s="251"/>
      <c r="K43" s="251"/>
    </row>
    <row r="44" spans="1:11" ht="45.75" customHeight="1" x14ac:dyDescent="0.25">
      <c r="A44" s="251"/>
      <c r="B44" s="251" t="s">
        <v>41</v>
      </c>
      <c r="C44" s="251"/>
      <c r="D44" s="251"/>
      <c r="E44" s="251"/>
      <c r="F44" s="251"/>
      <c r="G44" s="251"/>
      <c r="H44" s="251"/>
      <c r="I44" s="251"/>
      <c r="J44" s="251"/>
      <c r="K44" s="251"/>
    </row>
    <row r="45" spans="1:11" ht="45.75" customHeight="1" x14ac:dyDescent="0.25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</row>
    <row r="46" spans="1:11" ht="23.25" x14ac:dyDescent="0.35">
      <c r="B46" s="97"/>
      <c r="C46" s="97"/>
      <c r="D46" s="97"/>
      <c r="E46" s="97"/>
      <c r="F46" s="97"/>
      <c r="G46" s="97"/>
      <c r="H46" s="97"/>
      <c r="I46" s="97"/>
      <c r="J46" s="4"/>
      <c r="K46" s="4"/>
    </row>
  </sheetData>
  <mergeCells count="39">
    <mergeCell ref="D22:D23"/>
    <mergeCell ref="E22:K22"/>
    <mergeCell ref="B20:B21"/>
    <mergeCell ref="C20:C21"/>
    <mergeCell ref="A22:A23"/>
    <mergeCell ref="B22:B23"/>
    <mergeCell ref="C22:C23"/>
    <mergeCell ref="C16:C17"/>
    <mergeCell ref="D16:D17"/>
    <mergeCell ref="B33:B38"/>
    <mergeCell ref="A33:A38"/>
    <mergeCell ref="C33:C38"/>
    <mergeCell ref="D33:D38"/>
    <mergeCell ref="B24:B32"/>
    <mergeCell ref="C24:C32"/>
    <mergeCell ref="D24:D32"/>
    <mergeCell ref="A24:A32"/>
    <mergeCell ref="D18:D19"/>
    <mergeCell ref="D20:D21"/>
    <mergeCell ref="A18:A19"/>
    <mergeCell ref="B18:B19"/>
    <mergeCell ref="C18:C19"/>
    <mergeCell ref="A20:A21"/>
    <mergeCell ref="E18:K18"/>
    <mergeCell ref="E20:K20"/>
    <mergeCell ref="E16:K16"/>
    <mergeCell ref="A7:K7"/>
    <mergeCell ref="A8:K8"/>
    <mergeCell ref="A9:K9"/>
    <mergeCell ref="A10:K10"/>
    <mergeCell ref="A11:K11"/>
    <mergeCell ref="F15:K15"/>
    <mergeCell ref="B12:B14"/>
    <mergeCell ref="C12:C14"/>
    <mergeCell ref="D12:D14"/>
    <mergeCell ref="A12:A14"/>
    <mergeCell ref="E12:K12"/>
    <mergeCell ref="A16:A17"/>
    <mergeCell ref="B16:B17"/>
  </mergeCells>
  <pageMargins left="0" right="0" top="0" bottom="0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view="pageBreakPreview" topLeftCell="A10" zoomScale="80" zoomScaleNormal="80" zoomScaleSheetLayoutView="80" zoomScalePageLayoutView="70" workbookViewId="0">
      <selection activeCell="B14" sqref="B14"/>
    </sheetView>
  </sheetViews>
  <sheetFormatPr defaultColWidth="9.140625" defaultRowHeight="15" x14ac:dyDescent="0.25"/>
  <cols>
    <col min="1" max="1" width="3.7109375" style="13" customWidth="1"/>
    <col min="2" max="2" width="91.85546875" style="13" customWidth="1"/>
    <col min="3" max="3" width="37.140625" style="13" customWidth="1"/>
    <col min="4" max="16384" width="9.140625" style="13"/>
  </cols>
  <sheetData>
    <row r="1" spans="1:12" ht="15.75" x14ac:dyDescent="0.25">
      <c r="A1" s="599" t="s">
        <v>135</v>
      </c>
      <c r="B1" s="599"/>
      <c r="C1" s="599"/>
      <c r="D1" s="9"/>
      <c r="E1" s="9"/>
      <c r="F1" s="9"/>
      <c r="G1" s="9"/>
      <c r="H1" s="9"/>
      <c r="I1" s="9"/>
      <c r="J1" s="9"/>
      <c r="K1" s="9"/>
      <c r="L1" s="9"/>
    </row>
    <row r="2" spans="1:12" ht="15.75" x14ac:dyDescent="0.25">
      <c r="A2" s="599" t="s">
        <v>55</v>
      </c>
      <c r="B2" s="599"/>
      <c r="C2" s="599"/>
      <c r="D2" s="9"/>
      <c r="E2" s="9"/>
      <c r="F2" s="9"/>
      <c r="G2" s="9"/>
      <c r="H2" s="9"/>
      <c r="I2" s="9"/>
      <c r="J2" s="9"/>
      <c r="K2" s="9"/>
      <c r="L2" s="9"/>
    </row>
    <row r="3" spans="1:12" ht="15.75" x14ac:dyDescent="0.25">
      <c r="A3" s="599" t="s">
        <v>59</v>
      </c>
      <c r="B3" s="599"/>
      <c r="C3" s="59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600" t="s">
        <v>134</v>
      </c>
      <c r="B4" s="600"/>
      <c r="C4" s="600"/>
    </row>
    <row r="5" spans="1:12" ht="15.75" thickBot="1" x14ac:dyDescent="0.3">
      <c r="A5" s="601" t="s">
        <v>81</v>
      </c>
      <c r="B5" s="601"/>
      <c r="C5" s="601"/>
    </row>
    <row r="6" spans="1:12" ht="50.1" customHeight="1" thickBot="1" x14ac:dyDescent="0.3">
      <c r="A6" s="231" t="s">
        <v>13</v>
      </c>
      <c r="B6" s="232" t="s">
        <v>26</v>
      </c>
      <c r="C6" s="233" t="s">
        <v>14</v>
      </c>
    </row>
    <row r="7" spans="1:12" s="15" customFormat="1" ht="94.5" customHeight="1" x14ac:dyDescent="0.25">
      <c r="A7" s="245">
        <v>1</v>
      </c>
      <c r="B7" s="246" t="s">
        <v>89</v>
      </c>
      <c r="C7" s="247" t="s">
        <v>86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s="15" customFormat="1" ht="63" x14ac:dyDescent="0.25">
      <c r="A8" s="133">
        <v>2</v>
      </c>
      <c r="B8" s="144" t="s">
        <v>90</v>
      </c>
      <c r="C8" s="134" t="s">
        <v>87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66.75" customHeight="1" x14ac:dyDescent="0.25">
      <c r="A9" s="115">
        <v>3</v>
      </c>
      <c r="B9" s="143" t="s">
        <v>91</v>
      </c>
      <c r="C9" s="116" t="s">
        <v>208</v>
      </c>
    </row>
    <row r="10" spans="1:12" ht="63" x14ac:dyDescent="0.25">
      <c r="A10" s="115">
        <v>4</v>
      </c>
      <c r="B10" s="143" t="s">
        <v>92</v>
      </c>
      <c r="C10" s="116" t="s">
        <v>132</v>
      </c>
    </row>
    <row r="11" spans="1:12" ht="98.25" customHeight="1" x14ac:dyDescent="0.25">
      <c r="A11" s="115">
        <v>5</v>
      </c>
      <c r="B11" s="143" t="s">
        <v>93</v>
      </c>
      <c r="C11" s="116" t="s">
        <v>125</v>
      </c>
    </row>
    <row r="12" spans="1:12" ht="64.5" customHeight="1" x14ac:dyDescent="0.25">
      <c r="A12" s="115">
        <v>6</v>
      </c>
      <c r="B12" s="143" t="s">
        <v>94</v>
      </c>
      <c r="C12" s="293" t="s">
        <v>124</v>
      </c>
    </row>
    <row r="13" spans="1:12" ht="64.5" customHeight="1" x14ac:dyDescent="0.25">
      <c r="A13" s="115">
        <v>7</v>
      </c>
      <c r="B13" s="143" t="s">
        <v>95</v>
      </c>
      <c r="C13" s="116" t="s">
        <v>88</v>
      </c>
    </row>
    <row r="14" spans="1:12" s="170" customFormat="1" ht="64.5" customHeight="1" x14ac:dyDescent="0.25">
      <c r="A14" s="171">
        <v>8</v>
      </c>
      <c r="B14" s="173" t="s">
        <v>96</v>
      </c>
      <c r="C14" s="172" t="s">
        <v>113</v>
      </c>
    </row>
    <row r="15" spans="1:12" s="170" customFormat="1" ht="64.5" customHeight="1" x14ac:dyDescent="0.25">
      <c r="A15" s="115">
        <v>9</v>
      </c>
      <c r="B15" s="143" t="s">
        <v>97</v>
      </c>
      <c r="C15" s="116" t="s">
        <v>211</v>
      </c>
    </row>
    <row r="16" spans="1:12" ht="81.75" customHeight="1" thickBot="1" x14ac:dyDescent="0.3">
      <c r="A16" s="252">
        <v>10</v>
      </c>
      <c r="B16" s="230" t="s">
        <v>98</v>
      </c>
      <c r="C16" s="248" t="s">
        <v>211</v>
      </c>
    </row>
    <row r="17" spans="1:3" ht="15.75" x14ac:dyDescent="0.25">
      <c r="A17" s="10" t="s">
        <v>17</v>
      </c>
      <c r="B17" s="11"/>
      <c r="C17" s="12"/>
    </row>
    <row r="18" spans="1:3" ht="15.75" x14ac:dyDescent="0.25">
      <c r="A18" s="10" t="s">
        <v>54</v>
      </c>
      <c r="B18" s="11"/>
      <c r="C18" s="12"/>
    </row>
    <row r="19" spans="1:3" ht="19.5" customHeight="1" x14ac:dyDescent="0.25">
      <c r="A19" s="597" t="s">
        <v>42</v>
      </c>
      <c r="B19" s="597"/>
      <c r="C19" s="597"/>
    </row>
    <row r="20" spans="1:3" ht="15.75" x14ac:dyDescent="0.25">
      <c r="A20" s="598" t="s">
        <v>18</v>
      </c>
      <c r="B20" s="598"/>
      <c r="C20" s="19"/>
    </row>
    <row r="21" spans="1:3" ht="19.5" customHeight="1" x14ac:dyDescent="0.3">
      <c r="A21" s="132" t="s">
        <v>51</v>
      </c>
      <c r="B21" s="16"/>
      <c r="C21" s="18"/>
    </row>
    <row r="22" spans="1:3" x14ac:dyDescent="0.25">
      <c r="A22" s="14"/>
      <c r="B22" s="16"/>
      <c r="C22" s="18"/>
    </row>
    <row r="23" spans="1:3" x14ac:dyDescent="0.25">
      <c r="A23" s="14"/>
      <c r="B23" s="16"/>
      <c r="C23" s="18"/>
    </row>
    <row r="24" spans="1:3" x14ac:dyDescent="0.25">
      <c r="A24" s="14"/>
      <c r="B24" s="16"/>
      <c r="C24" s="18"/>
    </row>
    <row r="25" spans="1:3" x14ac:dyDescent="0.25">
      <c r="A25" s="14"/>
      <c r="B25" s="16"/>
      <c r="C25" s="18"/>
    </row>
    <row r="26" spans="1:3" x14ac:dyDescent="0.25">
      <c r="A26" s="14"/>
      <c r="B26" s="16"/>
      <c r="C26" s="17"/>
    </row>
    <row r="27" spans="1:3" x14ac:dyDescent="0.25">
      <c r="A27" s="14"/>
      <c r="B27" s="16"/>
      <c r="C27" s="18"/>
    </row>
    <row r="28" spans="1:3" x14ac:dyDescent="0.25">
      <c r="A28" s="14"/>
      <c r="B28" s="16"/>
      <c r="C28" s="18"/>
    </row>
    <row r="29" spans="1:3" x14ac:dyDescent="0.25">
      <c r="A29" s="14"/>
      <c r="B29" s="16"/>
      <c r="C29" s="18"/>
    </row>
    <row r="30" spans="1:3" x14ac:dyDescent="0.25">
      <c r="A30" s="14"/>
      <c r="B30" s="16"/>
      <c r="C30" s="18"/>
    </row>
    <row r="31" spans="1:3" x14ac:dyDescent="0.25">
      <c r="A31" s="14"/>
      <c r="B31" s="16"/>
      <c r="C31" s="18"/>
    </row>
    <row r="32" spans="1:3" x14ac:dyDescent="0.25">
      <c r="A32" s="14"/>
      <c r="B32" s="16"/>
      <c r="C32" s="18"/>
    </row>
    <row r="33" spans="1:3" x14ac:dyDescent="0.25">
      <c r="A33" s="14"/>
      <c r="B33" s="16"/>
      <c r="C33" s="18"/>
    </row>
    <row r="34" spans="1:3" x14ac:dyDescent="0.25">
      <c r="A34" s="14"/>
      <c r="B34" s="16"/>
      <c r="C34" s="18"/>
    </row>
    <row r="35" spans="1:3" x14ac:dyDescent="0.25">
      <c r="A35" s="14"/>
      <c r="B35" s="16"/>
      <c r="C35" s="18"/>
    </row>
    <row r="36" spans="1:3" x14ac:dyDescent="0.25">
      <c r="A36" s="14"/>
      <c r="B36" s="16"/>
      <c r="C36" s="18"/>
    </row>
    <row r="37" spans="1:3" x14ac:dyDescent="0.25">
      <c r="A37" s="14"/>
      <c r="B37" s="16"/>
      <c r="C37" s="18"/>
    </row>
    <row r="38" spans="1:3" x14ac:dyDescent="0.25">
      <c r="A38" s="14"/>
      <c r="B38" s="16"/>
      <c r="C38" s="18"/>
    </row>
    <row r="39" spans="1:3" x14ac:dyDescent="0.25">
      <c r="A39" s="14"/>
      <c r="B39" s="16"/>
      <c r="C39" s="17"/>
    </row>
    <row r="40" spans="1:3" x14ac:dyDescent="0.25">
      <c r="A40" s="14"/>
      <c r="B40" s="16"/>
      <c r="C40" s="17"/>
    </row>
    <row r="41" spans="1:3" x14ac:dyDescent="0.25">
      <c r="A41" s="14"/>
      <c r="B41" s="16"/>
      <c r="C41" s="17"/>
    </row>
    <row r="42" spans="1:3" x14ac:dyDescent="0.25">
      <c r="A42" s="14"/>
      <c r="B42" s="16"/>
      <c r="C42" s="18"/>
    </row>
    <row r="43" spans="1:3" x14ac:dyDescent="0.25">
      <c r="A43" s="14"/>
      <c r="B43" s="16"/>
      <c r="C43" s="18"/>
    </row>
    <row r="44" spans="1:3" x14ac:dyDescent="0.25">
      <c r="A44" s="14"/>
      <c r="B44" s="16"/>
      <c r="C44" s="18"/>
    </row>
    <row r="45" spans="1:3" x14ac:dyDescent="0.25">
      <c r="A45" s="14"/>
      <c r="B45" s="16"/>
      <c r="C45" s="18"/>
    </row>
    <row r="46" spans="1:3" x14ac:dyDescent="0.25">
      <c r="A46" s="14"/>
      <c r="B46" s="16"/>
      <c r="C46" s="18"/>
    </row>
    <row r="47" spans="1:3" x14ac:dyDescent="0.25">
      <c r="A47" s="14"/>
      <c r="B47" s="16"/>
      <c r="C47" s="18"/>
    </row>
    <row r="48" spans="1:3" x14ac:dyDescent="0.25">
      <c r="A48" s="14"/>
      <c r="B48" s="14"/>
      <c r="C48" s="14"/>
    </row>
  </sheetData>
  <mergeCells count="7">
    <mergeCell ref="A19:C19"/>
    <mergeCell ref="A20:B20"/>
    <mergeCell ref="A1:C1"/>
    <mergeCell ref="A2:C2"/>
    <mergeCell ref="A3:C3"/>
    <mergeCell ref="A4:C4"/>
    <mergeCell ref="A5:C5"/>
  </mergeCells>
  <pageMargins left="0.11811023622047245" right="0.11811023622047245" top="0.55118110236220474" bottom="0.55118110236220474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3"/>
  <sheetViews>
    <sheetView view="pageBreakPreview" topLeftCell="A7" zoomScale="40" zoomScaleNormal="40" zoomScaleSheetLayoutView="40" zoomScalePageLayoutView="40" workbookViewId="0">
      <selection activeCell="I13" sqref="I13"/>
    </sheetView>
  </sheetViews>
  <sheetFormatPr defaultColWidth="9.140625" defaultRowHeight="15" x14ac:dyDescent="0.25"/>
  <cols>
    <col min="1" max="1" width="4.42578125" style="13" customWidth="1"/>
    <col min="2" max="2" width="3.5703125" style="13" customWidth="1"/>
    <col min="3" max="3" width="23.7109375" style="13" customWidth="1"/>
    <col min="4" max="4" width="46.42578125" style="13" customWidth="1"/>
    <col min="5" max="5" width="51.42578125" style="13" customWidth="1"/>
    <col min="6" max="6" width="44.5703125" style="13" customWidth="1"/>
    <col min="7" max="7" width="47.85546875" style="13" customWidth="1"/>
    <col min="8" max="8" width="62.140625" style="13" customWidth="1"/>
    <col min="9" max="9" width="61.42578125" style="13" customWidth="1"/>
    <col min="10" max="10" width="51.42578125" style="13" customWidth="1"/>
    <col min="11" max="25" width="9.140625" style="13"/>
    <col min="26" max="26" width="12.7109375" style="13" customWidth="1"/>
    <col min="27" max="16384" width="9.140625" style="13"/>
  </cols>
  <sheetData>
    <row r="1" spans="1:10" ht="33" customHeight="1" x14ac:dyDescent="0.3">
      <c r="A1" s="20"/>
      <c r="B1" s="556" t="s">
        <v>133</v>
      </c>
      <c r="C1" s="556"/>
      <c r="D1" s="556"/>
      <c r="E1" s="556"/>
      <c r="F1" s="556"/>
      <c r="G1" s="556"/>
      <c r="H1" s="556"/>
      <c r="I1" s="556"/>
      <c r="J1" s="556"/>
    </row>
    <row r="2" spans="1:10" ht="27" x14ac:dyDescent="0.3">
      <c r="A2" s="20"/>
      <c r="B2" s="556" t="s">
        <v>55</v>
      </c>
      <c r="C2" s="556"/>
      <c r="D2" s="556"/>
      <c r="E2" s="556"/>
      <c r="F2" s="556"/>
      <c r="G2" s="556"/>
      <c r="H2" s="556"/>
      <c r="I2" s="556"/>
      <c r="J2" s="556"/>
    </row>
    <row r="3" spans="1:10" ht="27" x14ac:dyDescent="0.25">
      <c r="A3" s="609" t="s">
        <v>60</v>
      </c>
      <c r="B3" s="609"/>
      <c r="C3" s="609"/>
      <c r="D3" s="609"/>
      <c r="E3" s="609"/>
      <c r="F3" s="609"/>
      <c r="G3" s="609"/>
      <c r="H3" s="609"/>
      <c r="I3" s="609"/>
      <c r="J3" s="609"/>
    </row>
    <row r="4" spans="1:10" ht="27" x14ac:dyDescent="0.25">
      <c r="A4" s="8"/>
      <c r="B4" s="556" t="s">
        <v>134</v>
      </c>
      <c r="C4" s="556"/>
      <c r="D4" s="556"/>
      <c r="E4" s="556"/>
      <c r="F4" s="556"/>
      <c r="G4" s="556"/>
      <c r="H4" s="556"/>
      <c r="I4" s="556"/>
      <c r="J4" s="556"/>
    </row>
    <row r="5" spans="1:10" ht="27" x14ac:dyDescent="0.25">
      <c r="A5" s="8"/>
      <c r="B5" s="610" t="s">
        <v>81</v>
      </c>
      <c r="C5" s="610"/>
      <c r="D5" s="610"/>
      <c r="E5" s="610"/>
      <c r="F5" s="610"/>
      <c r="G5" s="610"/>
      <c r="H5" s="610"/>
      <c r="I5" s="610"/>
      <c r="J5" s="610"/>
    </row>
    <row r="6" spans="1:10" ht="26.25" thickBot="1" x14ac:dyDescent="0.35">
      <c r="A6" s="24"/>
      <c r="B6" s="611" t="s">
        <v>136</v>
      </c>
      <c r="C6" s="611"/>
      <c r="D6" s="611"/>
      <c r="E6" s="611"/>
      <c r="F6" s="611"/>
      <c r="G6" s="611"/>
      <c r="H6" s="611"/>
      <c r="I6" s="611"/>
      <c r="J6" s="611"/>
    </row>
    <row r="7" spans="1:10" ht="30.75" customHeight="1" thickBot="1" x14ac:dyDescent="0.3">
      <c r="A7" s="613" t="s">
        <v>16</v>
      </c>
      <c r="B7" s="613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75.5" customHeight="1" thickBot="1" x14ac:dyDescent="0.3">
      <c r="A8" s="614"/>
      <c r="B8" s="614"/>
      <c r="C8" s="603"/>
      <c r="D8" s="208" t="s">
        <v>65</v>
      </c>
      <c r="E8" s="178" t="s">
        <v>67</v>
      </c>
      <c r="F8" s="178" t="s">
        <v>48</v>
      </c>
      <c r="G8" s="388" t="s">
        <v>63</v>
      </c>
      <c r="H8" s="178" t="s">
        <v>56</v>
      </c>
      <c r="I8" s="178" t="s">
        <v>83</v>
      </c>
      <c r="J8" s="179" t="s">
        <v>82</v>
      </c>
    </row>
    <row r="9" spans="1:10" ht="26.25" x14ac:dyDescent="0.25">
      <c r="A9" s="606" t="s">
        <v>0</v>
      </c>
      <c r="B9" s="607"/>
      <c r="C9" s="90" t="s">
        <v>5</v>
      </c>
      <c r="D9" s="125"/>
      <c r="E9" s="102"/>
      <c r="F9" s="102"/>
      <c r="G9" s="102"/>
      <c r="H9" s="294"/>
      <c r="I9" s="102"/>
      <c r="J9" s="126"/>
    </row>
    <row r="10" spans="1:10" ht="26.25" x14ac:dyDescent="0.25">
      <c r="A10" s="606"/>
      <c r="B10" s="607"/>
      <c r="C10" s="91" t="s">
        <v>6</v>
      </c>
      <c r="D10" s="111"/>
      <c r="E10" s="103"/>
      <c r="F10" s="103"/>
      <c r="G10" s="103"/>
      <c r="H10" s="295"/>
      <c r="I10" s="103"/>
      <c r="J10" s="110"/>
    </row>
    <row r="11" spans="1:10" ht="136.5" customHeight="1" x14ac:dyDescent="0.25">
      <c r="A11" s="606"/>
      <c r="B11" s="607"/>
      <c r="C11" s="91" t="s">
        <v>7</v>
      </c>
      <c r="D11" s="168"/>
      <c r="E11" s="103"/>
      <c r="F11" s="103"/>
      <c r="G11" s="103"/>
      <c r="H11" s="295" t="s">
        <v>210</v>
      </c>
      <c r="I11" s="103"/>
      <c r="J11" s="110"/>
    </row>
    <row r="12" spans="1:10" ht="136.5" customHeight="1" x14ac:dyDescent="0.25">
      <c r="A12" s="604"/>
      <c r="B12" s="604"/>
      <c r="C12" s="91" t="s">
        <v>24</v>
      </c>
      <c r="D12" s="108"/>
      <c r="E12" s="107"/>
      <c r="F12" s="107"/>
      <c r="G12" s="107"/>
      <c r="H12" s="295" t="s">
        <v>210</v>
      </c>
      <c r="I12" s="107"/>
      <c r="J12" s="109"/>
    </row>
    <row r="13" spans="1:10" ht="51" customHeight="1" x14ac:dyDescent="0.25">
      <c r="A13" s="604"/>
      <c r="B13" s="604"/>
      <c r="C13" s="91" t="s">
        <v>25</v>
      </c>
      <c r="D13" s="108"/>
      <c r="E13" s="107"/>
      <c r="F13" s="107"/>
      <c r="G13" s="145"/>
      <c r="H13" s="295"/>
      <c r="I13" s="103"/>
      <c r="J13" s="110"/>
    </row>
    <row r="14" spans="1:10" ht="51" customHeight="1" x14ac:dyDescent="0.25">
      <c r="A14" s="604"/>
      <c r="B14" s="604"/>
      <c r="C14" s="91" t="s">
        <v>19</v>
      </c>
      <c r="D14" s="111"/>
      <c r="E14" s="103"/>
      <c r="F14" s="103"/>
      <c r="G14" s="145"/>
      <c r="H14" s="295"/>
      <c r="I14" s="103"/>
      <c r="J14" s="110"/>
    </row>
    <row r="15" spans="1:10" ht="51" customHeight="1" thickBot="1" x14ac:dyDescent="0.3">
      <c r="A15" s="604"/>
      <c r="B15" s="604"/>
      <c r="C15" s="91" t="s">
        <v>20</v>
      </c>
      <c r="D15" s="112"/>
      <c r="E15" s="113"/>
      <c r="F15" s="113"/>
      <c r="G15" s="113"/>
      <c r="H15" s="113"/>
      <c r="I15" s="113"/>
      <c r="J15" s="114"/>
    </row>
    <row r="16" spans="1:10" ht="41.25" customHeight="1" x14ac:dyDescent="0.25">
      <c r="A16" s="604" t="s">
        <v>1</v>
      </c>
      <c r="B16" s="605"/>
      <c r="C16" s="90" t="s">
        <v>5</v>
      </c>
      <c r="D16" s="85"/>
      <c r="E16" s="101"/>
      <c r="F16" s="101"/>
      <c r="G16" s="101"/>
      <c r="H16" s="101"/>
      <c r="I16" s="101"/>
      <c r="J16" s="119"/>
    </row>
    <row r="17" spans="1:12" ht="41.25" customHeight="1" x14ac:dyDescent="0.25">
      <c r="A17" s="604"/>
      <c r="B17" s="605"/>
      <c r="C17" s="91" t="s">
        <v>6</v>
      </c>
      <c r="D17" s="123"/>
      <c r="E17" s="181"/>
      <c r="F17" s="181"/>
      <c r="G17" s="181"/>
      <c r="H17" s="181"/>
      <c r="I17" s="107"/>
      <c r="J17" s="124"/>
    </row>
    <row r="18" spans="1:12" ht="69.75" x14ac:dyDescent="0.25">
      <c r="A18" s="604"/>
      <c r="B18" s="605"/>
      <c r="C18" s="91" t="s">
        <v>7</v>
      </c>
      <c r="D18" s="168"/>
      <c r="E18" s="181"/>
      <c r="F18" s="181" t="s">
        <v>215</v>
      </c>
      <c r="G18" s="181"/>
      <c r="H18" s="296"/>
      <c r="I18" s="181"/>
      <c r="J18" s="110"/>
    </row>
    <row r="19" spans="1:12" ht="41.25" customHeight="1" x14ac:dyDescent="0.25">
      <c r="A19" s="604"/>
      <c r="B19" s="604"/>
      <c r="C19" s="91" t="s">
        <v>24</v>
      </c>
      <c r="D19" s="108"/>
      <c r="E19" s="107"/>
      <c r="F19" s="107"/>
      <c r="G19" s="107"/>
      <c r="H19" s="296"/>
      <c r="I19" s="107"/>
      <c r="J19" s="109"/>
    </row>
    <row r="20" spans="1:12" ht="69.75" x14ac:dyDescent="0.25">
      <c r="A20" s="604"/>
      <c r="B20" s="604"/>
      <c r="C20" s="91" t="s">
        <v>25</v>
      </c>
      <c r="D20" s="331" t="s">
        <v>230</v>
      </c>
      <c r="E20" s="107"/>
      <c r="F20" s="103"/>
      <c r="G20" s="145" t="s">
        <v>213</v>
      </c>
      <c r="H20" s="295"/>
      <c r="I20" s="107"/>
      <c r="J20" s="109"/>
    </row>
    <row r="21" spans="1:12" ht="41.25" customHeight="1" x14ac:dyDescent="0.25">
      <c r="A21" s="604"/>
      <c r="B21" s="604"/>
      <c r="C21" s="91" t="s">
        <v>19</v>
      </c>
      <c r="D21" s="108"/>
      <c r="E21" s="103"/>
      <c r="F21" s="107"/>
      <c r="G21" s="145"/>
      <c r="H21" s="107"/>
      <c r="I21" s="107"/>
      <c r="J21" s="109"/>
    </row>
    <row r="22" spans="1:12" ht="41.25" customHeight="1" thickBot="1" x14ac:dyDescent="0.3">
      <c r="A22" s="604"/>
      <c r="B22" s="604"/>
      <c r="C22" s="91" t="s">
        <v>20</v>
      </c>
      <c r="D22" s="104"/>
      <c r="E22" s="105"/>
      <c r="F22" s="105"/>
      <c r="G22" s="105"/>
      <c r="H22" s="105"/>
      <c r="I22" s="105"/>
      <c r="J22" s="106"/>
      <c r="L22" s="14"/>
    </row>
    <row r="23" spans="1:12" ht="51" customHeight="1" x14ac:dyDescent="0.25">
      <c r="A23" s="604" t="s">
        <v>2</v>
      </c>
      <c r="B23" s="605"/>
      <c r="C23" s="90" t="s">
        <v>5</v>
      </c>
      <c r="D23" s="118"/>
      <c r="E23" s="101"/>
      <c r="F23" s="102"/>
      <c r="G23" s="544" t="s">
        <v>214</v>
      </c>
      <c r="H23" s="294"/>
      <c r="I23" s="101"/>
      <c r="J23" s="119"/>
    </row>
    <row r="24" spans="1:12" ht="51" customHeight="1" x14ac:dyDescent="0.25">
      <c r="A24" s="604"/>
      <c r="B24" s="604"/>
      <c r="C24" s="91" t="s">
        <v>6</v>
      </c>
      <c r="D24" s="108"/>
      <c r="E24" s="107"/>
      <c r="F24" s="107"/>
      <c r="G24" s="107"/>
      <c r="H24" s="296"/>
      <c r="I24" s="107"/>
      <c r="J24" s="389"/>
    </row>
    <row r="25" spans="1:12" ht="51" customHeight="1" x14ac:dyDescent="0.25">
      <c r="A25" s="604"/>
      <c r="B25" s="604"/>
      <c r="C25" s="91" t="s">
        <v>7</v>
      </c>
      <c r="D25" s="108"/>
      <c r="E25" s="107"/>
      <c r="F25" s="107"/>
      <c r="G25" s="390"/>
      <c r="H25" s="107"/>
      <c r="I25" s="107"/>
      <c r="J25" s="109"/>
    </row>
    <row r="26" spans="1:12" ht="51" customHeight="1" x14ac:dyDescent="0.25">
      <c r="A26" s="604"/>
      <c r="B26" s="604"/>
      <c r="C26" s="91" t="s">
        <v>24</v>
      </c>
      <c r="D26" s="108"/>
      <c r="E26" s="107"/>
      <c r="F26" s="107"/>
      <c r="G26" s="107"/>
      <c r="H26" s="107"/>
      <c r="I26" s="107"/>
      <c r="J26" s="109"/>
      <c r="L26" s="14"/>
    </row>
    <row r="27" spans="1:12" ht="116.25" x14ac:dyDescent="0.25">
      <c r="A27" s="604"/>
      <c r="B27" s="604"/>
      <c r="C27" s="91" t="s">
        <v>25</v>
      </c>
      <c r="D27" s="108"/>
      <c r="E27" s="107"/>
      <c r="F27" s="103"/>
      <c r="G27" s="107"/>
      <c r="H27" s="545" t="s">
        <v>217</v>
      </c>
      <c r="I27" s="107" t="s">
        <v>226</v>
      </c>
      <c r="J27" s="109"/>
    </row>
    <row r="28" spans="1:12" ht="68.25" customHeight="1" x14ac:dyDescent="0.25">
      <c r="A28" s="604"/>
      <c r="B28" s="604"/>
      <c r="C28" s="91" t="s">
        <v>19</v>
      </c>
      <c r="D28" s="111"/>
      <c r="E28" s="352" t="s">
        <v>219</v>
      </c>
      <c r="F28" s="103"/>
      <c r="G28" s="107"/>
      <c r="H28" s="107"/>
      <c r="I28" s="103"/>
      <c r="J28" s="109"/>
    </row>
    <row r="29" spans="1:12" ht="51" customHeight="1" thickBot="1" x14ac:dyDescent="0.3">
      <c r="A29" s="604"/>
      <c r="B29" s="604"/>
      <c r="C29" s="91" t="s">
        <v>20</v>
      </c>
      <c r="D29" s="112"/>
      <c r="E29" s="113"/>
      <c r="F29" s="113"/>
      <c r="G29" s="113"/>
      <c r="H29" s="113"/>
      <c r="I29" s="192"/>
      <c r="J29" s="193"/>
    </row>
    <row r="30" spans="1:12" ht="51" customHeight="1" x14ac:dyDescent="0.25">
      <c r="A30" s="604" t="s">
        <v>3</v>
      </c>
      <c r="B30" s="605"/>
      <c r="C30" s="90" t="s">
        <v>5</v>
      </c>
      <c r="D30" s="118"/>
      <c r="E30" s="101"/>
      <c r="F30" s="101"/>
      <c r="G30" s="181"/>
      <c r="H30" s="296"/>
      <c r="I30" s="101"/>
      <c r="J30" s="119"/>
    </row>
    <row r="31" spans="1:12" ht="51" customHeight="1" x14ac:dyDescent="0.25">
      <c r="A31" s="604"/>
      <c r="B31" s="605"/>
      <c r="C31" s="91" t="s">
        <v>6</v>
      </c>
      <c r="D31" s="123"/>
      <c r="E31" s="181"/>
      <c r="F31" s="181"/>
      <c r="G31" s="181"/>
      <c r="H31" s="297"/>
      <c r="I31" s="181"/>
      <c r="J31" s="389"/>
    </row>
    <row r="32" spans="1:12" ht="116.25" x14ac:dyDescent="0.25">
      <c r="A32" s="604"/>
      <c r="B32" s="605"/>
      <c r="C32" s="91" t="s">
        <v>7</v>
      </c>
      <c r="D32" s="123" t="s">
        <v>236</v>
      </c>
      <c r="E32" s="181"/>
      <c r="F32" s="181"/>
      <c r="G32" s="181"/>
      <c r="H32" s="181"/>
      <c r="I32" s="352" t="s">
        <v>227</v>
      </c>
      <c r="J32" s="389" t="s">
        <v>224</v>
      </c>
    </row>
    <row r="33" spans="1:10" ht="81" customHeight="1" x14ac:dyDescent="0.25">
      <c r="A33" s="612"/>
      <c r="B33" s="604"/>
      <c r="C33" s="91" t="s">
        <v>24</v>
      </c>
      <c r="D33" s="108"/>
      <c r="E33" s="107"/>
      <c r="F33" s="107"/>
      <c r="G33" s="107"/>
      <c r="H33" s="181"/>
      <c r="I33" s="107"/>
      <c r="J33" s="389" t="s">
        <v>225</v>
      </c>
    </row>
    <row r="34" spans="1:10" ht="69" customHeight="1" x14ac:dyDescent="0.25">
      <c r="A34" s="612"/>
      <c r="B34" s="604"/>
      <c r="C34" s="91" t="s">
        <v>25</v>
      </c>
      <c r="D34" s="331" t="s">
        <v>237</v>
      </c>
      <c r="E34" s="103"/>
      <c r="F34" s="390" t="s">
        <v>216</v>
      </c>
      <c r="G34" s="107"/>
      <c r="H34" s="103"/>
      <c r="I34" s="103" t="s">
        <v>240</v>
      </c>
      <c r="J34" s="110"/>
    </row>
    <row r="35" spans="1:10" ht="64.5" customHeight="1" x14ac:dyDescent="0.25">
      <c r="A35" s="612"/>
      <c r="B35" s="604"/>
      <c r="C35" s="91" t="s">
        <v>19</v>
      </c>
      <c r="D35" s="111"/>
      <c r="E35" s="103" t="s">
        <v>220</v>
      </c>
      <c r="F35" s="103"/>
      <c r="G35" s="107"/>
      <c r="H35" s="103"/>
      <c r="I35" s="103"/>
      <c r="J35" s="110"/>
    </row>
    <row r="36" spans="1:10" ht="51" customHeight="1" thickBot="1" x14ac:dyDescent="0.3">
      <c r="A36" s="612"/>
      <c r="B36" s="604"/>
      <c r="C36" s="91" t="s">
        <v>20</v>
      </c>
      <c r="D36" s="104"/>
      <c r="E36" s="127"/>
      <c r="F36" s="105"/>
      <c r="G36" s="127"/>
      <c r="H36" s="127"/>
      <c r="I36" s="105"/>
      <c r="J36" s="106"/>
    </row>
    <row r="37" spans="1:10" ht="51" customHeight="1" x14ac:dyDescent="0.25">
      <c r="A37" s="604" t="s">
        <v>4</v>
      </c>
      <c r="B37" s="605"/>
      <c r="C37" s="90" t="s">
        <v>5</v>
      </c>
      <c r="D37" s="118"/>
      <c r="E37" s="101"/>
      <c r="F37" s="101"/>
      <c r="G37" s="101"/>
      <c r="H37" s="101"/>
      <c r="I37" s="101"/>
      <c r="J37" s="119"/>
    </row>
    <row r="38" spans="1:10" ht="51" customHeight="1" x14ac:dyDescent="0.25">
      <c r="A38" s="604"/>
      <c r="B38" s="605"/>
      <c r="C38" s="91" t="s">
        <v>6</v>
      </c>
      <c r="D38" s="108"/>
      <c r="E38" s="107"/>
      <c r="F38" s="107"/>
      <c r="G38" s="107"/>
      <c r="H38" s="107"/>
      <c r="I38" s="107"/>
      <c r="J38" s="389"/>
    </row>
    <row r="39" spans="1:10" ht="93" x14ac:dyDescent="0.25">
      <c r="A39" s="604"/>
      <c r="B39" s="604"/>
      <c r="C39" s="91" t="s">
        <v>7</v>
      </c>
      <c r="D39" s="123" t="s">
        <v>235</v>
      </c>
      <c r="E39" s="107"/>
      <c r="F39" s="107"/>
      <c r="G39" s="107"/>
      <c r="H39" s="107"/>
      <c r="I39" s="107"/>
      <c r="J39" s="389" t="s">
        <v>222</v>
      </c>
    </row>
    <row r="40" spans="1:10" ht="116.25" x14ac:dyDescent="0.25">
      <c r="A40" s="604"/>
      <c r="B40" s="604"/>
      <c r="C40" s="91" t="s">
        <v>24</v>
      </c>
      <c r="D40" s="108"/>
      <c r="E40" s="107"/>
      <c r="F40" s="107"/>
      <c r="G40" s="182"/>
      <c r="H40" s="107" t="s">
        <v>209</v>
      </c>
      <c r="I40" s="107"/>
      <c r="J40" s="109"/>
    </row>
    <row r="41" spans="1:10" ht="139.5" x14ac:dyDescent="0.25">
      <c r="A41" s="604"/>
      <c r="B41" s="604"/>
      <c r="C41" s="91" t="s">
        <v>25</v>
      </c>
      <c r="D41" s="111"/>
      <c r="E41" s="103"/>
      <c r="F41" s="103"/>
      <c r="G41" s="182"/>
      <c r="H41" s="545" t="s">
        <v>218</v>
      </c>
      <c r="I41" s="103" t="s">
        <v>228</v>
      </c>
      <c r="J41" s="110"/>
    </row>
    <row r="42" spans="1:10" ht="51" customHeight="1" thickBot="1" x14ac:dyDescent="0.3">
      <c r="A42" s="608"/>
      <c r="B42" s="608"/>
      <c r="C42" s="91" t="s">
        <v>19</v>
      </c>
      <c r="D42" s="112"/>
      <c r="E42" s="113"/>
      <c r="F42" s="113"/>
      <c r="G42" s="113"/>
      <c r="H42" s="113"/>
      <c r="I42" s="113"/>
      <c r="J42" s="114"/>
    </row>
    <row r="43" spans="1:10" ht="51" customHeight="1" x14ac:dyDescent="0.25">
      <c r="A43" s="604" t="s">
        <v>12</v>
      </c>
      <c r="B43" s="605"/>
      <c r="C43" s="34" t="s">
        <v>5</v>
      </c>
      <c r="D43" s="123"/>
      <c r="E43" s="181"/>
      <c r="F43" s="181"/>
      <c r="G43" s="181"/>
      <c r="H43" s="181"/>
      <c r="I43" s="181"/>
      <c r="J43" s="124"/>
    </row>
    <row r="44" spans="1:10" ht="51" customHeight="1" x14ac:dyDescent="0.25">
      <c r="A44" s="604"/>
      <c r="B44" s="605"/>
      <c r="C44" s="128" t="s">
        <v>7</v>
      </c>
      <c r="D44" s="123"/>
      <c r="E44" s="181"/>
      <c r="F44" s="107"/>
      <c r="G44" s="181"/>
      <c r="H44" s="181"/>
      <c r="I44" s="181"/>
      <c r="J44" s="124"/>
    </row>
    <row r="45" spans="1:10" ht="51" customHeight="1" x14ac:dyDescent="0.25">
      <c r="A45" s="604"/>
      <c r="B45" s="604"/>
      <c r="C45" s="35" t="s">
        <v>24</v>
      </c>
      <c r="D45" s="108"/>
      <c r="E45" s="107"/>
      <c r="F45" s="107"/>
      <c r="G45" s="107"/>
      <c r="H45" s="107"/>
      <c r="I45" s="107"/>
      <c r="J45" s="109"/>
    </row>
    <row r="46" spans="1:10" ht="51" customHeight="1" x14ac:dyDescent="0.25">
      <c r="A46" s="604"/>
      <c r="B46" s="604"/>
      <c r="C46" s="35" t="s">
        <v>25</v>
      </c>
      <c r="D46" s="108"/>
      <c r="E46" s="107"/>
      <c r="F46" s="107"/>
      <c r="G46" s="107"/>
      <c r="H46" s="107"/>
      <c r="I46" s="107"/>
      <c r="J46" s="109"/>
    </row>
    <row r="47" spans="1:10" ht="51" customHeight="1" x14ac:dyDescent="0.25">
      <c r="A47" s="604"/>
      <c r="B47" s="604"/>
      <c r="C47" s="35" t="s">
        <v>19</v>
      </c>
      <c r="D47" s="111"/>
      <c r="E47" s="103"/>
      <c r="F47" s="103"/>
      <c r="G47" s="103"/>
      <c r="H47" s="103"/>
      <c r="I47" s="103"/>
      <c r="J47" s="110"/>
    </row>
    <row r="48" spans="1:10" ht="51" customHeight="1" thickBot="1" x14ac:dyDescent="0.3">
      <c r="A48" s="608"/>
      <c r="B48" s="608"/>
      <c r="C48" s="36" t="s">
        <v>20</v>
      </c>
      <c r="D48" s="112"/>
      <c r="E48" s="113"/>
      <c r="F48" s="113"/>
      <c r="G48" s="113"/>
      <c r="H48" s="113"/>
      <c r="I48" s="113"/>
      <c r="J48" s="114"/>
    </row>
    <row r="49" spans="1:10" ht="27.75" x14ac:dyDescent="0.4">
      <c r="A49" s="6"/>
      <c r="B49" s="6"/>
      <c r="C49" s="21"/>
      <c r="D49" s="131" t="s">
        <v>51</v>
      </c>
      <c r="E49" s="21"/>
      <c r="F49" s="130"/>
      <c r="G49" s="21"/>
      <c r="H49" s="21"/>
      <c r="I49" s="21"/>
      <c r="J49" s="6"/>
    </row>
    <row r="50" spans="1:10" ht="18.75" hidden="1" x14ac:dyDescent="0.3">
      <c r="A50" s="6"/>
      <c r="B50" s="6"/>
      <c r="C50" s="22" t="str">
        <f>'01.09'!C40</f>
        <v>*Л. Основы медицинских знаний и спортивная медицина*</v>
      </c>
      <c r="D50" s="23">
        <f>'01.09'!D40+COUNTIF(D$9:D$42,$C50)</f>
        <v>1</v>
      </c>
      <c r="E50" s="23">
        <f>'01.09'!E40+COUNTIF(E$9:E$42,$C50)</f>
        <v>1</v>
      </c>
      <c r="F50" s="129">
        <f>'01.09'!F40+COUNTIF(F$9:F$42,$C50)</f>
        <v>1</v>
      </c>
      <c r="G50" s="23">
        <f>'01.09'!G40+COUNTIF(G$9:G$42,$C50)</f>
        <v>1</v>
      </c>
      <c r="H50" s="23">
        <f>'01.09'!H40+COUNTIF(H$9:H$42,$C50)</f>
        <v>1</v>
      </c>
      <c r="I50" s="23">
        <f>'01.09'!I40+COUNTIF(I$9:I$42,$C50)</f>
        <v>1</v>
      </c>
      <c r="J50" s="23">
        <f>'01.09'!J40+COUNTIF(J$9:J$42,$C50)</f>
        <v>1</v>
      </c>
    </row>
    <row r="51" spans="1:10" ht="18.75" hidden="1" x14ac:dyDescent="0.3">
      <c r="A51" s="6"/>
      <c r="B51" s="6"/>
      <c r="C51" s="22" t="str">
        <f>'01.09'!C41</f>
        <v>*Пр. Основы медицинских знаний и спортивная медицина*</v>
      </c>
      <c r="D51" s="23">
        <f>'01.09'!D41+COUNTIF(D$9:D$42,$C51)</f>
        <v>1</v>
      </c>
      <c r="E51" s="23">
        <f>'01.09'!E41+COUNTIF(E$9:E$42,$C51)</f>
        <v>1</v>
      </c>
      <c r="F51" s="23">
        <f>'01.09'!F41+COUNTIF(F$9:F$42,$C51)</f>
        <v>1</v>
      </c>
      <c r="G51" s="23">
        <f>'01.09'!G41+COUNTIF(G$9:G$42,$C51)</f>
        <v>1</v>
      </c>
      <c r="H51" s="23">
        <f>'01.09'!H41+COUNTIF(H$9:H$42,$C51)</f>
        <v>1</v>
      </c>
      <c r="I51" s="23">
        <f>'01.09'!I41+COUNTIF(I$9:I$42,$C51)</f>
        <v>1</v>
      </c>
      <c r="J51" s="23">
        <f>'01.09'!J41+COUNTIF(J$9:J$42,$C51)</f>
        <v>1</v>
      </c>
    </row>
    <row r="52" spans="1:10" ht="18.75" hidden="1" x14ac:dyDescent="0.3">
      <c r="A52" s="6"/>
      <c r="B52" s="6"/>
      <c r="C52" s="22" t="str">
        <f>'01.09'!C42</f>
        <v>*Л. Массаж*</v>
      </c>
      <c r="D52" s="23">
        <f>'01.09'!D42+COUNTIF(D$9:D$42,$C52)</f>
        <v>1</v>
      </c>
      <c r="E52" s="23">
        <f>'01.09'!E42+COUNTIF(E$9:E$42,$C52)</f>
        <v>1</v>
      </c>
      <c r="F52" s="23">
        <f>'01.09'!F42+COUNTIF(F$9:F$42,$C52)</f>
        <v>1</v>
      </c>
      <c r="G52" s="23">
        <f>'01.09'!G42+COUNTIF(G$9:G$42,$C52)</f>
        <v>1</v>
      </c>
      <c r="H52" s="23">
        <f>'01.09'!H42+COUNTIF(H$9:H$42,$C52)</f>
        <v>1</v>
      </c>
      <c r="I52" s="23">
        <f>'01.09'!I42+COUNTIF(I$9:I$42,$C52)</f>
        <v>1</v>
      </c>
      <c r="J52" s="23">
        <f>'01.09'!J42+COUNTIF(J$9:J$42,$C52)</f>
        <v>1</v>
      </c>
    </row>
    <row r="53" spans="1:10" ht="18.75" hidden="1" x14ac:dyDescent="0.3">
      <c r="A53" s="6"/>
      <c r="B53" s="6"/>
      <c r="C53" s="22" t="str">
        <f>'01.09'!C43</f>
        <v>*Пр. Массаж*</v>
      </c>
      <c r="D53" s="23">
        <f>'01.09'!D43+COUNTIF(D$9:D$42,$C53)</f>
        <v>1</v>
      </c>
      <c r="E53" s="23">
        <f>'01.09'!E43+COUNTIF(E$9:E$42,$C53)</f>
        <v>0</v>
      </c>
      <c r="F53" s="23">
        <f>'01.09'!F43+COUNTIF(F$9:F$42,$C53)</f>
        <v>1</v>
      </c>
      <c r="G53" s="23">
        <f>'01.09'!G43+COUNTIF(G$9:G$42,$C53)</f>
        <v>1</v>
      </c>
      <c r="H53" s="23">
        <f>'01.09'!H43+COUNTIF(H$9:H$42,$C53)</f>
        <v>2</v>
      </c>
      <c r="I53" s="23">
        <f>'01.09'!I43+COUNTIF(I$9:I$42,$C53)</f>
        <v>1</v>
      </c>
      <c r="J53" s="23">
        <f>'01.09'!J43+COUNTIF(J$9:J$42,$C53)</f>
        <v>1</v>
      </c>
    </row>
    <row r="54" spans="1:10" ht="18.75" hidden="1" x14ac:dyDescent="0.3">
      <c r="A54" s="6"/>
      <c r="B54" s="6"/>
      <c r="C54" s="22" t="str">
        <f>'01.09'!C44</f>
        <v>*Л. Правовые основы профессиональной деятельности*</v>
      </c>
      <c r="D54" s="23">
        <f>'01.09'!D44+COUNTIF(D$9:D$42,$C54)</f>
        <v>1</v>
      </c>
      <c r="E54" s="23">
        <f>'01.09'!E44+COUNTIF(E$9:E$42,$C54)</f>
        <v>1</v>
      </c>
      <c r="F54" s="23">
        <f>'01.09'!F44+COUNTIF(F$9:F$42,$C54)</f>
        <v>1</v>
      </c>
      <c r="G54" s="23">
        <f>'01.09'!G44+COUNTIF(G$9:G$42,$C54)</f>
        <v>1</v>
      </c>
      <c r="H54" s="23">
        <f>'01.09'!H44+COUNTIF(H$9:H$42,$C54)</f>
        <v>1</v>
      </c>
      <c r="I54" s="23">
        <f>'01.09'!I44+COUNTIF(I$9:I$42,$C54)</f>
        <v>1</v>
      </c>
      <c r="J54" s="23">
        <f>'01.09'!J44+COUNTIF(J$9:J$42,$C54)</f>
        <v>1</v>
      </c>
    </row>
    <row r="55" spans="1:10" ht="18.75" hidden="1" x14ac:dyDescent="0.3">
      <c r="A55" s="6"/>
      <c r="B55" s="6"/>
      <c r="C55" s="22" t="str">
        <f>'01.09'!C45</f>
        <v>*Пр. Правовые основы профессиональной деятельности*</v>
      </c>
      <c r="D55" s="23">
        <f>'01.09'!D45+COUNTIF(D$9:D$42,$C55)</f>
        <v>0</v>
      </c>
      <c r="E55" s="23">
        <f>'01.09'!E45+COUNTIF(E$9:E$42,$C55)</f>
        <v>1</v>
      </c>
      <c r="F55" s="23">
        <f>'01.09'!F45+COUNTIF(F$9:F$42,$C55)</f>
        <v>1</v>
      </c>
      <c r="G55" s="23">
        <f>'01.09'!G45+COUNTIF(G$9:G$42,$C55)</f>
        <v>1</v>
      </c>
      <c r="H55" s="23">
        <f>'01.09'!H45+COUNTIF(H$9:H$42,$C55)</f>
        <v>0</v>
      </c>
      <c r="I55" s="23">
        <f>'01.09'!I45+COUNTIF(I$9:I$42,$C55)</f>
        <v>0</v>
      </c>
      <c r="J55" s="23">
        <f>'01.09'!J45+COUNTIF(J$9:J$42,$C55)</f>
        <v>1</v>
      </c>
    </row>
    <row r="56" spans="1:10" ht="18.75" hidden="1" x14ac:dyDescent="0.3">
      <c r="A56" s="6"/>
      <c r="B56" s="6"/>
      <c r="C56" s="22" t="str">
        <f>'01.09'!C46</f>
        <v>*Л. Теория и методика*</v>
      </c>
      <c r="D56" s="23">
        <f>'01.09'!D46+COUNTIF(D$9:D$42,$C56)</f>
        <v>2</v>
      </c>
      <c r="E56" s="23">
        <f>'01.09'!E46+COUNTIF(E$9:E$42,$C56)</f>
        <v>2</v>
      </c>
      <c r="F56" s="23">
        <f>'01.09'!F46+COUNTIF(F$9:F$42,$C56)</f>
        <v>2</v>
      </c>
      <c r="G56" s="23">
        <f>'01.09'!G46+COUNTIF(G$9:G$42,$C56)</f>
        <v>2</v>
      </c>
      <c r="H56" s="23">
        <f>'01.09'!H46+COUNTIF(H$9:H$42,$C56)</f>
        <v>2</v>
      </c>
      <c r="I56" s="23">
        <f>'01.09'!I46+COUNTIF(I$9:I$42,$C56)</f>
        <v>2</v>
      </c>
      <c r="J56" s="23">
        <f>'01.09'!J46+COUNTIF(J$9:J$42,$C56)</f>
        <v>2</v>
      </c>
    </row>
    <row r="57" spans="1:10" ht="18.75" hidden="1" x14ac:dyDescent="0.3">
      <c r="A57" s="6"/>
      <c r="B57" s="6"/>
      <c r="C57" s="22" t="str">
        <f>'01.09'!C47</f>
        <v>*Пр. Теория и методика*</v>
      </c>
      <c r="D57" s="23">
        <f>'01.09'!D47+COUNTIF(D$9:D$42,$C57)</f>
        <v>2</v>
      </c>
      <c r="E57" s="23">
        <f>'01.09'!E47+COUNTIF(E$9:E$42,$C57)</f>
        <v>2</v>
      </c>
      <c r="F57" s="23">
        <f>'01.09'!F47+COUNTIF(F$9:F$42,$C57)</f>
        <v>1</v>
      </c>
      <c r="G57" s="23">
        <f>'01.09'!G47+COUNTIF(G$9:G$42,$C57)</f>
        <v>0</v>
      </c>
      <c r="H57" s="23">
        <f>'01.09'!H47+COUNTIF(H$9:H$42,$C57)</f>
        <v>1</v>
      </c>
      <c r="I57" s="23">
        <f>'01.09'!I47+COUNTIF(I$9:I$42,$C57)</f>
        <v>1</v>
      </c>
      <c r="J57" s="23">
        <f>'01.09'!J47+COUNTIF(J$9:J$42,$C57)</f>
        <v>1</v>
      </c>
    </row>
    <row r="58" spans="1:10" ht="18.75" hidden="1" x14ac:dyDescent="0.3">
      <c r="A58" s="6"/>
      <c r="B58" s="6"/>
      <c r="C58" s="22" t="str">
        <f>'01.09'!C48</f>
        <v>*Л. Спортивная метрология*</v>
      </c>
      <c r="D58" s="23">
        <f>'01.09'!D48+COUNTIF(D$9:D$42,$C58)</f>
        <v>1</v>
      </c>
      <c r="E58" s="23">
        <f>'01.09'!E48+COUNTIF(E$9:E$42,$C58)</f>
        <v>1</v>
      </c>
      <c r="F58" s="23">
        <f>'01.09'!F48+COUNTIF(F$9:F$42,$C58)</f>
        <v>1</v>
      </c>
      <c r="G58" s="23">
        <f>'01.09'!G48+COUNTIF(G$9:G$42,$C58)</f>
        <v>1</v>
      </c>
      <c r="H58" s="23">
        <f>'01.09'!H48+COUNTIF(H$9:H$42,$C58)</f>
        <v>1</v>
      </c>
      <c r="I58" s="23">
        <f>'01.09'!I48+COUNTIF(I$9:I$42,$C58)</f>
        <v>1</v>
      </c>
      <c r="J58" s="23">
        <f>'01.09'!J48+COUNTIF(J$9:J$42,$C58)</f>
        <v>1</v>
      </c>
    </row>
    <row r="59" spans="1:10" ht="18.75" hidden="1" x14ac:dyDescent="0.3">
      <c r="A59" s="6"/>
      <c r="B59" s="6"/>
      <c r="C59" s="22" t="str">
        <f>'01.09'!C49</f>
        <v>*Пр. Спортивная метрология*</v>
      </c>
      <c r="D59" s="23">
        <f>'01.09'!D49+COUNTIF(D$9:D$42,$C59)</f>
        <v>1</v>
      </c>
      <c r="E59" s="23">
        <f>'01.09'!E49+COUNTIF(E$9:E$42,$C59)</f>
        <v>1</v>
      </c>
      <c r="F59" s="23">
        <f>'01.09'!F49+COUNTIF(F$9:F$42,$C59)</f>
        <v>1</v>
      </c>
      <c r="G59" s="23">
        <f>'01.09'!G49+COUNTIF(G$9:G$42,$C59)</f>
        <v>1</v>
      </c>
      <c r="H59" s="23">
        <f>'01.09'!H49+COUNTIF(H$9:H$42,$C59)</f>
        <v>1</v>
      </c>
      <c r="I59" s="23">
        <f>'01.09'!I49+COUNTIF(I$9:I$42,$C59)</f>
        <v>0</v>
      </c>
      <c r="J59" s="23">
        <f>'01.09'!J49+COUNTIF(J$9:J$42,$C59)</f>
        <v>0</v>
      </c>
    </row>
    <row r="60" spans="1:10" ht="18.75" hidden="1" x14ac:dyDescent="0.3">
      <c r="A60" s="6"/>
      <c r="B60" s="6"/>
      <c r="C60" s="22" t="str">
        <f>'01.09'!C50</f>
        <v>*Л.  Теория и методика циклических и сложнокоординационных*</v>
      </c>
      <c r="D60" s="23">
        <f>'01.09'!D50+COUNTIF(D$9:D$42,$C60)</f>
        <v>0</v>
      </c>
      <c r="E60" s="23">
        <f>'01.09'!E50+COUNTIF(E$9:E$42,$C60)</f>
        <v>0</v>
      </c>
      <c r="F60" s="23">
        <f>'01.09'!F50+COUNTIF(F$9:F$42,$C60)</f>
        <v>0</v>
      </c>
      <c r="G60" s="23">
        <f>'01.09'!G50+COUNTIF(G$9:G$42,$C60)</f>
        <v>0</v>
      </c>
      <c r="H60" s="23">
        <f>'01.09'!H50+COUNTIF(H$9:H$42,$C60)</f>
        <v>2</v>
      </c>
      <c r="I60" s="23">
        <f>'01.09'!I50+COUNTIF(I$9:I$42,$C60)</f>
        <v>0</v>
      </c>
      <c r="J60" s="23">
        <f>'01.09'!J50+COUNTIF(J$9:J$42,$C60)</f>
        <v>0</v>
      </c>
    </row>
    <row r="61" spans="1:10" ht="18.75" hidden="1" x14ac:dyDescent="0.3">
      <c r="A61" s="6"/>
      <c r="B61" s="6"/>
      <c r="C61" s="22" t="str">
        <f>'01.09'!C51</f>
        <v>*Пр.  Теория и методика циклических и сложнокоординационных*</v>
      </c>
      <c r="D61" s="23">
        <f>'01.09'!D51+COUNTIF(D$9:D$42,$C61)</f>
        <v>0</v>
      </c>
      <c r="E61" s="23">
        <f>'01.09'!E51+COUNTIF(E$9:E$42,$C61)</f>
        <v>0</v>
      </c>
      <c r="F61" s="23">
        <f>'01.09'!F51+COUNTIF(F$9:F$42,$C61)</f>
        <v>0</v>
      </c>
      <c r="G61" s="23">
        <f>'01.09'!G51+COUNTIF(G$9:G$42,$C61)</f>
        <v>0</v>
      </c>
      <c r="H61" s="23">
        <f>'01.09'!H51+COUNTIF(H$9:H$42,$C61)</f>
        <v>1</v>
      </c>
      <c r="I61" s="23">
        <f>'01.09'!I51+COUNTIF(I$9:I$42,$C61)</f>
        <v>0</v>
      </c>
      <c r="J61" s="23">
        <f>'01.09'!J51+COUNTIF(J$9:J$42,$C61)</f>
        <v>0</v>
      </c>
    </row>
    <row r="62" spans="1:10" ht="18.75" hidden="1" x14ac:dyDescent="0.3">
      <c r="A62" s="6"/>
      <c r="B62" s="6"/>
      <c r="C62" s="22">
        <f>'01.09'!C52</f>
        <v>0</v>
      </c>
      <c r="D62" s="23">
        <f>'01.09'!D52+COUNTIF(D$9:D$42,$C62)</f>
        <v>0</v>
      </c>
      <c r="E62" s="23">
        <f>'01.09'!E52+COUNTIF(E$9:E$42,$C62)</f>
        <v>0</v>
      </c>
      <c r="F62" s="23">
        <f>'01.09'!F52+COUNTIF(F$9:F$42,$C62)</f>
        <v>0</v>
      </c>
      <c r="G62" s="23">
        <f>'01.09'!G52+COUNTIF(G$9:G$42,$C62)</f>
        <v>0</v>
      </c>
      <c r="H62" s="23">
        <f>'01.09'!H52+COUNTIF(H$9:H$42,$C62)</f>
        <v>0</v>
      </c>
      <c r="I62" s="23">
        <f>'01.09'!I52+COUNTIF(I$9:I$42,$C62)</f>
        <v>0</v>
      </c>
      <c r="J62" s="23">
        <f>'01.09'!J52+COUNTIF(J$9:J$42,$C62)</f>
        <v>0</v>
      </c>
    </row>
    <row r="63" spans="1:10" ht="18.75" hidden="1" x14ac:dyDescent="0.3">
      <c r="A63" s="6"/>
      <c r="B63" s="6"/>
      <c r="C63" s="22">
        <f>'01.09'!C53</f>
        <v>0</v>
      </c>
      <c r="D63" s="23">
        <f>'01.09'!D53+COUNTIF(D$9:D$42,$C63)</f>
        <v>0</v>
      </c>
      <c r="E63" s="23">
        <f>'01.09'!E53+COUNTIF(E$9:E$42,$C63)</f>
        <v>0</v>
      </c>
      <c r="F63" s="23">
        <f>'01.09'!F53+COUNTIF(F$9:F$42,$C63)</f>
        <v>0</v>
      </c>
      <c r="G63" s="23">
        <f>'01.09'!G53+COUNTIF(G$9:G$42,$C63)</f>
        <v>0</v>
      </c>
      <c r="H63" s="23">
        <f>'01.09'!H53+COUNTIF(H$9:H$42,$C63)</f>
        <v>0</v>
      </c>
      <c r="I63" s="23">
        <f>'01.09'!I53+COUNTIF(I$9:I$42,$C63)</f>
        <v>0</v>
      </c>
      <c r="J63" s="23">
        <f>'01.09'!J53+COUNTIF(J$9:J$42,$C63)</f>
        <v>0</v>
      </c>
    </row>
    <row r="64" spans="1:10" ht="18.75" hidden="1" x14ac:dyDescent="0.3">
      <c r="A64" s="6"/>
      <c r="B64" s="6"/>
      <c r="C64" s="22">
        <f>'01.09'!C54</f>
        <v>0</v>
      </c>
      <c r="D64" s="23">
        <f>'01.09'!D54+COUNTIF(D$9:D$42,$C64)</f>
        <v>0</v>
      </c>
      <c r="E64" s="23">
        <f>'01.09'!E54+COUNTIF(E$9:E$42,$C64)</f>
        <v>0</v>
      </c>
      <c r="F64" s="23">
        <f>'01.09'!F54+COUNTIF(F$9:F$42,$C64)</f>
        <v>0</v>
      </c>
      <c r="G64" s="23">
        <f>'01.09'!G54+COUNTIF(G$9:G$42,$C64)</f>
        <v>0</v>
      </c>
      <c r="H64" s="23">
        <f>'01.09'!H54+COUNTIF(H$9:H$42,$C64)</f>
        <v>0</v>
      </c>
      <c r="I64" s="23">
        <f>'01.09'!I54+COUNTIF(I$9:I$42,$C64)</f>
        <v>0</v>
      </c>
      <c r="J64" s="23">
        <f>'01.09'!J54+COUNTIF(J$9:J$42,$C64)</f>
        <v>0</v>
      </c>
    </row>
    <row r="65" spans="1:10" ht="18.75" hidden="1" x14ac:dyDescent="0.3">
      <c r="A65" s="6"/>
      <c r="B65" s="6"/>
      <c r="C65" s="22">
        <f>'01.09'!C55</f>
        <v>0</v>
      </c>
      <c r="D65" s="23">
        <f>'01.09'!D55+COUNTIF(D$9:D$42,$C65)</f>
        <v>0</v>
      </c>
      <c r="E65" s="23">
        <f>'01.09'!E55+COUNTIF(E$9:E$42,$C65)</f>
        <v>0</v>
      </c>
      <c r="F65" s="23">
        <f>'01.09'!F55+COUNTIF(F$9:F$42,$C65)</f>
        <v>0</v>
      </c>
      <c r="G65" s="23">
        <f>'01.09'!G55+COUNTIF(G$9:G$42,$C65)</f>
        <v>0</v>
      </c>
      <c r="H65" s="23">
        <f>'01.09'!H55+COUNTIF(H$9:H$42,$C65)</f>
        <v>0</v>
      </c>
      <c r="I65" s="23">
        <f>'01.09'!I55+COUNTIF(I$9:I$42,$C65)</f>
        <v>0</v>
      </c>
      <c r="J65" s="23">
        <f>'01.09'!J55+COUNTIF(J$9:J$42,$C65)</f>
        <v>0</v>
      </c>
    </row>
    <row r="66" spans="1:10" ht="18.75" hidden="1" x14ac:dyDescent="0.3">
      <c r="A66" s="6"/>
      <c r="B66" s="6"/>
      <c r="C66" s="22">
        <f>'01.09'!C56</f>
        <v>0</v>
      </c>
      <c r="D66" s="23">
        <f>'01.09'!D56+COUNTIF(D$9:D$42,$C66)</f>
        <v>0</v>
      </c>
      <c r="E66" s="23">
        <f>'01.09'!E56+COUNTIF(E$9:E$42,$C66)</f>
        <v>0</v>
      </c>
      <c r="F66" s="23">
        <f>'01.09'!F56+COUNTIF(F$9:F$42,$C66)</f>
        <v>0</v>
      </c>
      <c r="G66" s="23">
        <f>'01.09'!G56+COUNTIF(G$9:G$42,$C66)</f>
        <v>0</v>
      </c>
      <c r="H66" s="23">
        <f>'01.09'!H56+COUNTIF(H$9:H$42,$C66)</f>
        <v>0</v>
      </c>
      <c r="I66" s="23">
        <f>'01.09'!I56+COUNTIF(I$9:I$42,$C66)</f>
        <v>0</v>
      </c>
      <c r="J66" s="23">
        <f>'01.09'!J56+COUNTIF(J$9:J$42,$C66)</f>
        <v>0</v>
      </c>
    </row>
    <row r="67" spans="1:10" ht="18.75" hidden="1" x14ac:dyDescent="0.3">
      <c r="A67" s="6"/>
      <c r="B67" s="6"/>
      <c r="C67" s="22">
        <f>'01.09'!C57</f>
        <v>0</v>
      </c>
      <c r="D67" s="23">
        <f>'01.09'!D57+COUNTIF(D$9:D$42,$C67)</f>
        <v>0</v>
      </c>
      <c r="E67" s="23">
        <f>'01.09'!E57+COUNTIF(E$9:E$42,$C67)</f>
        <v>0</v>
      </c>
      <c r="F67" s="23">
        <f>'01.09'!F57+COUNTIF(F$9:F$42,$C67)</f>
        <v>0</v>
      </c>
      <c r="G67" s="23">
        <f>'01.09'!G57+COUNTIF(G$9:G$42,$C67)</f>
        <v>0</v>
      </c>
      <c r="H67" s="23">
        <f>'01.09'!H57+COUNTIF(H$9:H$42,$C67)</f>
        <v>0</v>
      </c>
      <c r="I67" s="23">
        <f>'01.09'!I57+COUNTIF(I$9:I$42,$C67)</f>
        <v>0</v>
      </c>
      <c r="J67" s="23">
        <f>'01.09'!J57+COUNTIF(J$9:J$42,$C67)</f>
        <v>0</v>
      </c>
    </row>
    <row r="68" spans="1:10" ht="18.75" hidden="1" x14ac:dyDescent="0.3">
      <c r="A68" s="6"/>
      <c r="B68" s="6"/>
      <c r="C68" s="22">
        <f>'01.09'!C58</f>
        <v>0</v>
      </c>
      <c r="D68" s="23">
        <f>'01.09'!D58+COUNTIF(D$9:D$42,$C68)</f>
        <v>0</v>
      </c>
      <c r="E68" s="23">
        <f>'01.09'!E58+COUNTIF(E$9:E$42,$C68)</f>
        <v>0</v>
      </c>
      <c r="F68" s="23">
        <f>'01.09'!F58+COUNTIF(F$9:F$42,$C68)</f>
        <v>0</v>
      </c>
      <c r="G68" s="23">
        <f>'01.09'!G58+COUNTIF(G$9:G$42,$C68)</f>
        <v>0</v>
      </c>
      <c r="H68" s="23">
        <f>'01.09'!H58+COUNTIF(H$9:H$42,$C68)</f>
        <v>0</v>
      </c>
      <c r="I68" s="23">
        <f>'01.09'!I58+COUNTIF(I$9:I$42,$C68)</f>
        <v>0</v>
      </c>
      <c r="J68" s="23">
        <f>'01.09'!J58+COUNTIF(J$9:J$42,$C68)</f>
        <v>0</v>
      </c>
    </row>
    <row r="69" spans="1:10" ht="18.75" hidden="1" x14ac:dyDescent="0.3">
      <c r="A69" s="6"/>
      <c r="B69" s="6"/>
      <c r="C69" s="22">
        <f>'01.09'!C59</f>
        <v>0</v>
      </c>
      <c r="D69" s="23">
        <f>'01.09'!D59+COUNTIF(D$9:D$42,$C69)</f>
        <v>0</v>
      </c>
      <c r="E69" s="23">
        <f>'01.09'!E59+COUNTIF(E$9:E$42,$C69)</f>
        <v>0</v>
      </c>
      <c r="F69" s="23">
        <f>'01.09'!F59+COUNTIF(F$9:F$42,$C69)</f>
        <v>0</v>
      </c>
      <c r="G69" s="23">
        <f>'01.09'!G59+COUNTIF(G$9:G$42,$C69)</f>
        <v>0</v>
      </c>
      <c r="H69" s="23">
        <f>'01.09'!H59+COUNTIF(H$9:H$42,$C69)</f>
        <v>0</v>
      </c>
      <c r="I69" s="23">
        <f>'01.09'!I59+COUNTIF(I$9:I$42,$C69)</f>
        <v>0</v>
      </c>
      <c r="J69" s="23">
        <f>'01.09'!J59+COUNTIF(J$9:J$42,$C69)</f>
        <v>0</v>
      </c>
    </row>
    <row r="70" spans="1:10" ht="18.75" hidden="1" x14ac:dyDescent="0.3">
      <c r="A70" s="6"/>
      <c r="B70" s="6"/>
      <c r="C70" s="22">
        <f>'01.09'!C60</f>
        <v>0</v>
      </c>
      <c r="D70" s="23">
        <f>'01.09'!D60+COUNTIF(D$9:D$42,$C70)</f>
        <v>0</v>
      </c>
      <c r="E70" s="23">
        <f>'01.09'!E60+COUNTIF(E$9:E$42,$C70)</f>
        <v>0</v>
      </c>
      <c r="F70" s="23">
        <f>'01.09'!F60+COUNTIF(F$9:F$42,$C70)</f>
        <v>0</v>
      </c>
      <c r="G70" s="23">
        <f>'01.09'!G60+COUNTIF(G$9:G$42,$C70)</f>
        <v>0</v>
      </c>
      <c r="H70" s="23">
        <f>'01.09'!H60+COUNTIF(H$9:H$42,$C70)</f>
        <v>0</v>
      </c>
      <c r="I70" s="23">
        <f>'01.09'!I60+COUNTIF(I$9:I$42,$C70)</f>
        <v>0</v>
      </c>
      <c r="J70" s="23">
        <f>'01.09'!J60+COUNTIF(J$9:J$42,$C70)</f>
        <v>0</v>
      </c>
    </row>
    <row r="71" spans="1:10" ht="18.75" hidden="1" x14ac:dyDescent="0.3">
      <c r="A71" s="6"/>
      <c r="B71" s="6"/>
      <c r="C71" s="22">
        <f>'01.09'!C61</f>
        <v>0</v>
      </c>
      <c r="D71" s="23">
        <f>'01.09'!D61+COUNTIF(D$9:D$42,$C71)</f>
        <v>0</v>
      </c>
      <c r="E71" s="23">
        <f>'01.09'!E61+COUNTIF(E$9:E$42,$C71)</f>
        <v>0</v>
      </c>
      <c r="F71" s="23">
        <f>'01.09'!F61+COUNTIF(F$9:F$42,$C71)</f>
        <v>0</v>
      </c>
      <c r="G71" s="23">
        <f>'01.09'!G61+COUNTIF(G$9:G$42,$C71)</f>
        <v>0</v>
      </c>
      <c r="H71" s="23">
        <f>'01.09'!H61+COUNTIF(H$9:H$42,$C71)</f>
        <v>0</v>
      </c>
      <c r="I71" s="23">
        <f>'01.09'!I61+COUNTIF(I$9:I$42,$C71)</f>
        <v>0</v>
      </c>
      <c r="J71" s="23">
        <f>'01.09'!J61+COUNTIF(J$9:J$42,$C71)</f>
        <v>0</v>
      </c>
    </row>
    <row r="72" spans="1:10" ht="27.75" x14ac:dyDescent="0.4">
      <c r="A72" s="6"/>
      <c r="B72" s="6"/>
      <c r="C72" s="130"/>
      <c r="D72" s="131" t="s">
        <v>52</v>
      </c>
      <c r="E72" s="174"/>
      <c r="F72" s="174"/>
      <c r="G72" s="174"/>
      <c r="H72" s="174"/>
      <c r="I72" s="174"/>
      <c r="J72" s="174"/>
    </row>
    <row r="73" spans="1:10" ht="32.25" customHeight="1" x14ac:dyDescent="0.4">
      <c r="A73" s="6"/>
      <c r="B73" s="6"/>
      <c r="C73" s="6"/>
      <c r="D73" s="131"/>
      <c r="E73" s="6"/>
      <c r="F73" s="6"/>
      <c r="G73" s="6"/>
      <c r="H73" s="6"/>
      <c r="I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</sheetData>
  <mergeCells count="21">
    <mergeCell ref="A43:A48"/>
    <mergeCell ref="B43:B48"/>
    <mergeCell ref="A37:A42"/>
    <mergeCell ref="B37:B42"/>
    <mergeCell ref="B1:J1"/>
    <mergeCell ref="B2:J2"/>
    <mergeCell ref="A3:J3"/>
    <mergeCell ref="B4:J4"/>
    <mergeCell ref="B5:J5"/>
    <mergeCell ref="B6:J6"/>
    <mergeCell ref="A23:A29"/>
    <mergeCell ref="B23:B29"/>
    <mergeCell ref="A30:A36"/>
    <mergeCell ref="B30:B36"/>
    <mergeCell ref="A7:A8"/>
    <mergeCell ref="B7:B8"/>
    <mergeCell ref="C7:C8"/>
    <mergeCell ref="A16:A22"/>
    <mergeCell ref="B16:B22"/>
    <mergeCell ref="A9:A15"/>
    <mergeCell ref="B9:B15"/>
  </mergeCells>
  <pageMargins left="0" right="0" top="0" bottom="0" header="0" footer="0"/>
  <pageSetup paperSize="9"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</sheetPr>
  <dimension ref="A1:J72"/>
  <sheetViews>
    <sheetView view="pageBreakPreview" zoomScale="37" zoomScaleNormal="40" zoomScaleSheetLayoutView="37" zoomScalePageLayoutView="40" workbookViewId="0">
      <selection activeCell="H16" sqref="H16"/>
    </sheetView>
  </sheetViews>
  <sheetFormatPr defaultColWidth="9.140625" defaultRowHeight="26.25" x14ac:dyDescent="0.4"/>
  <cols>
    <col min="1" max="1" width="4.42578125" style="98" customWidth="1"/>
    <col min="2" max="2" width="8.5703125" style="98" customWidth="1"/>
    <col min="3" max="3" width="30" style="98" customWidth="1"/>
    <col min="4" max="4" width="49.7109375" style="98" customWidth="1"/>
    <col min="5" max="5" width="52.85546875" style="98" customWidth="1"/>
    <col min="6" max="7" width="49.7109375" style="98" customWidth="1"/>
    <col min="8" max="8" width="61.140625" style="98" customWidth="1"/>
    <col min="9" max="9" width="67.140625" style="98" customWidth="1"/>
    <col min="10" max="10" width="59.7109375" style="98" customWidth="1"/>
    <col min="11" max="16384" width="9.140625" style="98"/>
  </cols>
  <sheetData>
    <row r="1" spans="1:10" ht="39.75" customHeight="1" x14ac:dyDescent="0.4">
      <c r="A1" s="20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2.25" customHeight="1" x14ac:dyDescent="0.4">
      <c r="A2" s="20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342.75" customHeight="1" x14ac:dyDescent="0.4">
      <c r="A3" s="615" t="s">
        <v>123</v>
      </c>
      <c r="B3" s="615"/>
      <c r="C3" s="615"/>
      <c r="D3" s="615"/>
      <c r="E3" s="615"/>
      <c r="F3" s="615"/>
      <c r="G3" s="615"/>
      <c r="H3" s="615"/>
      <c r="I3" s="615"/>
      <c r="J3" s="615"/>
    </row>
    <row r="4" spans="1:10" ht="31.5" customHeight="1" x14ac:dyDescent="0.4">
      <c r="A4" s="8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1.5" customHeight="1" x14ac:dyDescent="0.4">
      <c r="A5" s="8"/>
      <c r="B5" s="616" t="s">
        <v>81</v>
      </c>
      <c r="C5" s="616"/>
      <c r="D5" s="616"/>
      <c r="E5" s="616"/>
      <c r="F5" s="616"/>
      <c r="G5" s="616"/>
      <c r="H5" s="616"/>
      <c r="I5" s="616"/>
      <c r="J5" s="616"/>
    </row>
    <row r="6" spans="1:10" ht="1.5" customHeight="1" thickBot="1" x14ac:dyDescent="0.45">
      <c r="A6" s="99"/>
      <c r="B6" s="99"/>
      <c r="C6" s="99"/>
      <c r="D6" s="99"/>
      <c r="E6" s="99"/>
      <c r="F6" s="99"/>
      <c r="G6" s="99"/>
      <c r="H6" s="99"/>
      <c r="I6" s="99"/>
    </row>
    <row r="7" spans="1:10" ht="33" customHeight="1" thickBot="1" x14ac:dyDescent="0.45">
      <c r="A7" s="622" t="s">
        <v>16</v>
      </c>
      <c r="B7" s="622" t="s">
        <v>9</v>
      </c>
      <c r="C7" s="617" t="s">
        <v>15</v>
      </c>
      <c r="D7" s="214" t="s">
        <v>80</v>
      </c>
      <c r="E7" s="215" t="s">
        <v>43</v>
      </c>
      <c r="F7" s="215" t="s">
        <v>44</v>
      </c>
      <c r="G7" s="215" t="s">
        <v>45</v>
      </c>
      <c r="H7" s="216" t="s">
        <v>46</v>
      </c>
      <c r="I7" s="216" t="s">
        <v>47</v>
      </c>
      <c r="J7" s="217" t="s">
        <v>11</v>
      </c>
    </row>
    <row r="8" spans="1:10" ht="152.25" customHeight="1" thickBot="1" x14ac:dyDescent="0.45">
      <c r="A8" s="623"/>
      <c r="B8" s="623"/>
      <c r="C8" s="618"/>
      <c r="D8" s="385" t="s">
        <v>65</v>
      </c>
      <c r="E8" s="386" t="s">
        <v>67</v>
      </c>
      <c r="F8" s="386" t="s">
        <v>48</v>
      </c>
      <c r="G8" s="386" t="s">
        <v>63</v>
      </c>
      <c r="H8" s="386" t="s">
        <v>56</v>
      </c>
      <c r="I8" s="386" t="s">
        <v>83</v>
      </c>
      <c r="J8" s="387" t="s">
        <v>82</v>
      </c>
    </row>
    <row r="9" spans="1:10" ht="27.75" x14ac:dyDescent="0.4">
      <c r="A9" s="627" t="s">
        <v>0</v>
      </c>
      <c r="B9" s="628">
        <v>46265</v>
      </c>
      <c r="C9" s="219" t="s">
        <v>5</v>
      </c>
      <c r="D9" s="453"/>
      <c r="E9" s="395"/>
      <c r="F9" s="395"/>
      <c r="G9" s="395"/>
      <c r="H9" s="395"/>
      <c r="I9" s="395"/>
      <c r="J9" s="396"/>
    </row>
    <row r="10" spans="1:10" ht="30.75" x14ac:dyDescent="0.4">
      <c r="A10" s="624"/>
      <c r="B10" s="624"/>
      <c r="C10" s="220" t="s">
        <v>6</v>
      </c>
      <c r="D10" s="454"/>
      <c r="E10" s="455"/>
      <c r="F10" s="455"/>
      <c r="G10" s="455"/>
      <c r="H10" s="455"/>
      <c r="I10" s="455"/>
      <c r="J10" s="456"/>
    </row>
    <row r="11" spans="1:10" ht="30.75" x14ac:dyDescent="0.4">
      <c r="A11" s="624"/>
      <c r="B11" s="624"/>
      <c r="C11" s="220" t="s">
        <v>7</v>
      </c>
      <c r="D11" s="457"/>
      <c r="E11" s="458"/>
      <c r="F11" s="459"/>
      <c r="G11" s="460"/>
      <c r="H11" s="458"/>
      <c r="I11" s="458"/>
      <c r="J11" s="461"/>
    </row>
    <row r="12" spans="1:10" ht="30.75" x14ac:dyDescent="0.4">
      <c r="A12" s="624"/>
      <c r="B12" s="624"/>
      <c r="C12" s="220" t="s">
        <v>8</v>
      </c>
      <c r="D12" s="457"/>
      <c r="E12" s="458"/>
      <c r="F12" s="459"/>
      <c r="G12" s="460"/>
      <c r="H12" s="458"/>
      <c r="I12" s="458"/>
      <c r="J12" s="461"/>
    </row>
    <row r="13" spans="1:10" ht="28.5" thickBot="1" x14ac:dyDescent="0.45">
      <c r="A13" s="624"/>
      <c r="B13" s="624"/>
      <c r="C13" s="221" t="s">
        <v>10</v>
      </c>
      <c r="D13" s="404"/>
      <c r="E13" s="405"/>
      <c r="F13" s="405"/>
      <c r="G13" s="405"/>
      <c r="H13" s="405"/>
      <c r="I13" s="405"/>
      <c r="J13" s="406"/>
    </row>
    <row r="14" spans="1:10" ht="54.75" customHeight="1" x14ac:dyDescent="0.4">
      <c r="A14" s="624" t="s">
        <v>1</v>
      </c>
      <c r="B14" s="626">
        <f>B9+1</f>
        <v>46266</v>
      </c>
      <c r="C14" s="219" t="s">
        <v>5</v>
      </c>
      <c r="D14" s="422"/>
      <c r="E14" s="423"/>
      <c r="F14" s="373"/>
      <c r="G14" s="373"/>
      <c r="H14" s="373"/>
      <c r="I14" s="373"/>
      <c r="J14" s="376"/>
    </row>
    <row r="15" spans="1:10" ht="54.75" customHeight="1" x14ac:dyDescent="0.4">
      <c r="A15" s="624"/>
      <c r="B15" s="624"/>
      <c r="C15" s="220" t="s">
        <v>6</v>
      </c>
      <c r="D15" s="362"/>
      <c r="E15" s="363"/>
      <c r="F15" s="364"/>
      <c r="G15" s="364"/>
      <c r="H15" s="364"/>
      <c r="I15" s="364"/>
      <c r="J15" s="365"/>
    </row>
    <row r="16" spans="1:10" ht="97.5" customHeight="1" x14ac:dyDescent="0.4">
      <c r="A16" s="624"/>
      <c r="B16" s="624"/>
      <c r="C16" s="220" t="s">
        <v>7</v>
      </c>
      <c r="D16" s="366" t="s">
        <v>195</v>
      </c>
      <c r="E16" s="367" t="s">
        <v>195</v>
      </c>
      <c r="F16" s="368" t="s">
        <v>195</v>
      </c>
      <c r="G16" s="369" t="s">
        <v>195</v>
      </c>
      <c r="H16" s="369" t="s">
        <v>195</v>
      </c>
      <c r="I16" s="367" t="s">
        <v>195</v>
      </c>
      <c r="J16" s="370" t="s">
        <v>195</v>
      </c>
    </row>
    <row r="17" spans="1:10" ht="123" x14ac:dyDescent="0.4">
      <c r="A17" s="624"/>
      <c r="B17" s="624"/>
      <c r="C17" s="220" t="s">
        <v>8</v>
      </c>
      <c r="D17" s="366" t="s">
        <v>193</v>
      </c>
      <c r="E17" s="367" t="s">
        <v>193</v>
      </c>
      <c r="F17" s="368" t="s">
        <v>193</v>
      </c>
      <c r="G17" s="369" t="s">
        <v>193</v>
      </c>
      <c r="H17" s="368" t="s">
        <v>193</v>
      </c>
      <c r="I17" s="367" t="s">
        <v>193</v>
      </c>
      <c r="J17" s="371" t="s">
        <v>193</v>
      </c>
    </row>
    <row r="18" spans="1:10" ht="54.75" customHeight="1" thickBot="1" x14ac:dyDescent="0.45">
      <c r="A18" s="624"/>
      <c r="B18" s="624"/>
      <c r="C18" s="221" t="s">
        <v>10</v>
      </c>
      <c r="D18" s="424"/>
      <c r="E18" s="419"/>
      <c r="F18" s="419"/>
      <c r="G18" s="420"/>
      <c r="H18" s="419"/>
      <c r="I18" s="420"/>
      <c r="J18" s="421"/>
    </row>
    <row r="19" spans="1:10" ht="30.75" x14ac:dyDescent="0.4">
      <c r="A19" s="624" t="s">
        <v>2</v>
      </c>
      <c r="B19" s="626">
        <f>B14+1</f>
        <v>46267</v>
      </c>
      <c r="C19" s="219" t="s">
        <v>5</v>
      </c>
      <c r="D19" s="418"/>
      <c r="E19" s="373"/>
      <c r="F19" s="373"/>
      <c r="G19" s="373"/>
      <c r="H19" s="375"/>
      <c r="I19" s="379"/>
      <c r="J19" s="376"/>
    </row>
    <row r="20" spans="1:10" ht="215.25" x14ac:dyDescent="0.4">
      <c r="A20" s="624"/>
      <c r="B20" s="624"/>
      <c r="C20" s="220" t="s">
        <v>6</v>
      </c>
      <c r="D20" s="366"/>
      <c r="E20" s="368"/>
      <c r="F20" s="368"/>
      <c r="G20" s="368"/>
      <c r="H20" s="364"/>
      <c r="I20" s="367" t="s">
        <v>105</v>
      </c>
      <c r="J20" s="371" t="s">
        <v>112</v>
      </c>
    </row>
    <row r="21" spans="1:10" ht="123" x14ac:dyDescent="0.4">
      <c r="A21" s="624"/>
      <c r="B21" s="624"/>
      <c r="C21" s="220" t="s">
        <v>7</v>
      </c>
      <c r="D21" s="377" t="s">
        <v>185</v>
      </c>
      <c r="E21" s="369" t="s">
        <v>185</v>
      </c>
      <c r="F21" s="369" t="s">
        <v>185</v>
      </c>
      <c r="G21" s="368" t="s">
        <v>185</v>
      </c>
      <c r="H21" s="369" t="s">
        <v>185</v>
      </c>
      <c r="I21" s="369" t="s">
        <v>185</v>
      </c>
      <c r="J21" s="370" t="s">
        <v>185</v>
      </c>
    </row>
    <row r="22" spans="1:10" ht="101.25" customHeight="1" x14ac:dyDescent="0.4">
      <c r="A22" s="624"/>
      <c r="B22" s="624"/>
      <c r="C22" s="220" t="s">
        <v>8</v>
      </c>
      <c r="D22" s="377" t="s">
        <v>189</v>
      </c>
      <c r="E22" s="368" t="s">
        <v>189</v>
      </c>
      <c r="F22" s="368" t="s">
        <v>189</v>
      </c>
      <c r="G22" s="368" t="s">
        <v>189</v>
      </c>
      <c r="H22" s="378" t="s">
        <v>189</v>
      </c>
      <c r="I22" s="369" t="s">
        <v>189</v>
      </c>
      <c r="J22" s="370" t="s">
        <v>189</v>
      </c>
    </row>
    <row r="23" spans="1:10" ht="52.5" customHeight="1" thickBot="1" x14ac:dyDescent="0.45">
      <c r="A23" s="624"/>
      <c r="B23" s="624"/>
      <c r="C23" s="221" t="s">
        <v>10</v>
      </c>
      <c r="D23" s="496"/>
      <c r="E23" s="419"/>
      <c r="F23" s="420"/>
      <c r="G23" s="419"/>
      <c r="H23" s="419"/>
      <c r="I23" s="420"/>
      <c r="J23" s="421"/>
    </row>
    <row r="24" spans="1:10" ht="215.25" x14ac:dyDescent="0.4">
      <c r="A24" s="624" t="s">
        <v>3</v>
      </c>
      <c r="B24" s="626">
        <f>B19+1</f>
        <v>46268</v>
      </c>
      <c r="C24" s="219" t="s">
        <v>5</v>
      </c>
      <c r="D24" s="372" t="s">
        <v>103</v>
      </c>
      <c r="E24" s="373" t="s">
        <v>196</v>
      </c>
      <c r="F24" s="373" t="s">
        <v>127</v>
      </c>
      <c r="G24" s="373" t="s">
        <v>187</v>
      </c>
      <c r="H24" s="373" t="s">
        <v>191</v>
      </c>
      <c r="I24" s="379" t="s">
        <v>105</v>
      </c>
      <c r="J24" s="376" t="s">
        <v>112</v>
      </c>
    </row>
    <row r="25" spans="1:10" ht="215.25" x14ac:dyDescent="0.4">
      <c r="A25" s="625"/>
      <c r="B25" s="624"/>
      <c r="C25" s="220" t="s">
        <v>6</v>
      </c>
      <c r="D25" s="366" t="s">
        <v>103</v>
      </c>
      <c r="E25" s="367" t="s">
        <v>108</v>
      </c>
      <c r="F25" s="368" t="s">
        <v>190</v>
      </c>
      <c r="G25" s="368" t="s">
        <v>196</v>
      </c>
      <c r="H25" s="368" t="s">
        <v>187</v>
      </c>
      <c r="I25" s="367" t="s">
        <v>183</v>
      </c>
      <c r="J25" s="371" t="s">
        <v>184</v>
      </c>
    </row>
    <row r="26" spans="1:10" ht="215.25" x14ac:dyDescent="0.4">
      <c r="A26" s="625"/>
      <c r="B26" s="624"/>
      <c r="C26" s="220" t="s">
        <v>7</v>
      </c>
      <c r="D26" s="377" t="s">
        <v>187</v>
      </c>
      <c r="E26" s="367" t="s">
        <v>108</v>
      </c>
      <c r="F26" s="368" t="s">
        <v>194</v>
      </c>
      <c r="G26" s="369" t="s">
        <v>190</v>
      </c>
      <c r="H26" s="367" t="s">
        <v>130</v>
      </c>
      <c r="I26" s="368"/>
      <c r="J26" s="371"/>
    </row>
    <row r="27" spans="1:10" ht="215.25" x14ac:dyDescent="0.4">
      <c r="A27" s="625"/>
      <c r="B27" s="624"/>
      <c r="C27" s="220" t="s">
        <v>8</v>
      </c>
      <c r="D27" s="377" t="s">
        <v>190</v>
      </c>
      <c r="E27" s="368"/>
      <c r="F27" s="368" t="s">
        <v>187</v>
      </c>
      <c r="G27" s="369"/>
      <c r="H27" s="367" t="s">
        <v>130</v>
      </c>
      <c r="I27" s="368"/>
      <c r="J27" s="371"/>
    </row>
    <row r="28" spans="1:10" ht="32.25" thickBot="1" x14ac:dyDescent="0.45">
      <c r="A28" s="625"/>
      <c r="B28" s="624"/>
      <c r="C28" s="221" t="s">
        <v>10</v>
      </c>
      <c r="D28" s="497"/>
      <c r="E28" s="498"/>
      <c r="F28" s="420"/>
      <c r="G28" s="499"/>
      <c r="H28" s="419"/>
      <c r="I28" s="499"/>
      <c r="J28" s="500"/>
    </row>
    <row r="29" spans="1:10" ht="123" x14ac:dyDescent="0.4">
      <c r="A29" s="619" t="s">
        <v>4</v>
      </c>
      <c r="B29" s="621">
        <f>B24+1</f>
        <v>46269</v>
      </c>
      <c r="C29" s="201" t="s">
        <v>5</v>
      </c>
      <c r="D29" s="372" t="s">
        <v>179</v>
      </c>
      <c r="E29" s="379" t="s">
        <v>188</v>
      </c>
      <c r="F29" s="374" t="s">
        <v>196</v>
      </c>
      <c r="G29" s="373"/>
      <c r="H29" s="379" t="s">
        <v>191</v>
      </c>
      <c r="I29" s="379"/>
      <c r="J29" s="376"/>
    </row>
    <row r="30" spans="1:10" ht="153.75" x14ac:dyDescent="0.4">
      <c r="A30" s="619"/>
      <c r="B30" s="619"/>
      <c r="C30" s="202" t="s">
        <v>6</v>
      </c>
      <c r="D30" s="377" t="s">
        <v>179</v>
      </c>
      <c r="E30" s="367" t="s">
        <v>180</v>
      </c>
      <c r="F30" s="368" t="s">
        <v>127</v>
      </c>
      <c r="G30" s="368" t="s">
        <v>194</v>
      </c>
      <c r="H30" s="367" t="s">
        <v>207</v>
      </c>
      <c r="I30" s="367"/>
      <c r="J30" s="501" t="s">
        <v>192</v>
      </c>
    </row>
    <row r="31" spans="1:10" ht="215.25" x14ac:dyDescent="0.4">
      <c r="A31" s="619"/>
      <c r="B31" s="619"/>
      <c r="C31" s="202" t="s">
        <v>7</v>
      </c>
      <c r="D31" s="366" t="s">
        <v>196</v>
      </c>
      <c r="E31" s="367" t="s">
        <v>180</v>
      </c>
      <c r="F31" s="368" t="s">
        <v>181</v>
      </c>
      <c r="G31" s="369" t="s">
        <v>104</v>
      </c>
      <c r="H31" s="367" t="s">
        <v>182</v>
      </c>
      <c r="I31" s="368" t="s">
        <v>188</v>
      </c>
      <c r="J31" s="371" t="s">
        <v>194</v>
      </c>
    </row>
    <row r="32" spans="1:10" ht="123" x14ac:dyDescent="0.4">
      <c r="A32" s="619"/>
      <c r="B32" s="619"/>
      <c r="C32" s="202" t="s">
        <v>8</v>
      </c>
      <c r="D32" s="366"/>
      <c r="E32" s="368" t="s">
        <v>194</v>
      </c>
      <c r="F32" s="368"/>
      <c r="G32" s="369" t="s">
        <v>104</v>
      </c>
      <c r="H32" s="367"/>
      <c r="I32" s="368" t="s">
        <v>192</v>
      </c>
      <c r="J32" s="371" t="s">
        <v>188</v>
      </c>
    </row>
    <row r="33" spans="1:10" ht="31.5" thickBot="1" x14ac:dyDescent="0.45">
      <c r="A33" s="619"/>
      <c r="B33" s="619"/>
      <c r="C33" s="203" t="s">
        <v>10</v>
      </c>
      <c r="D33" s="496"/>
      <c r="E33" s="419"/>
      <c r="F33" s="419"/>
      <c r="G33" s="419"/>
      <c r="H33" s="419"/>
      <c r="I33" s="419"/>
      <c r="J33" s="502"/>
    </row>
    <row r="34" spans="1:10" ht="27.75" x14ac:dyDescent="0.4">
      <c r="A34" s="619" t="s">
        <v>12</v>
      </c>
      <c r="B34" s="621">
        <f>B29+1</f>
        <v>46270</v>
      </c>
      <c r="C34" s="201" t="s">
        <v>5</v>
      </c>
      <c r="D34" s="122"/>
      <c r="E34" s="88"/>
      <c r="F34" s="88"/>
      <c r="G34" s="88"/>
      <c r="H34" s="88"/>
      <c r="I34" s="88"/>
      <c r="J34" s="89"/>
    </row>
    <row r="35" spans="1:10" ht="27.75" x14ac:dyDescent="0.4">
      <c r="A35" s="619"/>
      <c r="B35" s="619"/>
      <c r="C35" s="202" t="s">
        <v>6</v>
      </c>
      <c r="D35" s="83"/>
      <c r="E35" s="87"/>
      <c r="F35" s="87"/>
      <c r="G35" s="87"/>
      <c r="H35" s="87"/>
      <c r="I35" s="87"/>
      <c r="J35" s="84"/>
    </row>
    <row r="36" spans="1:10" ht="27.75" x14ac:dyDescent="0.4">
      <c r="A36" s="619"/>
      <c r="B36" s="619"/>
      <c r="C36" s="202" t="s">
        <v>7</v>
      </c>
      <c r="D36" s="83"/>
      <c r="E36" s="87"/>
      <c r="F36" s="87"/>
      <c r="G36" s="87"/>
      <c r="H36" s="87"/>
      <c r="I36" s="87"/>
      <c r="J36" s="84"/>
    </row>
    <row r="37" spans="1:10" ht="27.75" x14ac:dyDescent="0.4">
      <c r="A37" s="619"/>
      <c r="B37" s="619"/>
      <c r="C37" s="202" t="s">
        <v>8</v>
      </c>
      <c r="D37" s="82"/>
      <c r="E37" s="33"/>
      <c r="F37" s="33"/>
      <c r="G37" s="33"/>
      <c r="H37" s="33"/>
      <c r="I37" s="33"/>
      <c r="J37" s="44"/>
    </row>
    <row r="38" spans="1:10" ht="28.5" thickBot="1" x14ac:dyDescent="0.45">
      <c r="A38" s="620"/>
      <c r="B38" s="620"/>
      <c r="C38" s="203" t="s">
        <v>10</v>
      </c>
      <c r="D38" s="94"/>
      <c r="E38" s="78"/>
      <c r="F38" s="78"/>
      <c r="G38" s="78"/>
      <c r="H38" s="78"/>
      <c r="I38" s="78"/>
      <c r="J38" s="95"/>
    </row>
    <row r="39" spans="1:10" x14ac:dyDescent="0.4">
      <c r="A39" s="60"/>
      <c r="B39" s="60"/>
      <c r="C39" s="60"/>
      <c r="D39" s="100"/>
      <c r="E39" s="100"/>
      <c r="F39" s="100"/>
      <c r="G39" s="100"/>
      <c r="H39" s="100"/>
      <c r="I39" s="100"/>
    </row>
    <row r="40" spans="1:10" x14ac:dyDescent="0.4">
      <c r="A40" s="60"/>
      <c r="B40" s="60">
        <v>16</v>
      </c>
      <c r="C40" s="355" t="s">
        <v>144</v>
      </c>
      <c r="D40" s="62">
        <f>COUNTIF(D$9:D$38,$C40)</f>
        <v>1</v>
      </c>
      <c r="E40" s="62">
        <f t="shared" ref="E40:J55" si="0">COUNTIF(E$9:E$38,$C40)</f>
        <v>1</v>
      </c>
      <c r="F40" s="62">
        <f t="shared" si="0"/>
        <v>1</v>
      </c>
      <c r="G40" s="62">
        <f t="shared" si="0"/>
        <v>1</v>
      </c>
      <c r="H40" s="62">
        <f t="shared" si="0"/>
        <v>1</v>
      </c>
      <c r="I40" s="62">
        <f t="shared" si="0"/>
        <v>1</v>
      </c>
      <c r="J40" s="62">
        <f t="shared" si="0"/>
        <v>1</v>
      </c>
    </row>
    <row r="41" spans="1:10" x14ac:dyDescent="0.4">
      <c r="A41" s="60"/>
      <c r="B41" s="60">
        <v>32</v>
      </c>
      <c r="C41" s="355" t="s">
        <v>145</v>
      </c>
      <c r="D41" s="62">
        <f t="shared" ref="D41:J66" si="1">COUNTIF(D$9:D$38,$C41)</f>
        <v>1</v>
      </c>
      <c r="E41" s="62">
        <f t="shared" si="0"/>
        <v>1</v>
      </c>
      <c r="F41" s="62">
        <f t="shared" si="0"/>
        <v>1</v>
      </c>
      <c r="G41" s="62">
        <f t="shared" si="0"/>
        <v>1</v>
      </c>
      <c r="H41" s="62">
        <f t="shared" si="0"/>
        <v>1</v>
      </c>
      <c r="I41" s="62">
        <f t="shared" si="0"/>
        <v>1</v>
      </c>
      <c r="J41" s="62">
        <f t="shared" si="0"/>
        <v>1</v>
      </c>
    </row>
    <row r="42" spans="1:10" x14ac:dyDescent="0.4">
      <c r="A42" s="60"/>
      <c r="B42" s="60">
        <v>10</v>
      </c>
      <c r="C42" s="355" t="s">
        <v>146</v>
      </c>
      <c r="D42" s="62">
        <f t="shared" si="1"/>
        <v>1</v>
      </c>
      <c r="E42" s="62">
        <f t="shared" si="0"/>
        <v>1</v>
      </c>
      <c r="F42" s="62">
        <f t="shared" si="0"/>
        <v>1</v>
      </c>
      <c r="G42" s="62">
        <f t="shared" si="0"/>
        <v>1</v>
      </c>
      <c r="H42" s="62">
        <f t="shared" si="0"/>
        <v>1</v>
      </c>
      <c r="I42" s="62">
        <f t="shared" si="0"/>
        <v>1</v>
      </c>
      <c r="J42" s="62">
        <f t="shared" si="0"/>
        <v>1</v>
      </c>
    </row>
    <row r="43" spans="1:10" x14ac:dyDescent="0.4">
      <c r="A43" s="60"/>
      <c r="B43" s="60">
        <v>38</v>
      </c>
      <c r="C43" s="355" t="s">
        <v>147</v>
      </c>
      <c r="D43" s="62">
        <f t="shared" si="1"/>
        <v>1</v>
      </c>
      <c r="E43" s="62">
        <f t="shared" si="0"/>
        <v>0</v>
      </c>
      <c r="F43" s="62">
        <f t="shared" si="0"/>
        <v>1</v>
      </c>
      <c r="G43" s="62">
        <f t="shared" si="0"/>
        <v>1</v>
      </c>
      <c r="H43" s="62">
        <f t="shared" si="0"/>
        <v>2</v>
      </c>
      <c r="I43" s="62">
        <f t="shared" si="0"/>
        <v>1</v>
      </c>
      <c r="J43" s="62">
        <f t="shared" si="0"/>
        <v>1</v>
      </c>
    </row>
    <row r="44" spans="1:10" x14ac:dyDescent="0.4">
      <c r="A44" s="60"/>
      <c r="B44" s="60">
        <v>10</v>
      </c>
      <c r="C44" s="355" t="s">
        <v>148</v>
      </c>
      <c r="D44" s="62">
        <f t="shared" si="1"/>
        <v>1</v>
      </c>
      <c r="E44" s="62">
        <f t="shared" si="0"/>
        <v>1</v>
      </c>
      <c r="F44" s="62">
        <f t="shared" si="0"/>
        <v>1</v>
      </c>
      <c r="G44" s="62">
        <f t="shared" si="0"/>
        <v>1</v>
      </c>
      <c r="H44" s="62">
        <f t="shared" si="0"/>
        <v>1</v>
      </c>
      <c r="I44" s="62">
        <f t="shared" si="0"/>
        <v>1</v>
      </c>
      <c r="J44" s="62">
        <f t="shared" si="0"/>
        <v>1</v>
      </c>
    </row>
    <row r="45" spans="1:10" x14ac:dyDescent="0.4">
      <c r="A45" s="60"/>
      <c r="B45" s="60">
        <v>22</v>
      </c>
      <c r="C45" s="355" t="s">
        <v>149</v>
      </c>
      <c r="D45" s="62">
        <f t="shared" si="1"/>
        <v>0</v>
      </c>
      <c r="E45" s="62">
        <f t="shared" si="0"/>
        <v>1</v>
      </c>
      <c r="F45" s="62">
        <f t="shared" si="0"/>
        <v>1</v>
      </c>
      <c r="G45" s="62">
        <f t="shared" si="0"/>
        <v>1</v>
      </c>
      <c r="H45" s="62">
        <f t="shared" si="0"/>
        <v>0</v>
      </c>
      <c r="I45" s="62">
        <f t="shared" si="0"/>
        <v>0</v>
      </c>
      <c r="J45" s="62">
        <f t="shared" si="0"/>
        <v>1</v>
      </c>
    </row>
    <row r="46" spans="1:10" x14ac:dyDescent="0.4">
      <c r="A46" s="60"/>
      <c r="B46" s="60">
        <v>10</v>
      </c>
      <c r="C46" s="355" t="s">
        <v>22</v>
      </c>
      <c r="D46" s="62">
        <f t="shared" si="1"/>
        <v>2</v>
      </c>
      <c r="E46" s="62">
        <f t="shared" si="0"/>
        <v>2</v>
      </c>
      <c r="F46" s="62">
        <f t="shared" si="0"/>
        <v>2</v>
      </c>
      <c r="G46" s="62">
        <f t="shared" si="0"/>
        <v>2</v>
      </c>
      <c r="H46" s="62">
        <f t="shared" si="0"/>
        <v>2</v>
      </c>
      <c r="I46" s="62">
        <f t="shared" si="0"/>
        <v>2</v>
      </c>
      <c r="J46" s="62">
        <f t="shared" si="0"/>
        <v>2</v>
      </c>
    </row>
    <row r="47" spans="1:10" x14ac:dyDescent="0.4">
      <c r="A47" s="60"/>
      <c r="B47" s="60">
        <v>88</v>
      </c>
      <c r="C47" s="355" t="s">
        <v>23</v>
      </c>
      <c r="D47" s="62">
        <f t="shared" si="1"/>
        <v>2</v>
      </c>
      <c r="E47" s="62">
        <f t="shared" si="0"/>
        <v>2</v>
      </c>
      <c r="F47" s="62">
        <f t="shared" si="0"/>
        <v>1</v>
      </c>
      <c r="G47" s="62">
        <f t="shared" si="0"/>
        <v>0</v>
      </c>
      <c r="H47" s="62">
        <f t="shared" si="0"/>
        <v>1</v>
      </c>
      <c r="I47" s="62">
        <f t="shared" si="0"/>
        <v>1</v>
      </c>
      <c r="J47" s="62">
        <f t="shared" si="0"/>
        <v>1</v>
      </c>
    </row>
    <row r="48" spans="1:10" x14ac:dyDescent="0.4">
      <c r="A48" s="60"/>
      <c r="B48" s="60">
        <v>10</v>
      </c>
      <c r="C48" s="355" t="s">
        <v>152</v>
      </c>
      <c r="D48" s="62">
        <f t="shared" si="1"/>
        <v>1</v>
      </c>
      <c r="E48" s="62">
        <f t="shared" si="0"/>
        <v>1</v>
      </c>
      <c r="F48" s="62">
        <f t="shared" si="0"/>
        <v>1</v>
      </c>
      <c r="G48" s="62">
        <f t="shared" si="0"/>
        <v>1</v>
      </c>
      <c r="H48" s="62">
        <f t="shared" si="0"/>
        <v>1</v>
      </c>
      <c r="I48" s="62">
        <f t="shared" si="0"/>
        <v>1</v>
      </c>
      <c r="J48" s="62">
        <f t="shared" si="0"/>
        <v>1</v>
      </c>
    </row>
    <row r="49" spans="1:10" x14ac:dyDescent="0.4">
      <c r="A49" s="60"/>
      <c r="B49" s="60">
        <v>22</v>
      </c>
      <c r="C49" s="355" t="s">
        <v>153</v>
      </c>
      <c r="D49" s="62">
        <f t="shared" si="1"/>
        <v>1</v>
      </c>
      <c r="E49" s="62">
        <f t="shared" si="0"/>
        <v>1</v>
      </c>
      <c r="F49" s="62">
        <f t="shared" si="0"/>
        <v>1</v>
      </c>
      <c r="G49" s="62">
        <f t="shared" si="0"/>
        <v>1</v>
      </c>
      <c r="H49" s="62">
        <f t="shared" si="0"/>
        <v>1</v>
      </c>
      <c r="I49" s="62">
        <f t="shared" si="0"/>
        <v>0</v>
      </c>
      <c r="J49" s="62">
        <f t="shared" si="0"/>
        <v>0</v>
      </c>
    </row>
    <row r="50" spans="1:10" x14ac:dyDescent="0.4">
      <c r="A50" s="60"/>
      <c r="B50" s="60">
        <v>10</v>
      </c>
      <c r="C50" s="355" t="s">
        <v>128</v>
      </c>
      <c r="D50" s="62">
        <f t="shared" si="1"/>
        <v>0</v>
      </c>
      <c r="E50" s="62">
        <f t="shared" si="0"/>
        <v>0</v>
      </c>
      <c r="F50" s="62">
        <f t="shared" si="0"/>
        <v>0</v>
      </c>
      <c r="G50" s="62">
        <f t="shared" si="0"/>
        <v>0</v>
      </c>
      <c r="H50" s="62">
        <f t="shared" si="0"/>
        <v>2</v>
      </c>
      <c r="I50" s="62">
        <f t="shared" si="0"/>
        <v>0</v>
      </c>
      <c r="J50" s="62">
        <f t="shared" si="0"/>
        <v>0</v>
      </c>
    </row>
    <row r="51" spans="1:10" x14ac:dyDescent="0.4">
      <c r="A51" s="60"/>
      <c r="B51" s="60">
        <v>88</v>
      </c>
      <c r="C51" s="355" t="s">
        <v>129</v>
      </c>
      <c r="D51" s="62">
        <f t="shared" si="1"/>
        <v>0</v>
      </c>
      <c r="E51" s="62">
        <f t="shared" si="0"/>
        <v>0</v>
      </c>
      <c r="F51" s="62">
        <f t="shared" si="0"/>
        <v>0</v>
      </c>
      <c r="G51" s="62">
        <f t="shared" si="0"/>
        <v>0</v>
      </c>
      <c r="H51" s="62">
        <f t="shared" si="0"/>
        <v>1</v>
      </c>
      <c r="I51" s="62">
        <f t="shared" si="0"/>
        <v>0</v>
      </c>
      <c r="J51" s="62">
        <f t="shared" si="0"/>
        <v>0</v>
      </c>
    </row>
    <row r="52" spans="1:10" x14ac:dyDescent="0.4">
      <c r="A52" s="60"/>
      <c r="B52" s="60"/>
      <c r="C52" s="355"/>
      <c r="D52" s="62">
        <f t="shared" si="1"/>
        <v>0</v>
      </c>
      <c r="E52" s="62">
        <f t="shared" si="0"/>
        <v>0</v>
      </c>
      <c r="F52" s="62">
        <f t="shared" si="0"/>
        <v>0</v>
      </c>
      <c r="G52" s="62">
        <f t="shared" si="0"/>
        <v>0</v>
      </c>
      <c r="H52" s="62">
        <f t="shared" si="0"/>
        <v>0</v>
      </c>
      <c r="I52" s="62">
        <f t="shared" si="0"/>
        <v>0</v>
      </c>
      <c r="J52" s="62">
        <f t="shared" si="0"/>
        <v>0</v>
      </c>
    </row>
    <row r="53" spans="1:10" x14ac:dyDescent="0.4">
      <c r="A53" s="60"/>
      <c r="B53" s="63"/>
      <c r="C53" s="355"/>
      <c r="D53" s="62">
        <f t="shared" si="1"/>
        <v>0</v>
      </c>
      <c r="E53" s="62">
        <f t="shared" si="0"/>
        <v>0</v>
      </c>
      <c r="F53" s="62">
        <f t="shared" si="0"/>
        <v>0</v>
      </c>
      <c r="G53" s="62">
        <f t="shared" si="0"/>
        <v>0</v>
      </c>
      <c r="H53" s="62">
        <f t="shared" si="0"/>
        <v>0</v>
      </c>
      <c r="I53" s="62">
        <f t="shared" si="0"/>
        <v>0</v>
      </c>
      <c r="J53" s="62">
        <f t="shared" si="0"/>
        <v>0</v>
      </c>
    </row>
    <row r="54" spans="1:10" x14ac:dyDescent="0.4">
      <c r="A54" s="60"/>
      <c r="B54" s="60"/>
      <c r="C54" s="355"/>
      <c r="D54" s="62">
        <f t="shared" si="1"/>
        <v>0</v>
      </c>
      <c r="E54" s="62">
        <f t="shared" si="0"/>
        <v>0</v>
      </c>
      <c r="F54" s="62">
        <f t="shared" si="0"/>
        <v>0</v>
      </c>
      <c r="G54" s="62">
        <f t="shared" si="0"/>
        <v>0</v>
      </c>
      <c r="H54" s="62">
        <f t="shared" si="0"/>
        <v>0</v>
      </c>
      <c r="I54" s="62">
        <f t="shared" si="0"/>
        <v>0</v>
      </c>
      <c r="J54" s="62">
        <f t="shared" si="0"/>
        <v>0</v>
      </c>
    </row>
    <row r="55" spans="1:10" x14ac:dyDescent="0.4">
      <c r="A55" s="60"/>
      <c r="B55" s="60"/>
      <c r="C55" s="355"/>
      <c r="D55" s="62">
        <f t="shared" si="1"/>
        <v>0</v>
      </c>
      <c r="E55" s="62">
        <f t="shared" si="0"/>
        <v>0</v>
      </c>
      <c r="F55" s="62">
        <f t="shared" si="0"/>
        <v>0</v>
      </c>
      <c r="G55" s="62">
        <f t="shared" si="0"/>
        <v>0</v>
      </c>
      <c r="H55" s="62">
        <f t="shared" si="0"/>
        <v>0</v>
      </c>
      <c r="I55" s="62">
        <f t="shared" si="0"/>
        <v>0</v>
      </c>
      <c r="J55" s="62">
        <f t="shared" si="0"/>
        <v>0</v>
      </c>
    </row>
    <row r="56" spans="1:10" x14ac:dyDescent="0.4">
      <c r="A56" s="60"/>
      <c r="B56" s="60"/>
      <c r="C56" s="355"/>
      <c r="D56" s="62">
        <f t="shared" si="1"/>
        <v>0</v>
      </c>
      <c r="E56" s="62">
        <f t="shared" si="1"/>
        <v>0</v>
      </c>
      <c r="F56" s="62">
        <f t="shared" si="1"/>
        <v>0</v>
      </c>
      <c r="G56" s="62">
        <f t="shared" si="1"/>
        <v>0</v>
      </c>
      <c r="H56" s="62">
        <f t="shared" si="1"/>
        <v>0</v>
      </c>
      <c r="I56" s="62">
        <f t="shared" si="1"/>
        <v>0</v>
      </c>
      <c r="J56" s="62">
        <f t="shared" si="1"/>
        <v>0</v>
      </c>
    </row>
    <row r="57" spans="1:10" x14ac:dyDescent="0.4">
      <c r="A57" s="60"/>
      <c r="B57" s="60"/>
      <c r="C57" s="355"/>
      <c r="D57" s="62">
        <f t="shared" si="1"/>
        <v>0</v>
      </c>
      <c r="E57" s="62">
        <f t="shared" si="1"/>
        <v>0</v>
      </c>
      <c r="F57" s="62">
        <f t="shared" si="1"/>
        <v>0</v>
      </c>
      <c r="G57" s="62">
        <f t="shared" si="1"/>
        <v>0</v>
      </c>
      <c r="H57" s="62">
        <f t="shared" si="1"/>
        <v>0</v>
      </c>
      <c r="I57" s="62">
        <f t="shared" si="1"/>
        <v>0</v>
      </c>
      <c r="J57" s="62">
        <f t="shared" si="1"/>
        <v>0</v>
      </c>
    </row>
    <row r="58" spans="1:10" x14ac:dyDescent="0.4">
      <c r="A58" s="60"/>
      <c r="B58" s="60"/>
      <c r="C58" s="355"/>
      <c r="D58" s="62">
        <f t="shared" si="1"/>
        <v>0</v>
      </c>
      <c r="E58" s="62">
        <f t="shared" si="1"/>
        <v>0</v>
      </c>
      <c r="F58" s="62">
        <f t="shared" si="1"/>
        <v>0</v>
      </c>
      <c r="G58" s="62">
        <f t="shared" si="1"/>
        <v>0</v>
      </c>
      <c r="H58" s="62">
        <f t="shared" si="1"/>
        <v>0</v>
      </c>
      <c r="I58" s="62">
        <f t="shared" si="1"/>
        <v>0</v>
      </c>
      <c r="J58" s="62">
        <f t="shared" si="1"/>
        <v>0</v>
      </c>
    </row>
    <row r="59" spans="1:10" x14ac:dyDescent="0.4">
      <c r="A59" s="137"/>
      <c r="B59" s="138"/>
      <c r="C59" s="355"/>
      <c r="D59" s="62">
        <f t="shared" si="1"/>
        <v>0</v>
      </c>
      <c r="E59" s="62">
        <f t="shared" si="1"/>
        <v>0</v>
      </c>
      <c r="F59" s="62">
        <f t="shared" si="1"/>
        <v>0</v>
      </c>
      <c r="G59" s="62">
        <f t="shared" si="1"/>
        <v>0</v>
      </c>
      <c r="H59" s="62">
        <f t="shared" si="1"/>
        <v>0</v>
      </c>
      <c r="I59" s="62">
        <f t="shared" si="1"/>
        <v>0</v>
      </c>
      <c r="J59" s="62">
        <f t="shared" si="1"/>
        <v>0</v>
      </c>
    </row>
    <row r="60" spans="1:10" x14ac:dyDescent="0.4">
      <c r="A60" s="137"/>
      <c r="B60" s="138"/>
      <c r="C60" s="355"/>
      <c r="D60" s="62">
        <f t="shared" si="1"/>
        <v>0</v>
      </c>
      <c r="E60" s="62">
        <f t="shared" si="1"/>
        <v>0</v>
      </c>
      <c r="F60" s="62">
        <f t="shared" si="1"/>
        <v>0</v>
      </c>
      <c r="G60" s="62">
        <f t="shared" si="1"/>
        <v>0</v>
      </c>
      <c r="H60" s="62">
        <f t="shared" si="1"/>
        <v>0</v>
      </c>
      <c r="I60" s="62">
        <f t="shared" si="1"/>
        <v>0</v>
      </c>
      <c r="J60" s="62">
        <f t="shared" si="1"/>
        <v>0</v>
      </c>
    </row>
    <row r="61" spans="1:10" x14ac:dyDescent="0.4">
      <c r="A61" s="60"/>
      <c r="B61" s="60"/>
      <c r="C61" s="355"/>
      <c r="D61" s="62">
        <f t="shared" si="1"/>
        <v>0</v>
      </c>
      <c r="E61" s="62">
        <f t="shared" si="1"/>
        <v>0</v>
      </c>
      <c r="F61" s="62">
        <f t="shared" si="1"/>
        <v>0</v>
      </c>
      <c r="G61" s="62">
        <f t="shared" si="1"/>
        <v>0</v>
      </c>
      <c r="H61" s="62">
        <f t="shared" si="1"/>
        <v>0</v>
      </c>
      <c r="I61" s="62">
        <f t="shared" si="1"/>
        <v>0</v>
      </c>
      <c r="J61" s="62">
        <f t="shared" si="1"/>
        <v>0</v>
      </c>
    </row>
    <row r="62" spans="1:10" x14ac:dyDescent="0.4">
      <c r="C62" s="228"/>
      <c r="D62" s="62">
        <f t="shared" si="1"/>
        <v>0</v>
      </c>
      <c r="E62" s="62">
        <f t="shared" si="1"/>
        <v>0</v>
      </c>
      <c r="F62" s="62">
        <f t="shared" si="1"/>
        <v>0</v>
      </c>
      <c r="G62" s="62">
        <f t="shared" si="1"/>
        <v>0</v>
      </c>
      <c r="H62" s="62">
        <f t="shared" si="1"/>
        <v>0</v>
      </c>
      <c r="I62" s="62">
        <f t="shared" si="1"/>
        <v>0</v>
      </c>
      <c r="J62" s="62">
        <f t="shared" si="1"/>
        <v>0</v>
      </c>
    </row>
    <row r="63" spans="1:10" x14ac:dyDescent="0.4">
      <c r="A63" s="60"/>
      <c r="B63" s="63"/>
      <c r="C63" s="228"/>
      <c r="D63" s="62">
        <f t="shared" si="1"/>
        <v>0</v>
      </c>
      <c r="E63" s="62">
        <f t="shared" si="1"/>
        <v>0</v>
      </c>
      <c r="F63" s="62">
        <f t="shared" si="1"/>
        <v>0</v>
      </c>
      <c r="G63" s="62">
        <f t="shared" si="1"/>
        <v>0</v>
      </c>
      <c r="H63" s="62">
        <f t="shared" si="1"/>
        <v>0</v>
      </c>
      <c r="I63" s="62">
        <f t="shared" si="1"/>
        <v>0</v>
      </c>
      <c r="J63" s="62">
        <f t="shared" si="1"/>
        <v>0</v>
      </c>
    </row>
    <row r="64" spans="1:10" x14ac:dyDescent="0.4">
      <c r="A64" s="60"/>
      <c r="B64" s="60"/>
      <c r="C64" s="65"/>
      <c r="D64" s="62">
        <f t="shared" si="1"/>
        <v>0</v>
      </c>
      <c r="E64" s="62">
        <f t="shared" si="1"/>
        <v>0</v>
      </c>
      <c r="F64" s="62">
        <f t="shared" si="1"/>
        <v>0</v>
      </c>
      <c r="G64" s="62">
        <f t="shared" si="1"/>
        <v>0</v>
      </c>
      <c r="H64" s="62">
        <f t="shared" si="1"/>
        <v>0</v>
      </c>
      <c r="I64" s="62">
        <f t="shared" si="1"/>
        <v>0</v>
      </c>
      <c r="J64" s="62">
        <f t="shared" si="1"/>
        <v>0</v>
      </c>
    </row>
    <row r="65" spans="1:10" x14ac:dyDescent="0.4">
      <c r="A65" s="60"/>
      <c r="B65" s="60"/>
      <c r="C65" s="65"/>
      <c r="D65" s="62">
        <f t="shared" si="1"/>
        <v>0</v>
      </c>
      <c r="E65" s="62">
        <f t="shared" si="1"/>
        <v>0</v>
      </c>
      <c r="F65" s="62">
        <f t="shared" si="1"/>
        <v>0</v>
      </c>
      <c r="G65" s="62">
        <f t="shared" si="1"/>
        <v>0</v>
      </c>
      <c r="H65" s="62">
        <f t="shared" si="1"/>
        <v>0</v>
      </c>
      <c r="I65" s="62">
        <f t="shared" si="1"/>
        <v>0</v>
      </c>
      <c r="J65" s="62">
        <f t="shared" si="1"/>
        <v>0</v>
      </c>
    </row>
    <row r="66" spans="1:10" x14ac:dyDescent="0.4">
      <c r="A66" s="60"/>
      <c r="B66" s="60"/>
      <c r="C66" s="65"/>
      <c r="D66" s="62">
        <f t="shared" si="1"/>
        <v>0</v>
      </c>
      <c r="E66" s="62">
        <f t="shared" si="1"/>
        <v>0</v>
      </c>
      <c r="F66" s="62">
        <f t="shared" si="1"/>
        <v>0</v>
      </c>
      <c r="G66" s="62">
        <f t="shared" si="1"/>
        <v>0</v>
      </c>
      <c r="H66" s="62">
        <f t="shared" si="1"/>
        <v>0</v>
      </c>
      <c r="I66" s="62">
        <f t="shared" si="1"/>
        <v>0</v>
      </c>
      <c r="J66" s="62">
        <f t="shared" si="1"/>
        <v>0</v>
      </c>
    </row>
    <row r="67" spans="1:10" x14ac:dyDescent="0.4">
      <c r="A67" s="60"/>
      <c r="B67" s="60"/>
      <c r="C67" s="60"/>
      <c r="D67" s="60"/>
      <c r="E67" s="60"/>
      <c r="F67" s="60"/>
      <c r="G67" s="60"/>
      <c r="H67" s="60"/>
      <c r="I67" s="60"/>
    </row>
    <row r="68" spans="1:10" x14ac:dyDescent="0.4">
      <c r="A68" s="60"/>
      <c r="B68" s="60"/>
      <c r="C68" s="60"/>
      <c r="D68" s="60"/>
      <c r="E68" s="60"/>
      <c r="F68" s="60"/>
      <c r="G68" s="60"/>
      <c r="H68" s="60"/>
      <c r="I68" s="60"/>
    </row>
    <row r="69" spans="1:10" x14ac:dyDescent="0.4">
      <c r="A69" s="60"/>
      <c r="B69" s="60"/>
      <c r="C69" s="60"/>
      <c r="D69" s="60"/>
      <c r="E69" s="60"/>
      <c r="F69" s="60"/>
      <c r="G69" s="60"/>
      <c r="H69" s="60"/>
      <c r="I69" s="60"/>
    </row>
    <row r="70" spans="1:10" x14ac:dyDescent="0.4">
      <c r="A70" s="60"/>
      <c r="B70" s="60"/>
      <c r="C70" s="60"/>
      <c r="D70" s="60"/>
      <c r="E70" s="60"/>
      <c r="F70" s="60"/>
      <c r="G70" s="60"/>
      <c r="H70" s="60"/>
      <c r="I70" s="60"/>
    </row>
    <row r="71" spans="1:10" x14ac:dyDescent="0.4">
      <c r="A71" s="60"/>
      <c r="B71" s="60"/>
      <c r="C71" s="60"/>
      <c r="D71" s="60"/>
      <c r="E71" s="60"/>
      <c r="F71" s="60"/>
      <c r="G71" s="60"/>
      <c r="H71" s="60"/>
      <c r="I71" s="60"/>
    </row>
    <row r="72" spans="1:10" x14ac:dyDescent="0.4">
      <c r="A72" s="60"/>
      <c r="B72" s="60"/>
      <c r="C72" s="60"/>
      <c r="D72" s="60"/>
      <c r="E72" s="60"/>
      <c r="F72" s="60"/>
      <c r="G72" s="60"/>
      <c r="H72" s="60"/>
      <c r="I72" s="60"/>
    </row>
  </sheetData>
  <mergeCells count="20">
    <mergeCell ref="C7:C8"/>
    <mergeCell ref="A34:A38"/>
    <mergeCell ref="B34:B38"/>
    <mergeCell ref="A7:A8"/>
    <mergeCell ref="A24:A2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3.937007874015748E-2" bottom="3.937007874015748E-2" header="0.23622047244094491" footer="0.23622047244094491"/>
  <pageSetup paperSize="9" scale="23" orientation="portrait" r:id="rId1"/>
  <rowBreaks count="1" manualBreakCount="1">
    <brk id="38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72"/>
  <sheetViews>
    <sheetView view="pageBreakPreview" topLeftCell="A25" zoomScale="38" zoomScaleNormal="40" zoomScaleSheetLayoutView="38" zoomScalePageLayoutView="40" workbookViewId="0">
      <selection activeCell="I24" sqref="I24:I25"/>
    </sheetView>
  </sheetViews>
  <sheetFormatPr defaultColWidth="9.140625" defaultRowHeight="15" x14ac:dyDescent="0.25"/>
  <cols>
    <col min="1" max="2" width="4.42578125" style="5" customWidth="1"/>
    <col min="3" max="3" width="24.140625" style="5" customWidth="1"/>
    <col min="4" max="4" width="49.5703125" style="13" customWidth="1"/>
    <col min="5" max="5" width="56.7109375" style="5" customWidth="1"/>
    <col min="6" max="6" width="48.85546875" style="5" customWidth="1"/>
    <col min="7" max="7" width="53.42578125" style="5" customWidth="1"/>
    <col min="8" max="8" width="63.5703125" style="13" customWidth="1"/>
    <col min="9" max="9" width="67.5703125" style="5" customWidth="1"/>
    <col min="10" max="10" width="60.28515625" style="5" customWidth="1"/>
    <col min="11" max="16384" width="9.140625" style="5"/>
  </cols>
  <sheetData>
    <row r="1" spans="1:10" ht="25.5" customHeight="1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25.5" customHeight="1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25.5" customHeight="1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25.5" customHeight="1" thickBot="1" x14ac:dyDescent="0.3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8.7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34.25" customHeight="1" thickBot="1" x14ac:dyDescent="0.3">
      <c r="A8" s="633"/>
      <c r="B8" s="633"/>
      <c r="C8" s="634"/>
      <c r="D8" s="380" t="s">
        <v>65</v>
      </c>
      <c r="E8" s="381" t="s">
        <v>67</v>
      </c>
      <c r="F8" s="381" t="s">
        <v>48</v>
      </c>
      <c r="G8" s="381" t="s">
        <v>63</v>
      </c>
      <c r="H8" s="381" t="s">
        <v>56</v>
      </c>
      <c r="I8" s="381" t="s">
        <v>83</v>
      </c>
      <c r="J8" s="382" t="s">
        <v>82</v>
      </c>
    </row>
    <row r="9" spans="1:10" ht="198.75" customHeight="1" x14ac:dyDescent="0.25">
      <c r="A9" s="606" t="s">
        <v>0</v>
      </c>
      <c r="B9" s="607">
        <v>46272</v>
      </c>
      <c r="C9" s="34" t="s">
        <v>5</v>
      </c>
      <c r="D9" s="243"/>
      <c r="E9" s="286" t="s">
        <v>190</v>
      </c>
      <c r="F9" s="286"/>
      <c r="G9" s="286"/>
      <c r="H9" s="286" t="s">
        <v>188</v>
      </c>
      <c r="I9" s="236" t="s">
        <v>183</v>
      </c>
      <c r="J9" s="197" t="s">
        <v>184</v>
      </c>
    </row>
    <row r="10" spans="1:10" ht="198.75" customHeight="1" x14ac:dyDescent="0.25">
      <c r="A10" s="604"/>
      <c r="B10" s="604"/>
      <c r="C10" s="35" t="s">
        <v>6</v>
      </c>
      <c r="D10" s="239"/>
      <c r="E10" s="240" t="s">
        <v>188</v>
      </c>
      <c r="F10" s="147" t="s">
        <v>181</v>
      </c>
      <c r="G10" s="240" t="s">
        <v>190</v>
      </c>
      <c r="H10" s="240" t="s">
        <v>203</v>
      </c>
      <c r="I10" s="237" t="s">
        <v>183</v>
      </c>
      <c r="J10" s="148" t="s">
        <v>184</v>
      </c>
    </row>
    <row r="11" spans="1:10" ht="111" x14ac:dyDescent="0.25">
      <c r="A11" s="604"/>
      <c r="B11" s="604"/>
      <c r="C11" s="35" t="s">
        <v>7</v>
      </c>
      <c r="D11" s="450" t="s">
        <v>202</v>
      </c>
      <c r="E11" s="237" t="s">
        <v>203</v>
      </c>
      <c r="F11" s="147" t="s">
        <v>181</v>
      </c>
      <c r="G11" s="451" t="s">
        <v>199</v>
      </c>
      <c r="H11" s="237" t="s">
        <v>200</v>
      </c>
      <c r="I11" s="237" t="s">
        <v>192</v>
      </c>
      <c r="J11" s="242" t="s">
        <v>196</v>
      </c>
    </row>
    <row r="12" spans="1:10" ht="111" x14ac:dyDescent="0.25">
      <c r="A12" s="604"/>
      <c r="B12" s="604"/>
      <c r="C12" s="35" t="s">
        <v>8</v>
      </c>
      <c r="D12" s="450" t="s">
        <v>203</v>
      </c>
      <c r="E12" s="237"/>
      <c r="F12" s="147"/>
      <c r="G12" s="451" t="s">
        <v>199</v>
      </c>
      <c r="H12" s="237" t="s">
        <v>200</v>
      </c>
      <c r="I12" s="237" t="s">
        <v>207</v>
      </c>
      <c r="J12" s="242" t="s">
        <v>192</v>
      </c>
    </row>
    <row r="13" spans="1:10" ht="28.5" thickBot="1" x14ac:dyDescent="0.3">
      <c r="A13" s="604"/>
      <c r="B13" s="604"/>
      <c r="C13" s="36" t="s">
        <v>10</v>
      </c>
      <c r="D13" s="391"/>
      <c r="E13" s="392"/>
      <c r="F13" s="392"/>
      <c r="G13" s="392"/>
      <c r="H13" s="392"/>
      <c r="I13" s="392"/>
      <c r="J13" s="393"/>
    </row>
    <row r="14" spans="1:10" ht="111.75" customHeight="1" x14ac:dyDescent="0.25">
      <c r="A14" s="604" t="s">
        <v>1</v>
      </c>
      <c r="B14" s="605">
        <f>B9+1</f>
        <v>46273</v>
      </c>
      <c r="C14" s="34" t="s">
        <v>5</v>
      </c>
      <c r="D14" s="289" t="s">
        <v>197</v>
      </c>
      <c r="E14" s="205" t="s">
        <v>197</v>
      </c>
      <c r="F14" s="205" t="s">
        <v>197</v>
      </c>
      <c r="G14" s="205" t="s">
        <v>197</v>
      </c>
      <c r="H14" s="205" t="s">
        <v>197</v>
      </c>
      <c r="I14" s="205" t="s">
        <v>197</v>
      </c>
      <c r="J14" s="197" t="s">
        <v>197</v>
      </c>
    </row>
    <row r="15" spans="1:10" ht="111.75" customHeight="1" x14ac:dyDescent="0.25">
      <c r="A15" s="604"/>
      <c r="B15" s="604"/>
      <c r="C15" s="35" t="s">
        <v>6</v>
      </c>
      <c r="D15" s="255" t="s">
        <v>198</v>
      </c>
      <c r="E15" s="427" t="s">
        <v>198</v>
      </c>
      <c r="F15" s="237" t="s">
        <v>198</v>
      </c>
      <c r="G15" s="237" t="s">
        <v>198</v>
      </c>
      <c r="H15" s="237" t="s">
        <v>198</v>
      </c>
      <c r="I15" s="237" t="s">
        <v>198</v>
      </c>
      <c r="J15" s="242" t="s">
        <v>198</v>
      </c>
    </row>
    <row r="16" spans="1:10" ht="138.75" x14ac:dyDescent="0.25">
      <c r="A16" s="604"/>
      <c r="B16" s="604"/>
      <c r="C16" s="35" t="s">
        <v>7</v>
      </c>
      <c r="D16" s="152" t="s">
        <v>190</v>
      </c>
      <c r="E16" s="237" t="s">
        <v>180</v>
      </c>
      <c r="F16" s="147"/>
      <c r="G16" s="451" t="s">
        <v>199</v>
      </c>
      <c r="H16" s="237" t="s">
        <v>182</v>
      </c>
      <c r="I16" s="237" t="s">
        <v>203</v>
      </c>
      <c r="J16" s="452" t="s">
        <v>188</v>
      </c>
    </row>
    <row r="17" spans="1:11" ht="138.75" x14ac:dyDescent="0.25">
      <c r="A17" s="604"/>
      <c r="B17" s="604"/>
      <c r="C17" s="35" t="s">
        <v>8</v>
      </c>
      <c r="D17" s="503" t="s">
        <v>179</v>
      </c>
      <c r="E17" s="237" t="s">
        <v>180</v>
      </c>
      <c r="F17" s="147"/>
      <c r="G17" s="451" t="s">
        <v>199</v>
      </c>
      <c r="H17" s="237" t="s">
        <v>182</v>
      </c>
      <c r="I17" s="237" t="s">
        <v>188</v>
      </c>
      <c r="J17" s="148" t="s">
        <v>203</v>
      </c>
    </row>
    <row r="18" spans="1:11" ht="28.5" thickBot="1" x14ac:dyDescent="0.3">
      <c r="A18" s="604"/>
      <c r="B18" s="604"/>
      <c r="C18" s="36" t="s">
        <v>10</v>
      </c>
      <c r="D18" s="384"/>
      <c r="E18" s="154"/>
      <c r="F18" s="154"/>
      <c r="G18" s="195"/>
      <c r="H18" s="154"/>
      <c r="I18" s="195"/>
      <c r="J18" s="155"/>
      <c r="K18" s="7"/>
    </row>
    <row r="19" spans="1:11" ht="192.75" customHeight="1" x14ac:dyDescent="0.25">
      <c r="A19" s="604" t="s">
        <v>2</v>
      </c>
      <c r="B19" s="605">
        <f>B14+1</f>
        <v>46274</v>
      </c>
      <c r="C19" s="34" t="s">
        <v>5</v>
      </c>
      <c r="D19" s="213"/>
      <c r="E19" s="205" t="s">
        <v>187</v>
      </c>
      <c r="F19" s="205" t="s">
        <v>190</v>
      </c>
      <c r="G19" s="205"/>
      <c r="H19" s="504"/>
      <c r="I19" s="236" t="s">
        <v>183</v>
      </c>
      <c r="J19" s="197" t="s">
        <v>184</v>
      </c>
    </row>
    <row r="20" spans="1:11" ht="195" customHeight="1" x14ac:dyDescent="0.25">
      <c r="A20" s="604"/>
      <c r="B20" s="604"/>
      <c r="C20" s="35" t="s">
        <v>6</v>
      </c>
      <c r="D20" s="450"/>
      <c r="E20" s="147" t="s">
        <v>190</v>
      </c>
      <c r="F20" s="147" t="s">
        <v>187</v>
      </c>
      <c r="G20" s="147"/>
      <c r="H20" s="505"/>
      <c r="I20" s="237" t="s">
        <v>183</v>
      </c>
      <c r="J20" s="148" t="s">
        <v>184</v>
      </c>
    </row>
    <row r="21" spans="1:11" ht="111" x14ac:dyDescent="0.25">
      <c r="A21" s="604"/>
      <c r="B21" s="604"/>
      <c r="C21" s="35" t="s">
        <v>7</v>
      </c>
      <c r="D21" s="152" t="s">
        <v>185</v>
      </c>
      <c r="E21" s="451" t="s">
        <v>185</v>
      </c>
      <c r="F21" s="451" t="s">
        <v>185</v>
      </c>
      <c r="G21" s="147" t="s">
        <v>185</v>
      </c>
      <c r="H21" s="451" t="s">
        <v>185</v>
      </c>
      <c r="I21" s="451" t="s">
        <v>185</v>
      </c>
      <c r="J21" s="452" t="s">
        <v>185</v>
      </c>
      <c r="K21" s="7"/>
    </row>
    <row r="22" spans="1:11" ht="55.5" x14ac:dyDescent="0.25">
      <c r="A22" s="604"/>
      <c r="B22" s="604"/>
      <c r="C22" s="35" t="s">
        <v>8</v>
      </c>
      <c r="D22" s="152" t="s">
        <v>189</v>
      </c>
      <c r="E22" s="147" t="s">
        <v>189</v>
      </c>
      <c r="F22" s="147" t="s">
        <v>189</v>
      </c>
      <c r="G22" s="147" t="s">
        <v>189</v>
      </c>
      <c r="H22" s="184" t="s">
        <v>189</v>
      </c>
      <c r="I22" s="451" t="s">
        <v>189</v>
      </c>
      <c r="J22" s="452" t="s">
        <v>189</v>
      </c>
    </row>
    <row r="23" spans="1:11" ht="28.5" thickBot="1" x14ac:dyDescent="0.3">
      <c r="A23" s="604"/>
      <c r="B23" s="604"/>
      <c r="C23" s="36" t="s">
        <v>10</v>
      </c>
      <c r="D23" s="153"/>
      <c r="E23" s="154"/>
      <c r="F23" s="195"/>
      <c r="G23" s="154"/>
      <c r="H23" s="154"/>
      <c r="I23" s="195"/>
      <c r="J23" s="155"/>
    </row>
    <row r="24" spans="1:11" ht="138.75" x14ac:dyDescent="0.25">
      <c r="A24" s="604" t="s">
        <v>3</v>
      </c>
      <c r="B24" s="605">
        <f>B19+1</f>
        <v>46275</v>
      </c>
      <c r="C24" s="34" t="s">
        <v>5</v>
      </c>
      <c r="D24" s="196" t="s">
        <v>179</v>
      </c>
      <c r="E24" s="205" t="s">
        <v>196</v>
      </c>
      <c r="F24" s="205" t="s">
        <v>181</v>
      </c>
      <c r="G24" s="205" t="s">
        <v>187</v>
      </c>
      <c r="H24" s="205" t="s">
        <v>191</v>
      </c>
      <c r="I24" s="236" t="s">
        <v>183</v>
      </c>
      <c r="J24" s="197" t="s">
        <v>184</v>
      </c>
    </row>
    <row r="25" spans="1:11" ht="138.75" x14ac:dyDescent="0.25">
      <c r="A25" s="612"/>
      <c r="B25" s="604"/>
      <c r="C25" s="35" t="s">
        <v>6</v>
      </c>
      <c r="D25" s="503" t="s">
        <v>179</v>
      </c>
      <c r="E25" s="237" t="s">
        <v>180</v>
      </c>
      <c r="F25" s="147" t="s">
        <v>190</v>
      </c>
      <c r="G25" s="147" t="s">
        <v>196</v>
      </c>
      <c r="H25" s="147" t="s">
        <v>187</v>
      </c>
      <c r="I25" s="237" t="s">
        <v>183</v>
      </c>
      <c r="J25" s="148" t="s">
        <v>184</v>
      </c>
    </row>
    <row r="26" spans="1:11" ht="138.75" x14ac:dyDescent="0.25">
      <c r="A26" s="612"/>
      <c r="B26" s="604"/>
      <c r="C26" s="35" t="s">
        <v>7</v>
      </c>
      <c r="D26" s="152" t="s">
        <v>186</v>
      </c>
      <c r="E26" s="147"/>
      <c r="F26" s="147" t="s">
        <v>194</v>
      </c>
      <c r="G26" s="451" t="s">
        <v>190</v>
      </c>
      <c r="H26" s="237" t="s">
        <v>182</v>
      </c>
      <c r="I26" s="147"/>
      <c r="J26" s="148"/>
    </row>
    <row r="27" spans="1:11" ht="138.75" x14ac:dyDescent="0.25">
      <c r="A27" s="612"/>
      <c r="B27" s="604"/>
      <c r="C27" s="35" t="s">
        <v>8</v>
      </c>
      <c r="D27" s="152" t="s">
        <v>190</v>
      </c>
      <c r="E27" s="147"/>
      <c r="F27" s="147" t="s">
        <v>186</v>
      </c>
      <c r="G27" s="451"/>
      <c r="H27" s="237" t="s">
        <v>182</v>
      </c>
      <c r="I27" s="147"/>
      <c r="J27" s="148"/>
    </row>
    <row r="28" spans="1:11" ht="29.25" thickBot="1" x14ac:dyDescent="0.3">
      <c r="A28" s="612"/>
      <c r="B28" s="604"/>
      <c r="C28" s="36" t="s">
        <v>10</v>
      </c>
      <c r="D28" s="506"/>
      <c r="E28" s="507"/>
      <c r="F28" s="195"/>
      <c r="G28" s="508"/>
      <c r="H28" s="154"/>
      <c r="I28" s="508"/>
      <c r="J28" s="509"/>
    </row>
    <row r="29" spans="1:11" ht="83.25" x14ac:dyDescent="0.25">
      <c r="A29" s="604" t="s">
        <v>4</v>
      </c>
      <c r="B29" s="605">
        <f>B24+1</f>
        <v>46276</v>
      </c>
      <c r="C29" s="34" t="s">
        <v>5</v>
      </c>
      <c r="D29" s="196" t="s">
        <v>179</v>
      </c>
      <c r="E29" s="236"/>
      <c r="F29" s="183" t="s">
        <v>196</v>
      </c>
      <c r="G29" s="205"/>
      <c r="H29" s="236" t="s">
        <v>191</v>
      </c>
      <c r="I29" s="236"/>
      <c r="J29" s="197" t="s">
        <v>188</v>
      </c>
    </row>
    <row r="30" spans="1:11" ht="138.75" x14ac:dyDescent="0.25">
      <c r="A30" s="604"/>
      <c r="B30" s="604"/>
      <c r="C30" s="35" t="s">
        <v>6</v>
      </c>
      <c r="D30" s="503" t="s">
        <v>179</v>
      </c>
      <c r="E30" s="237" t="s">
        <v>180</v>
      </c>
      <c r="F30" s="147" t="s">
        <v>181</v>
      </c>
      <c r="G30" s="510" t="s">
        <v>194</v>
      </c>
      <c r="H30" s="237" t="s">
        <v>207</v>
      </c>
      <c r="I30" s="237"/>
      <c r="J30" s="511" t="s">
        <v>192</v>
      </c>
    </row>
    <row r="31" spans="1:11" ht="138.75" x14ac:dyDescent="0.25">
      <c r="A31" s="604"/>
      <c r="B31" s="604"/>
      <c r="C31" s="35" t="s">
        <v>7</v>
      </c>
      <c r="D31" s="450" t="s">
        <v>201</v>
      </c>
      <c r="E31" s="237" t="s">
        <v>180</v>
      </c>
      <c r="F31" s="147" t="s">
        <v>181</v>
      </c>
      <c r="G31" s="451" t="s">
        <v>199</v>
      </c>
      <c r="H31" s="237" t="s">
        <v>182</v>
      </c>
      <c r="I31" s="510" t="s">
        <v>188</v>
      </c>
      <c r="J31" s="148"/>
    </row>
    <row r="32" spans="1:11" ht="138.75" x14ac:dyDescent="0.25">
      <c r="A32" s="604"/>
      <c r="B32" s="604"/>
      <c r="C32" s="35" t="s">
        <v>8</v>
      </c>
      <c r="D32" s="450"/>
      <c r="E32" s="147"/>
      <c r="F32" s="147"/>
      <c r="G32" s="451"/>
      <c r="H32" s="237" t="s">
        <v>182</v>
      </c>
      <c r="I32" s="510" t="s">
        <v>192</v>
      </c>
      <c r="J32" s="512"/>
    </row>
    <row r="33" spans="1:11" ht="28.5" thickBot="1" x14ac:dyDescent="0.3">
      <c r="A33" s="604"/>
      <c r="B33" s="604"/>
      <c r="C33" s="36" t="s">
        <v>10</v>
      </c>
      <c r="D33" s="513"/>
      <c r="E33" s="514"/>
      <c r="F33" s="514"/>
      <c r="G33" s="514"/>
      <c r="H33" s="514"/>
      <c r="I33" s="514"/>
      <c r="J33" s="515"/>
      <c r="K33" s="5" t="s">
        <v>21</v>
      </c>
    </row>
    <row r="34" spans="1:11" s="13" customFormat="1" ht="27.75" x14ac:dyDescent="0.25">
      <c r="A34" s="604" t="s">
        <v>12</v>
      </c>
      <c r="B34" s="629">
        <f>B29+1</f>
        <v>46277</v>
      </c>
      <c r="C34" s="34" t="s">
        <v>5</v>
      </c>
      <c r="D34" s="162"/>
      <c r="E34" s="163"/>
      <c r="F34" s="163"/>
      <c r="G34" s="163"/>
      <c r="H34" s="163"/>
      <c r="I34" s="163"/>
      <c r="J34" s="187"/>
    </row>
    <row r="35" spans="1:11" s="13" customFormat="1" ht="27.75" x14ac:dyDescent="0.25">
      <c r="A35" s="604"/>
      <c r="B35" s="630"/>
      <c r="C35" s="35" t="s">
        <v>6</v>
      </c>
      <c r="D35" s="29"/>
      <c r="E35" s="30"/>
      <c r="F35" s="30"/>
      <c r="G35" s="30"/>
      <c r="H35" s="30"/>
      <c r="I35" s="30"/>
      <c r="J35" s="148"/>
    </row>
    <row r="36" spans="1:11" s="13" customFormat="1" ht="26.25" x14ac:dyDescent="0.25">
      <c r="A36" s="604"/>
      <c r="B36" s="630"/>
      <c r="C36" s="35" t="s">
        <v>7</v>
      </c>
      <c r="D36" s="29"/>
      <c r="E36" s="30"/>
      <c r="F36" s="30"/>
      <c r="G36" s="30"/>
      <c r="H36" s="30"/>
      <c r="I36" s="30"/>
      <c r="J36" s="38"/>
    </row>
    <row r="37" spans="1:11" s="13" customFormat="1" ht="26.25" x14ac:dyDescent="0.25">
      <c r="A37" s="604"/>
      <c r="B37" s="630"/>
      <c r="C37" s="35" t="s">
        <v>8</v>
      </c>
      <c r="D37" s="29"/>
      <c r="E37" s="30"/>
      <c r="F37" s="30"/>
      <c r="G37" s="121"/>
      <c r="H37" s="30"/>
      <c r="I37" s="121"/>
      <c r="J37" s="38"/>
    </row>
    <row r="38" spans="1:11" s="13" customFormat="1" ht="27" thickBot="1" x14ac:dyDescent="0.3">
      <c r="A38" s="608"/>
      <c r="B38" s="631"/>
      <c r="C38" s="36" t="s">
        <v>10</v>
      </c>
      <c r="D38" s="180"/>
      <c r="E38" s="81"/>
      <c r="F38" s="81"/>
      <c r="G38" s="32"/>
      <c r="H38" s="32"/>
      <c r="I38" s="81"/>
      <c r="J38" s="158"/>
    </row>
    <row r="39" spans="1:11" ht="32.25" customHeight="1" x14ac:dyDescent="0.25">
      <c r="A39" s="6"/>
      <c r="B39" s="6"/>
      <c r="C39" s="6"/>
      <c r="D39" s="135" t="s">
        <v>51</v>
      </c>
      <c r="E39" s="135"/>
      <c r="F39" s="6"/>
      <c r="G39" s="25"/>
      <c r="H39" s="117"/>
      <c r="I39" s="6"/>
      <c r="J39" s="6"/>
    </row>
    <row r="40" spans="1:11" ht="26.25" x14ac:dyDescent="0.4">
      <c r="A40" s="6"/>
      <c r="B40" s="6"/>
      <c r="C40" s="55" t="str">
        <f>'01.09'!C40</f>
        <v>*Л. Основы медицинских знаний и спортивная медицина*</v>
      </c>
      <c r="D40" s="62">
        <f>'01.09'!D40+COUNTIF(D$9:D$38,$C40)</f>
        <v>2</v>
      </c>
      <c r="E40" s="62">
        <f>'01.09'!E40+COUNTIF(E$9:E$38,$C40)</f>
        <v>2</v>
      </c>
      <c r="F40" s="62">
        <f>'01.09'!F40+COUNTIF(F$9:F$38,$C40)</f>
        <v>2</v>
      </c>
      <c r="G40" s="62">
        <f>'01.09'!G40+COUNTIF(G$9:G$38,$C40)</f>
        <v>2</v>
      </c>
      <c r="H40" s="62">
        <f>'01.09'!H40+COUNTIF(H$9:H$38,$C40)</f>
        <v>2</v>
      </c>
      <c r="I40" s="62">
        <f>'01.09'!I40+COUNTIF(I$9:I$38,$C40)</f>
        <v>2</v>
      </c>
      <c r="J40" s="62">
        <f>'01.09'!J40+COUNTIF(J$9:J$38,$C40)</f>
        <v>2</v>
      </c>
    </row>
    <row r="41" spans="1:11" s="13" customFormat="1" ht="26.25" x14ac:dyDescent="0.4">
      <c r="A41" s="6"/>
      <c r="B41" s="6"/>
      <c r="C41" s="55" t="str">
        <f>'01.09'!C41</f>
        <v>*Пр. Основы медицинских знаний и спортивная медицина*</v>
      </c>
      <c r="D41" s="62">
        <f>'01.09'!D41+COUNTIF(D$9:D$38,$C41)</f>
        <v>3</v>
      </c>
      <c r="E41" s="62">
        <f>'01.09'!E41+COUNTIF(E$9:E$38,$C41)</f>
        <v>3</v>
      </c>
      <c r="F41" s="62">
        <f>'01.09'!F41+COUNTIF(F$9:F$38,$C41)</f>
        <v>3</v>
      </c>
      <c r="G41" s="62">
        <f>'01.09'!G41+COUNTIF(G$9:G$38,$C41)</f>
        <v>2</v>
      </c>
      <c r="H41" s="62">
        <f>'01.09'!H41+COUNTIF(H$9:H$38,$C41)</f>
        <v>3</v>
      </c>
      <c r="I41" s="62">
        <f>'01.09'!I41+COUNTIF(I$9:I$38,$C41)</f>
        <v>3</v>
      </c>
      <c r="J41" s="62">
        <f>'01.09'!J41+COUNTIF(J$9:J$38,$C41)</f>
        <v>3</v>
      </c>
    </row>
    <row r="42" spans="1:11" ht="26.25" x14ac:dyDescent="0.4">
      <c r="A42" s="6"/>
      <c r="B42" s="6"/>
      <c r="C42" s="55" t="str">
        <f>'01.09'!C42</f>
        <v>*Л. Массаж*</v>
      </c>
      <c r="D42" s="62">
        <f>'01.09'!D42+COUNTIF(D$9:D$38,$C42)</f>
        <v>2</v>
      </c>
      <c r="E42" s="62">
        <f>'01.09'!E42+COUNTIF(E$9:E$38,$C42)</f>
        <v>2</v>
      </c>
      <c r="F42" s="62">
        <f>'01.09'!F42+COUNTIF(F$9:F$38,$C42)</f>
        <v>2</v>
      </c>
      <c r="G42" s="62">
        <f>'01.09'!G42+COUNTIF(G$9:G$38,$C42)</f>
        <v>2</v>
      </c>
      <c r="H42" s="62">
        <f>'01.09'!H42+COUNTIF(H$9:H$38,$C42)</f>
        <v>2</v>
      </c>
      <c r="I42" s="62">
        <f>'01.09'!I42+COUNTIF(I$9:I$38,$C42)</f>
        <v>2</v>
      </c>
      <c r="J42" s="62">
        <f>'01.09'!J42+COUNTIF(J$9:J$38,$C42)</f>
        <v>2</v>
      </c>
    </row>
    <row r="43" spans="1:11" s="13" customFormat="1" ht="26.25" x14ac:dyDescent="0.4">
      <c r="A43" s="6"/>
      <c r="B43" s="6"/>
      <c r="C43" s="55" t="str">
        <f>'01.09'!C43</f>
        <v>*Пр. Массаж*</v>
      </c>
      <c r="D43" s="62">
        <f>'01.09'!D43+COUNTIF(D$9:D$38,$C43)</f>
        <v>3</v>
      </c>
      <c r="E43" s="62">
        <f>'01.09'!E43+COUNTIF(E$9:E$38,$C43)</f>
        <v>2</v>
      </c>
      <c r="F43" s="62">
        <f>'01.09'!F43+COUNTIF(F$9:F$38,$C43)</f>
        <v>3</v>
      </c>
      <c r="G43" s="62">
        <f>'01.09'!G43+COUNTIF(G$9:G$38,$C43)</f>
        <v>3</v>
      </c>
      <c r="H43" s="62">
        <f>'01.09'!H43+COUNTIF(H$9:H$38,$C43)</f>
        <v>4</v>
      </c>
      <c r="I43" s="62">
        <f>'01.09'!I43+COUNTIF(I$9:I$38,$C43)</f>
        <v>3</v>
      </c>
      <c r="J43" s="62">
        <f>'01.09'!J43+COUNTIF(J$9:J$38,$C43)</f>
        <v>3</v>
      </c>
    </row>
    <row r="44" spans="1:11" ht="26.25" x14ac:dyDescent="0.4">
      <c r="A44" s="6"/>
      <c r="B44" s="6"/>
      <c r="C44" s="55" t="str">
        <f>'01.09'!C44</f>
        <v>*Л. Правовые основы профессиональной деятельности*</v>
      </c>
      <c r="D44" s="62">
        <f>'01.09'!D44+COUNTIF(D$9:D$38,$C44)</f>
        <v>2</v>
      </c>
      <c r="E44" s="62">
        <f>'01.09'!E44+COUNTIF(E$9:E$38,$C44)</f>
        <v>2</v>
      </c>
      <c r="F44" s="62">
        <f>'01.09'!F44+COUNTIF(F$9:F$38,$C44)</f>
        <v>2</v>
      </c>
      <c r="G44" s="62">
        <f>'01.09'!G44+COUNTIF(G$9:G$38,$C44)</f>
        <v>2</v>
      </c>
      <c r="H44" s="62">
        <f>'01.09'!H44+COUNTIF(H$9:H$38,$C44)</f>
        <v>2</v>
      </c>
      <c r="I44" s="62">
        <f>'01.09'!I44+COUNTIF(I$9:I$38,$C44)</f>
        <v>2</v>
      </c>
      <c r="J44" s="62">
        <f>'01.09'!J44+COUNTIF(J$9:J$38,$C44)</f>
        <v>2</v>
      </c>
    </row>
    <row r="45" spans="1:11" s="13" customFormat="1" ht="26.25" x14ac:dyDescent="0.4">
      <c r="A45" s="6"/>
      <c r="B45" s="6"/>
      <c r="C45" s="55" t="str">
        <f>'01.09'!C45</f>
        <v>*Пр. Правовые основы профессиональной деятельности*</v>
      </c>
      <c r="D45" s="62">
        <f>'01.09'!D45+COUNTIF(D$9:D$38,$C45)</f>
        <v>1</v>
      </c>
      <c r="E45" s="62">
        <f>'01.09'!E45+COUNTIF(E$9:E$38,$C45)</f>
        <v>2</v>
      </c>
      <c r="F45" s="62">
        <f>'01.09'!F45+COUNTIF(F$9:F$38,$C45)</f>
        <v>2</v>
      </c>
      <c r="G45" s="62">
        <f>'01.09'!G45+COUNTIF(G$9:G$38,$C45)</f>
        <v>2</v>
      </c>
      <c r="H45" s="62">
        <f>'01.09'!H45+COUNTIF(H$9:H$38,$C45)</f>
        <v>1</v>
      </c>
      <c r="I45" s="62">
        <f>'01.09'!I45+COUNTIF(I$9:I$38,$C45)</f>
        <v>1</v>
      </c>
      <c r="J45" s="62">
        <f>'01.09'!J45+COUNTIF(J$9:J$38,$C45)</f>
        <v>2</v>
      </c>
    </row>
    <row r="46" spans="1:11" ht="26.25" x14ac:dyDescent="0.4">
      <c r="A46" s="6"/>
      <c r="B46" s="6"/>
      <c r="C46" s="55" t="str">
        <f>'01.09'!C46</f>
        <v>*Л. Теория и методика*</v>
      </c>
      <c r="D46" s="62">
        <f>'01.09'!D46+COUNTIF(D$9:D$38,$C46)</f>
        <v>2</v>
      </c>
      <c r="E46" s="62">
        <f>'01.09'!E46+COUNTIF(E$9:E$38,$C46)</f>
        <v>2</v>
      </c>
      <c r="F46" s="62">
        <f>'01.09'!F46+COUNTIF(F$9:F$38,$C46)</f>
        <v>2</v>
      </c>
      <c r="G46" s="62">
        <f>'01.09'!G46+COUNTIF(G$9:G$38,$C46)</f>
        <v>2</v>
      </c>
      <c r="H46" s="62">
        <f>'01.09'!H46+COUNTIF(H$9:H$38,$C46)</f>
        <v>2</v>
      </c>
      <c r="I46" s="62">
        <f>'01.09'!I46+COUNTIF(I$9:I$38,$C46)</f>
        <v>2</v>
      </c>
      <c r="J46" s="62">
        <f>'01.09'!J46+COUNTIF(J$9:J$38,$C46)</f>
        <v>2</v>
      </c>
    </row>
    <row r="47" spans="1:11" s="13" customFormat="1" ht="26.25" x14ac:dyDescent="0.4">
      <c r="A47" s="6"/>
      <c r="B47" s="6"/>
      <c r="C47" s="55" t="str">
        <f>'01.09'!C47</f>
        <v>*Пр. Теория и методика*</v>
      </c>
      <c r="D47" s="62">
        <f>'01.09'!D47+COUNTIF(D$9:D$38,$C47)</f>
        <v>7</v>
      </c>
      <c r="E47" s="62">
        <f>'01.09'!E47+COUNTIF(E$9:E$38,$C47)</f>
        <v>7</v>
      </c>
      <c r="F47" s="62">
        <f>'01.09'!F47+COUNTIF(F$9:F$38,$C47)</f>
        <v>6</v>
      </c>
      <c r="G47" s="62">
        <f>'01.09'!G47+COUNTIF(G$9:G$38,$C47)</f>
        <v>5</v>
      </c>
      <c r="H47" s="62">
        <f>'01.09'!H47+COUNTIF(H$9:H$38,$C47)</f>
        <v>7</v>
      </c>
      <c r="I47" s="62">
        <f>'01.09'!I47+COUNTIF(I$9:I$38,$C47)</f>
        <v>7</v>
      </c>
      <c r="J47" s="62">
        <f>'01.09'!J47+COUNTIF(J$9:J$38,$C47)</f>
        <v>7</v>
      </c>
    </row>
    <row r="48" spans="1:11" ht="26.25" x14ac:dyDescent="0.4">
      <c r="A48" s="6"/>
      <c r="B48" s="6"/>
      <c r="C48" s="55" t="str">
        <f>'01.09'!C48</f>
        <v>*Л. Спортивная метрология*</v>
      </c>
      <c r="D48" s="62">
        <f>'01.09'!D48+COUNTIF(D$9:D$38,$C48)</f>
        <v>2</v>
      </c>
      <c r="E48" s="62">
        <f>'01.09'!E48+COUNTIF(E$9:E$38,$C48)</f>
        <v>2</v>
      </c>
      <c r="F48" s="62">
        <f>'01.09'!F48+COUNTIF(F$9:F$38,$C48)</f>
        <v>2</v>
      </c>
      <c r="G48" s="62">
        <f>'01.09'!G48+COUNTIF(G$9:G$38,$C48)</f>
        <v>2</v>
      </c>
      <c r="H48" s="62">
        <f>'01.09'!H48+COUNTIF(H$9:H$38,$C48)</f>
        <v>2</v>
      </c>
      <c r="I48" s="62">
        <f>'01.09'!I48+COUNTIF(I$9:I$38,$C48)</f>
        <v>2</v>
      </c>
      <c r="J48" s="62">
        <f>'01.09'!J48+COUNTIF(J$9:J$38,$C48)</f>
        <v>2</v>
      </c>
    </row>
    <row r="49" spans="1:10" s="13" customFormat="1" ht="26.25" x14ac:dyDescent="0.4">
      <c r="A49" s="6"/>
      <c r="B49" s="6"/>
      <c r="C49" s="55" t="str">
        <f>'01.09'!C49</f>
        <v>*Пр. Спортивная метрология*</v>
      </c>
      <c r="D49" s="62">
        <f>'01.09'!D49+COUNTIF(D$9:D$38,$C49)</f>
        <v>2</v>
      </c>
      <c r="E49" s="62">
        <f>'01.09'!E49+COUNTIF(E$9:E$38,$C49)</f>
        <v>2</v>
      </c>
      <c r="F49" s="62">
        <f>'01.09'!F49+COUNTIF(F$9:F$38,$C49)</f>
        <v>2</v>
      </c>
      <c r="G49" s="62">
        <f>'01.09'!G49+COUNTIF(G$9:G$38,$C49)</f>
        <v>2</v>
      </c>
      <c r="H49" s="62">
        <f>'01.09'!H49+COUNTIF(H$9:H$38,$C49)</f>
        <v>2</v>
      </c>
      <c r="I49" s="62">
        <f>'01.09'!I49+COUNTIF(I$9:I$38,$C49)</f>
        <v>1</v>
      </c>
      <c r="J49" s="62">
        <f>'01.09'!J49+COUNTIF(J$9:J$38,$C49)</f>
        <v>1</v>
      </c>
    </row>
    <row r="50" spans="1:10" ht="26.25" x14ac:dyDescent="0.4">
      <c r="A50" s="6"/>
      <c r="B50" s="6"/>
      <c r="C50" s="55" t="str">
        <f>'01.09'!C50</f>
        <v>*Л.  Теория и методика циклических и сложнокоординационных*</v>
      </c>
      <c r="D50" s="62">
        <f>'01.09'!D50+COUNTIF(D$9:D$38,$C50)</f>
        <v>0</v>
      </c>
      <c r="E50" s="62">
        <f>'01.09'!E50+COUNTIF(E$9:E$38,$C50)</f>
        <v>0</v>
      </c>
      <c r="F50" s="62">
        <f>'01.09'!F50+COUNTIF(F$9:F$38,$C50)</f>
        <v>0</v>
      </c>
      <c r="G50" s="62">
        <f>'01.09'!G50+COUNTIF(G$9:G$38,$C50)</f>
        <v>0</v>
      </c>
      <c r="H50" s="62">
        <f>'01.09'!H50+COUNTIF(H$9:H$38,$C50)</f>
        <v>2</v>
      </c>
      <c r="I50" s="62">
        <f>'01.09'!I50+COUNTIF(I$9:I$38,$C50)</f>
        <v>0</v>
      </c>
      <c r="J50" s="62">
        <f>'01.09'!J50+COUNTIF(J$9:J$38,$C50)</f>
        <v>0</v>
      </c>
    </row>
    <row r="51" spans="1:10" s="13" customFormat="1" ht="26.25" x14ac:dyDescent="0.4">
      <c r="A51" s="6"/>
      <c r="B51" s="6"/>
      <c r="C51" s="55" t="str">
        <f>'01.09'!C51</f>
        <v>*Пр.  Теория и методика циклических и сложнокоординационных*</v>
      </c>
      <c r="D51" s="62">
        <f>'01.09'!D51+COUNTIF(D$9:D$38,$C51)</f>
        <v>0</v>
      </c>
      <c r="E51" s="62">
        <f>'01.09'!E51+COUNTIF(E$9:E$38,$C51)</f>
        <v>0</v>
      </c>
      <c r="F51" s="62">
        <f>'01.09'!F51+COUNTIF(F$9:F$38,$C51)</f>
        <v>0</v>
      </c>
      <c r="G51" s="62">
        <f>'01.09'!G51+COUNTIF(G$9:G$38,$C51)</f>
        <v>0</v>
      </c>
      <c r="H51" s="62">
        <f>'01.09'!H51+COUNTIF(H$9:H$38,$C51)</f>
        <v>9</v>
      </c>
      <c r="I51" s="62">
        <f>'01.09'!I51+COUNTIF(I$9:I$38,$C51)</f>
        <v>0</v>
      </c>
      <c r="J51" s="62">
        <f>'01.09'!J51+COUNTIF(J$9:J$38,$C51)</f>
        <v>0</v>
      </c>
    </row>
    <row r="52" spans="1:10" ht="26.25" x14ac:dyDescent="0.4">
      <c r="A52" s="6"/>
      <c r="B52" s="6"/>
      <c r="C52" s="55">
        <f>'01.09'!C52</f>
        <v>0</v>
      </c>
      <c r="D52" s="62">
        <f>'01.09'!D52+COUNTIF(D$9:D$38,$C52)</f>
        <v>0</v>
      </c>
      <c r="E52" s="62">
        <f>'01.09'!E52+COUNTIF(E$9:E$38,$C52)</f>
        <v>0</v>
      </c>
      <c r="F52" s="62">
        <f>'01.09'!F52+COUNTIF(F$9:F$38,$C52)</f>
        <v>0</v>
      </c>
      <c r="G52" s="62">
        <f>'01.09'!G52+COUNTIF(G$9:G$38,$C52)</f>
        <v>0</v>
      </c>
      <c r="H52" s="62">
        <f>'01.09'!H52+COUNTIF(H$9:H$38,$C52)</f>
        <v>0</v>
      </c>
      <c r="I52" s="62">
        <f>'01.09'!I52+COUNTIF(I$9:I$38,$C52)</f>
        <v>0</v>
      </c>
      <c r="J52" s="62">
        <f>'01.09'!J52+COUNTIF(J$9:J$38,$C52)</f>
        <v>0</v>
      </c>
    </row>
    <row r="53" spans="1:10" s="13" customFormat="1" ht="26.25" x14ac:dyDescent="0.4">
      <c r="A53" s="6"/>
      <c r="B53" s="6"/>
      <c r="C53" s="55">
        <f>'01.09'!C53</f>
        <v>0</v>
      </c>
      <c r="D53" s="62">
        <f>'01.09'!D53+COUNTIF(D$9:D$38,$C53)</f>
        <v>0</v>
      </c>
      <c r="E53" s="62">
        <f>'01.09'!E53+COUNTIF(E$9:E$38,$C53)</f>
        <v>0</v>
      </c>
      <c r="F53" s="62">
        <f>'01.09'!F53+COUNTIF(F$9:F$38,$C53)</f>
        <v>0</v>
      </c>
      <c r="G53" s="62">
        <f>'01.09'!G53+COUNTIF(G$9:G$38,$C53)</f>
        <v>0</v>
      </c>
      <c r="H53" s="62">
        <f>'01.09'!H53+COUNTIF(H$9:H$38,$C53)</f>
        <v>0</v>
      </c>
      <c r="I53" s="62">
        <f>'01.09'!I53+COUNTIF(I$9:I$38,$C53)</f>
        <v>0</v>
      </c>
      <c r="J53" s="62">
        <f>'01.09'!J53+COUNTIF(J$9:J$38,$C53)</f>
        <v>0</v>
      </c>
    </row>
    <row r="54" spans="1:10" ht="26.25" x14ac:dyDescent="0.4">
      <c r="A54" s="6"/>
      <c r="B54" s="6"/>
      <c r="C54" s="55">
        <f>'01.09'!C54</f>
        <v>0</v>
      </c>
      <c r="D54" s="62">
        <f>'01.09'!D54+COUNTIF(D$9:D$38,$C54)</f>
        <v>0</v>
      </c>
      <c r="E54" s="62">
        <f>'01.09'!E54+COUNTIF(E$9:E$38,$C54)</f>
        <v>0</v>
      </c>
      <c r="F54" s="62">
        <f>'01.09'!F54+COUNTIF(F$9:F$38,$C54)</f>
        <v>0</v>
      </c>
      <c r="G54" s="62">
        <f>'01.09'!G54+COUNTIF(G$9:G$38,$C54)</f>
        <v>0</v>
      </c>
      <c r="H54" s="62">
        <f>'01.09'!H54+COUNTIF(H$9:H$38,$C54)</f>
        <v>0</v>
      </c>
      <c r="I54" s="62">
        <f>'01.09'!I54+COUNTIF(I$9:I$38,$C54)</f>
        <v>0</v>
      </c>
      <c r="J54" s="62">
        <f>'01.09'!J54+COUNTIF(J$9:J$38,$C54)</f>
        <v>0</v>
      </c>
    </row>
    <row r="55" spans="1:10" s="13" customFormat="1" ht="26.25" x14ac:dyDescent="0.4">
      <c r="A55" s="6"/>
      <c r="B55" s="6"/>
      <c r="C55" s="55">
        <f>'01.09'!C55</f>
        <v>0</v>
      </c>
      <c r="D55" s="62">
        <f>'01.09'!D55+COUNTIF(D$9:D$38,$C55)</f>
        <v>0</v>
      </c>
      <c r="E55" s="62">
        <f>'01.09'!E55+COUNTIF(E$9:E$38,$C55)</f>
        <v>0</v>
      </c>
      <c r="F55" s="62">
        <f>'01.09'!F55+COUNTIF(F$9:F$38,$C55)</f>
        <v>0</v>
      </c>
      <c r="G55" s="62">
        <f>'01.09'!G55+COUNTIF(G$9:G$38,$C55)</f>
        <v>0</v>
      </c>
      <c r="H55" s="62">
        <f>'01.09'!H55+COUNTIF(H$9:H$38,$C55)</f>
        <v>0</v>
      </c>
      <c r="I55" s="62">
        <f>'01.09'!I55+COUNTIF(I$9:I$38,$C55)</f>
        <v>0</v>
      </c>
      <c r="J55" s="62">
        <f>'01.09'!J55+COUNTIF(J$9:J$38,$C55)</f>
        <v>0</v>
      </c>
    </row>
    <row r="56" spans="1:10" ht="26.25" x14ac:dyDescent="0.4">
      <c r="A56" s="6"/>
      <c r="B56" s="6"/>
      <c r="C56" s="55">
        <f>'01.09'!C56</f>
        <v>0</v>
      </c>
      <c r="D56" s="62">
        <f>'01.09'!D56+COUNTIF(D$9:D$38,$C56)</f>
        <v>0</v>
      </c>
      <c r="E56" s="62">
        <f>'01.09'!E56+COUNTIF(E$9:E$38,$C56)</f>
        <v>0</v>
      </c>
      <c r="F56" s="62">
        <f>'01.09'!F56+COUNTIF(F$9:F$38,$C56)</f>
        <v>0</v>
      </c>
      <c r="G56" s="62">
        <f>'01.09'!G56+COUNTIF(G$9:G$38,$C56)</f>
        <v>0</v>
      </c>
      <c r="H56" s="62">
        <f>'01.09'!H56+COUNTIF(H$9:H$38,$C56)</f>
        <v>0</v>
      </c>
      <c r="I56" s="62">
        <f>'01.09'!I56+COUNTIF(I$9:I$38,$C56)</f>
        <v>0</v>
      </c>
      <c r="J56" s="62">
        <f>'01.09'!J56+COUNTIF(J$9:J$38,$C56)</f>
        <v>0</v>
      </c>
    </row>
    <row r="57" spans="1:10" s="13" customFormat="1" ht="26.25" x14ac:dyDescent="0.4">
      <c r="A57" s="6"/>
      <c r="B57" s="6"/>
      <c r="C57" s="55">
        <f>'01.09'!C57</f>
        <v>0</v>
      </c>
      <c r="D57" s="62">
        <f>'01.09'!D57+COUNTIF(D$9:D$38,$C57)</f>
        <v>0</v>
      </c>
      <c r="E57" s="62">
        <f>'01.09'!E57+COUNTIF(E$9:E$38,$C57)</f>
        <v>0</v>
      </c>
      <c r="F57" s="62">
        <f>'01.09'!F57+COUNTIF(F$9:F$38,$C57)</f>
        <v>0</v>
      </c>
      <c r="G57" s="62">
        <f>'01.09'!G57+COUNTIF(G$9:G$38,$C57)</f>
        <v>0</v>
      </c>
      <c r="H57" s="62">
        <f>'01.09'!H57+COUNTIF(H$9:H$38,$C57)</f>
        <v>0</v>
      </c>
      <c r="I57" s="62">
        <f>'01.09'!I57+COUNTIF(I$9:I$38,$C57)</f>
        <v>0</v>
      </c>
      <c r="J57" s="62">
        <f>'01.09'!J57+COUNTIF(J$9:J$38,$C57)</f>
        <v>0</v>
      </c>
    </row>
    <row r="58" spans="1:10" ht="26.25" x14ac:dyDescent="0.4">
      <c r="A58" s="6"/>
      <c r="B58" s="6"/>
      <c r="C58" s="55">
        <f>'01.09'!C58</f>
        <v>0</v>
      </c>
      <c r="D58" s="62">
        <f>'01.09'!D58+COUNTIF(D$9:D$38,$C58)</f>
        <v>0</v>
      </c>
      <c r="E58" s="62">
        <f>'01.09'!E58+COUNTIF(E$9:E$38,$C58)</f>
        <v>0</v>
      </c>
      <c r="F58" s="62">
        <f>'01.09'!F58+COUNTIF(F$9:F$38,$C58)</f>
        <v>0</v>
      </c>
      <c r="G58" s="62">
        <f>'01.09'!G58+COUNTIF(G$9:G$38,$C58)</f>
        <v>0</v>
      </c>
      <c r="H58" s="62">
        <f>'01.09'!H58+COUNTIF(H$9:H$38,$C58)</f>
        <v>0</v>
      </c>
      <c r="I58" s="62">
        <f>'01.09'!I58+COUNTIF(I$9:I$38,$C58)</f>
        <v>0</v>
      </c>
      <c r="J58" s="62">
        <f>'01.09'!J58+COUNTIF(J$9:J$38,$C58)</f>
        <v>0</v>
      </c>
    </row>
    <row r="59" spans="1:10" s="13" customFormat="1" ht="26.25" x14ac:dyDescent="0.4">
      <c r="A59" s="6"/>
      <c r="B59" s="6"/>
      <c r="C59" s="55">
        <f>'01.09'!C59</f>
        <v>0</v>
      </c>
      <c r="D59" s="62">
        <f>'01.09'!D59+COUNTIF(D$9:D$38,$C59)</f>
        <v>0</v>
      </c>
      <c r="E59" s="62">
        <f>'01.09'!E59+COUNTIF(E$9:E$38,$C59)</f>
        <v>0</v>
      </c>
      <c r="F59" s="62">
        <f>'01.09'!F59+COUNTIF(F$9:F$38,$C59)</f>
        <v>0</v>
      </c>
      <c r="G59" s="62">
        <f>'01.09'!G59+COUNTIF(G$9:G$38,$C59)</f>
        <v>0</v>
      </c>
      <c r="H59" s="62">
        <f>'01.09'!H59+COUNTIF(H$9:H$38,$C59)</f>
        <v>0</v>
      </c>
      <c r="I59" s="62">
        <f>'01.09'!I59+COUNTIF(I$9:I$38,$C59)</f>
        <v>0</v>
      </c>
      <c r="J59" s="62">
        <f>'01.09'!J59+COUNTIF(J$9:J$38,$C59)</f>
        <v>0</v>
      </c>
    </row>
    <row r="60" spans="1:10" ht="26.25" x14ac:dyDescent="0.4">
      <c r="A60" s="6"/>
      <c r="B60" s="6"/>
      <c r="C60" s="55">
        <f>'01.09'!C60</f>
        <v>0</v>
      </c>
      <c r="D60" s="62">
        <f>'01.09'!D60+COUNTIF(D$9:D$38,$C60)</f>
        <v>0</v>
      </c>
      <c r="E60" s="62">
        <f>'01.09'!E60+COUNTIF(E$9:E$38,$C60)</f>
        <v>0</v>
      </c>
      <c r="F60" s="62">
        <f>'01.09'!F60+COUNTIF(F$9:F$38,$C60)</f>
        <v>0</v>
      </c>
      <c r="G60" s="62">
        <f>'01.09'!G60+COUNTIF(G$9:G$38,$C60)</f>
        <v>0</v>
      </c>
      <c r="H60" s="62">
        <f>'01.09'!H60+COUNTIF(H$9:H$38,$C60)</f>
        <v>0</v>
      </c>
      <c r="I60" s="62">
        <f>'01.09'!I60+COUNTIF(I$9:I$38,$C60)</f>
        <v>0</v>
      </c>
      <c r="J60" s="62">
        <f>'01.09'!J60+COUNTIF(J$9:J$38,$C60)</f>
        <v>0</v>
      </c>
    </row>
    <row r="61" spans="1:10" ht="26.25" x14ac:dyDescent="0.4">
      <c r="A61" s="6"/>
      <c r="B61" s="6"/>
      <c r="C61" s="55">
        <f>'01.09'!C61</f>
        <v>0</v>
      </c>
      <c r="D61" s="62">
        <f>'01.09'!D61+COUNTIF(D$9:D$38,$C61)</f>
        <v>0</v>
      </c>
      <c r="E61" s="62">
        <f>'01.09'!E61+COUNTIF(E$9:E$38,$C61)</f>
        <v>0</v>
      </c>
      <c r="F61" s="62">
        <f>'01.09'!F61+COUNTIF(F$9:F$38,$C61)</f>
        <v>0</v>
      </c>
      <c r="G61" s="62">
        <f>'01.09'!G61+COUNTIF(G$9:G$38,$C61)</f>
        <v>0</v>
      </c>
      <c r="H61" s="62">
        <f>'01.09'!H61+COUNTIF(H$9:H$38,$C61)</f>
        <v>0</v>
      </c>
      <c r="I61" s="62">
        <f>'01.09'!I61+COUNTIF(I$9:I$38,$C61)</f>
        <v>0</v>
      </c>
      <c r="J61" s="62">
        <f>'01.09'!J61+COUNTIF(J$9:J$38,$C61)</f>
        <v>0</v>
      </c>
    </row>
    <row r="62" spans="1:10" ht="26.25" x14ac:dyDescent="0.4">
      <c r="A62" s="6"/>
      <c r="B62" s="6"/>
      <c r="C62" s="55">
        <f>'01.09'!C62</f>
        <v>0</v>
      </c>
      <c r="D62" s="62">
        <f>'01.09'!D62+COUNTIF(D$9:D$38,$C62)</f>
        <v>0</v>
      </c>
      <c r="E62" s="62">
        <f>'01.09'!E62+COUNTIF(E$9:E$38,$C62)</f>
        <v>0</v>
      </c>
      <c r="F62" s="62">
        <f>'01.09'!F62+COUNTIF(F$9:F$38,$C62)</f>
        <v>0</v>
      </c>
      <c r="G62" s="62">
        <f>'01.09'!G62+COUNTIF(G$9:G$38,$C62)</f>
        <v>0</v>
      </c>
      <c r="H62" s="62">
        <f>'01.09'!H62+COUNTIF(H$9:H$38,$C62)</f>
        <v>0</v>
      </c>
      <c r="I62" s="62">
        <f>'01.09'!I62+COUNTIF(I$9:I$38,$C62)</f>
        <v>0</v>
      </c>
      <c r="J62" s="62">
        <f>'01.09'!J62+COUNTIF(J$9:J$38,$C62)</f>
        <v>0</v>
      </c>
    </row>
    <row r="63" spans="1:10" ht="26.25" x14ac:dyDescent="0.4">
      <c r="A63" s="6"/>
      <c r="B63" s="6"/>
      <c r="C63" s="55">
        <f>'01.09'!C63</f>
        <v>0</v>
      </c>
      <c r="D63" s="62">
        <f>'01.09'!D63+COUNTIF(D$9:D$38,$C63)</f>
        <v>0</v>
      </c>
      <c r="E63" s="62">
        <f>'01.09'!E63+COUNTIF(E$9:E$38,$C63)</f>
        <v>0</v>
      </c>
      <c r="F63" s="62">
        <f>'01.09'!F63+COUNTIF(F$9:F$38,$C63)</f>
        <v>0</v>
      </c>
      <c r="G63" s="62">
        <f>'01.09'!G63+COUNTIF(G$9:G$38,$C63)</f>
        <v>0</v>
      </c>
      <c r="H63" s="62">
        <f>'01.09'!H63+COUNTIF(H$9:H$38,$C63)</f>
        <v>0</v>
      </c>
      <c r="I63" s="62">
        <f>'01.09'!I63+COUNTIF(I$9:I$38,$C63)</f>
        <v>0</v>
      </c>
      <c r="J63" s="62">
        <f>'01.09'!J63+COUNTIF(J$9:J$38,$C63)</f>
        <v>0</v>
      </c>
    </row>
    <row r="64" spans="1:10" ht="26.25" x14ac:dyDescent="0.4">
      <c r="A64" s="6"/>
      <c r="B64" s="6"/>
      <c r="C64" s="55">
        <f>'01.09'!C64</f>
        <v>0</v>
      </c>
      <c r="D64" s="62">
        <f>'01.09'!D64+COUNTIF(D$9:D$38,$C64)</f>
        <v>0</v>
      </c>
      <c r="E64" s="62">
        <f>'01.09'!E64+COUNTIF(E$9:E$38,$C64)</f>
        <v>0</v>
      </c>
      <c r="F64" s="62">
        <f>'01.09'!F64+COUNTIF(F$9:F$38,$C64)</f>
        <v>0</v>
      </c>
      <c r="G64" s="62">
        <f>'01.09'!G64+COUNTIF(G$9:G$38,$C64)</f>
        <v>0</v>
      </c>
      <c r="H64" s="62">
        <f>'01.09'!H64+COUNTIF(H$9:H$38,$C64)</f>
        <v>0</v>
      </c>
      <c r="I64" s="62">
        <f>'01.09'!I64+COUNTIF(I$9:I$38,$C64)</f>
        <v>0</v>
      </c>
      <c r="J64" s="62">
        <f>'01.09'!J64+COUNTIF(J$9:J$38,$C64)</f>
        <v>0</v>
      </c>
    </row>
    <row r="65" spans="1:10" ht="26.25" x14ac:dyDescent="0.4">
      <c r="A65" s="6"/>
      <c r="B65" s="6"/>
      <c r="C65" s="55">
        <f>'01.09'!C65</f>
        <v>0</v>
      </c>
      <c r="D65" s="62">
        <f>'01.09'!D65+COUNTIF(D$9:D$38,$C65)</f>
        <v>0</v>
      </c>
      <c r="E65" s="62">
        <f>'01.09'!E65+COUNTIF(E$9:E$38,$C65)</f>
        <v>0</v>
      </c>
      <c r="F65" s="62">
        <f>'01.09'!F65+COUNTIF(F$9:F$38,$C65)</f>
        <v>0</v>
      </c>
      <c r="G65" s="62">
        <f>'01.09'!G65+COUNTIF(G$9:G$38,$C65)</f>
        <v>0</v>
      </c>
      <c r="H65" s="62">
        <f>'01.09'!H65+COUNTIF(H$9:H$38,$C65)</f>
        <v>0</v>
      </c>
      <c r="I65" s="62">
        <f>'01.09'!I65+COUNTIF(I$9:I$38,$C65)</f>
        <v>0</v>
      </c>
      <c r="J65" s="62">
        <f>'01.09'!J65+COUNTIF(J$9:J$38,$C65)</f>
        <v>0</v>
      </c>
    </row>
    <row r="66" spans="1:10" ht="26.25" x14ac:dyDescent="0.4">
      <c r="A66" s="6"/>
      <c r="B66" s="6"/>
      <c r="C66" s="55">
        <f>'01.09'!C66</f>
        <v>0</v>
      </c>
      <c r="D66" s="62">
        <f>'01.09'!D66+COUNTIF(D$9:D$38,$C66)</f>
        <v>0</v>
      </c>
      <c r="E66" s="62">
        <f>'01.09'!E66+COUNTIF(E$9:E$38,$C66)</f>
        <v>0</v>
      </c>
      <c r="F66" s="62">
        <f>'01.09'!F66+COUNTIF(F$9:F$38,$C66)</f>
        <v>0</v>
      </c>
      <c r="G66" s="62">
        <f>'01.09'!G66+COUNTIF(G$9:G$38,$C66)</f>
        <v>0</v>
      </c>
      <c r="H66" s="62">
        <f>'01.09'!H66+COUNTIF(H$9:H$38,$C66)</f>
        <v>0</v>
      </c>
      <c r="I66" s="62">
        <f>'01.09'!I66+COUNTIF(I$9:I$38,$C66)</f>
        <v>0</v>
      </c>
      <c r="J66" s="62">
        <f>'01.09'!J66+COUNTIF(J$9:J$38,$C66)</f>
        <v>0</v>
      </c>
    </row>
    <row r="67" spans="1:10" ht="26.25" x14ac:dyDescent="0.4">
      <c r="A67" s="6"/>
      <c r="B67" s="6"/>
      <c r="C67" s="55">
        <f>'01.09'!C67</f>
        <v>0</v>
      </c>
      <c r="D67" s="62">
        <f>'01.09'!D67+COUNTIF(D$9:D$38,$C67)</f>
        <v>0</v>
      </c>
      <c r="E67" s="62">
        <f>'01.09'!E67+COUNTIF(E$9:E$38,$C67)</f>
        <v>0</v>
      </c>
      <c r="F67" s="62">
        <f>'01.09'!F67+COUNTIF(F$9:F$38,$C67)</f>
        <v>0</v>
      </c>
      <c r="G67" s="62">
        <f>'01.09'!G67+COUNTIF(G$9:G$38,$C67)</f>
        <v>0</v>
      </c>
      <c r="H67" s="62">
        <f>'01.09'!H67+COUNTIF(H$9:H$38,$C67)</f>
        <v>0</v>
      </c>
      <c r="I67" s="62">
        <f>'01.09'!I67+COUNTIF(I$9:I$38,$C67)</f>
        <v>0</v>
      </c>
      <c r="J67" s="62">
        <f>'01.09'!J67+COUNTIF(J$9:J$38,$C67)</f>
        <v>0</v>
      </c>
    </row>
    <row r="68" spans="1:10" ht="26.25" x14ac:dyDescent="0.4">
      <c r="A68" s="6"/>
      <c r="B68" s="6"/>
      <c r="C68" s="60"/>
      <c r="D68" s="60"/>
      <c r="E68" s="60"/>
      <c r="F68" s="60"/>
      <c r="G68" s="60"/>
      <c r="H68" s="60"/>
      <c r="I68" s="60"/>
      <c r="J68" s="60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</sheetData>
  <mergeCells count="20">
    <mergeCell ref="B1:J1"/>
    <mergeCell ref="B2:J2"/>
    <mergeCell ref="A3:J3"/>
    <mergeCell ref="B4:J4"/>
    <mergeCell ref="B5:J5"/>
    <mergeCell ref="A9:A13"/>
    <mergeCell ref="A14:A18"/>
    <mergeCell ref="A7:A8"/>
    <mergeCell ref="B7:B8"/>
    <mergeCell ref="C7:C8"/>
    <mergeCell ref="B9:B13"/>
    <mergeCell ref="B14:B18"/>
    <mergeCell ref="A34:A38"/>
    <mergeCell ref="B34:B38"/>
    <mergeCell ref="A24:A28"/>
    <mergeCell ref="A29:A33"/>
    <mergeCell ref="B19:B23"/>
    <mergeCell ref="B24:B28"/>
    <mergeCell ref="A19:A23"/>
    <mergeCell ref="B29:B33"/>
  </mergeCells>
  <phoneticPr fontId="3" type="noConversion"/>
  <pageMargins left="0" right="0" top="0" bottom="0" header="0" footer="0"/>
  <pageSetup paperSize="9" scale="23" orientation="portrait" r:id="rId1"/>
  <headerFooter alignWithMargins="0"/>
  <rowBreaks count="1" manualBreakCount="1">
    <brk id="39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J72"/>
  <sheetViews>
    <sheetView view="pageBreakPreview" topLeftCell="A22" zoomScale="39" zoomScaleNormal="40" zoomScaleSheetLayoutView="39" zoomScalePageLayoutView="40" workbookViewId="0">
      <selection activeCell="E25" sqref="E25"/>
    </sheetView>
  </sheetViews>
  <sheetFormatPr defaultColWidth="9.140625" defaultRowHeight="15" x14ac:dyDescent="0.25"/>
  <cols>
    <col min="1" max="2" width="5.5703125" style="5" customWidth="1"/>
    <col min="3" max="3" width="20" style="5" customWidth="1"/>
    <col min="4" max="4" width="52.28515625" style="5" customWidth="1"/>
    <col min="5" max="5" width="50.28515625" style="5" customWidth="1"/>
    <col min="6" max="7" width="54.85546875" style="5" customWidth="1"/>
    <col min="8" max="8" width="68.140625" style="13" customWidth="1"/>
    <col min="9" max="9" width="63.5703125" style="5" customWidth="1"/>
    <col min="10" max="10" width="54.85546875" style="5" customWidth="1"/>
    <col min="11" max="16384" width="9.140625" style="5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7.5" customHeight="1" x14ac:dyDescent="0.2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17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298" t="s">
        <v>83</v>
      </c>
      <c r="J8" s="179" t="s">
        <v>82</v>
      </c>
    </row>
    <row r="9" spans="1:10" ht="176.25" customHeight="1" x14ac:dyDescent="0.25">
      <c r="A9" s="606" t="s">
        <v>0</v>
      </c>
      <c r="B9" s="607">
        <v>46279</v>
      </c>
      <c r="C9" s="34" t="s">
        <v>5</v>
      </c>
      <c r="D9" s="243"/>
      <c r="E9" s="286" t="s">
        <v>190</v>
      </c>
      <c r="F9" s="286"/>
      <c r="G9" s="286"/>
      <c r="H9" s="286" t="s">
        <v>188</v>
      </c>
      <c r="I9" s="236" t="s">
        <v>183</v>
      </c>
      <c r="J9" s="197" t="s">
        <v>184</v>
      </c>
    </row>
    <row r="10" spans="1:10" ht="166.5" x14ac:dyDescent="0.25">
      <c r="A10" s="604"/>
      <c r="B10" s="604"/>
      <c r="C10" s="35" t="s">
        <v>6</v>
      </c>
      <c r="D10" s="239"/>
      <c r="E10" s="240" t="s">
        <v>188</v>
      </c>
      <c r="F10" s="147" t="s">
        <v>181</v>
      </c>
      <c r="G10" s="240" t="s">
        <v>190</v>
      </c>
      <c r="H10" s="240" t="s">
        <v>203</v>
      </c>
      <c r="I10" s="237" t="s">
        <v>183</v>
      </c>
      <c r="J10" s="148" t="s">
        <v>184</v>
      </c>
    </row>
    <row r="11" spans="1:10" ht="111" x14ac:dyDescent="0.25">
      <c r="A11" s="604"/>
      <c r="B11" s="604"/>
      <c r="C11" s="35" t="s">
        <v>7</v>
      </c>
      <c r="D11" s="450" t="s">
        <v>202</v>
      </c>
      <c r="E11" s="237" t="s">
        <v>203</v>
      </c>
      <c r="F11" s="147" t="s">
        <v>181</v>
      </c>
      <c r="G11" s="451" t="s">
        <v>199</v>
      </c>
      <c r="H11" s="237" t="s">
        <v>200</v>
      </c>
      <c r="I11" s="237" t="s">
        <v>192</v>
      </c>
      <c r="J11" s="242" t="s">
        <v>201</v>
      </c>
    </row>
    <row r="12" spans="1:10" ht="111" x14ac:dyDescent="0.25">
      <c r="A12" s="604"/>
      <c r="B12" s="604"/>
      <c r="C12" s="35" t="s">
        <v>8</v>
      </c>
      <c r="D12" s="450" t="s">
        <v>203</v>
      </c>
      <c r="E12" s="237"/>
      <c r="F12" s="147"/>
      <c r="G12" s="451" t="s">
        <v>199</v>
      </c>
      <c r="H12" s="237" t="s">
        <v>200</v>
      </c>
      <c r="I12" s="237" t="s">
        <v>212</v>
      </c>
      <c r="J12" s="242" t="s">
        <v>192</v>
      </c>
    </row>
    <row r="13" spans="1:10" ht="28.5" thickBot="1" x14ac:dyDescent="0.3">
      <c r="A13" s="604"/>
      <c r="B13" s="604"/>
      <c r="C13" s="36" t="s">
        <v>10</v>
      </c>
      <c r="D13" s="391"/>
      <c r="E13" s="392"/>
      <c r="F13" s="392"/>
      <c r="G13" s="392"/>
      <c r="H13" s="392"/>
      <c r="I13" s="392"/>
      <c r="J13" s="393"/>
    </row>
    <row r="14" spans="1:10" ht="103.5" customHeight="1" x14ac:dyDescent="0.25">
      <c r="A14" s="604" t="s">
        <v>1</v>
      </c>
      <c r="B14" s="605">
        <f>B9+1</f>
        <v>46280</v>
      </c>
      <c r="C14" s="34" t="s">
        <v>5</v>
      </c>
      <c r="D14" s="289" t="s">
        <v>197</v>
      </c>
      <c r="E14" s="205" t="s">
        <v>197</v>
      </c>
      <c r="F14" s="205" t="s">
        <v>197</v>
      </c>
      <c r="G14" s="205" t="s">
        <v>197</v>
      </c>
      <c r="H14" s="205" t="s">
        <v>197</v>
      </c>
      <c r="I14" s="205" t="s">
        <v>197</v>
      </c>
      <c r="J14" s="197" t="s">
        <v>197</v>
      </c>
    </row>
    <row r="15" spans="1:10" ht="134.25" customHeight="1" x14ac:dyDescent="0.25">
      <c r="A15" s="604"/>
      <c r="B15" s="604"/>
      <c r="C15" s="35" t="s">
        <v>6</v>
      </c>
      <c r="D15" s="255" t="s">
        <v>198</v>
      </c>
      <c r="E15" s="427" t="s">
        <v>198</v>
      </c>
      <c r="F15" s="237" t="s">
        <v>198</v>
      </c>
      <c r="G15" s="237" t="s">
        <v>198</v>
      </c>
      <c r="H15" s="237" t="s">
        <v>198</v>
      </c>
      <c r="I15" s="237" t="s">
        <v>198</v>
      </c>
      <c r="J15" s="242" t="s">
        <v>198</v>
      </c>
    </row>
    <row r="16" spans="1:10" ht="138.75" x14ac:dyDescent="0.25">
      <c r="A16" s="604"/>
      <c r="B16" s="604"/>
      <c r="C16" s="35" t="s">
        <v>7</v>
      </c>
      <c r="D16" s="152" t="s">
        <v>190</v>
      </c>
      <c r="E16" s="237" t="s">
        <v>180</v>
      </c>
      <c r="F16" s="147"/>
      <c r="G16" s="451" t="s">
        <v>199</v>
      </c>
      <c r="H16" s="237" t="s">
        <v>182</v>
      </c>
      <c r="I16" s="237" t="s">
        <v>203</v>
      </c>
      <c r="J16" s="452" t="s">
        <v>188</v>
      </c>
    </row>
    <row r="17" spans="1:10" ht="138.75" x14ac:dyDescent="0.25">
      <c r="A17" s="604"/>
      <c r="B17" s="604"/>
      <c r="C17" s="35" t="s">
        <v>8</v>
      </c>
      <c r="D17" s="503" t="s">
        <v>179</v>
      </c>
      <c r="E17" s="237" t="s">
        <v>180</v>
      </c>
      <c r="F17" s="147"/>
      <c r="G17" s="451" t="s">
        <v>199</v>
      </c>
      <c r="H17" s="237" t="s">
        <v>182</v>
      </c>
      <c r="I17" s="237" t="s">
        <v>188</v>
      </c>
      <c r="J17" s="148" t="s">
        <v>203</v>
      </c>
    </row>
    <row r="18" spans="1:10" ht="28.5" thickBot="1" x14ac:dyDescent="0.3">
      <c r="A18" s="604"/>
      <c r="B18" s="604"/>
      <c r="C18" s="36" t="s">
        <v>10</v>
      </c>
      <c r="D18" s="384"/>
      <c r="E18" s="154"/>
      <c r="F18" s="154"/>
      <c r="G18" s="195"/>
      <c r="H18" s="154"/>
      <c r="I18" s="195"/>
      <c r="J18" s="155"/>
    </row>
    <row r="19" spans="1:10" ht="166.5" x14ac:dyDescent="0.25">
      <c r="A19" s="604" t="s">
        <v>2</v>
      </c>
      <c r="B19" s="605">
        <f>B14+1</f>
        <v>46281</v>
      </c>
      <c r="C19" s="34" t="s">
        <v>5</v>
      </c>
      <c r="D19" s="213"/>
      <c r="E19" s="205" t="s">
        <v>187</v>
      </c>
      <c r="F19" s="205" t="s">
        <v>190</v>
      </c>
      <c r="G19" s="205"/>
      <c r="H19" s="504"/>
      <c r="I19" s="236" t="s">
        <v>183</v>
      </c>
      <c r="J19" s="197" t="s">
        <v>184</v>
      </c>
    </row>
    <row r="20" spans="1:10" ht="166.5" x14ac:dyDescent="0.25">
      <c r="A20" s="604"/>
      <c r="B20" s="604"/>
      <c r="C20" s="35" t="s">
        <v>6</v>
      </c>
      <c r="D20" s="450"/>
      <c r="E20" s="147" t="s">
        <v>190</v>
      </c>
      <c r="F20" s="147" t="s">
        <v>187</v>
      </c>
      <c r="G20" s="147"/>
      <c r="H20" s="505"/>
      <c r="I20" s="237" t="s">
        <v>183</v>
      </c>
      <c r="J20" s="148" t="s">
        <v>184</v>
      </c>
    </row>
    <row r="21" spans="1:10" ht="111" x14ac:dyDescent="0.25">
      <c r="A21" s="604"/>
      <c r="B21" s="604"/>
      <c r="C21" s="35" t="s">
        <v>7</v>
      </c>
      <c r="D21" s="152" t="s">
        <v>185</v>
      </c>
      <c r="E21" s="451" t="s">
        <v>185</v>
      </c>
      <c r="F21" s="451" t="s">
        <v>185</v>
      </c>
      <c r="G21" s="147" t="s">
        <v>185</v>
      </c>
      <c r="H21" s="451" t="s">
        <v>185</v>
      </c>
      <c r="I21" s="451" t="s">
        <v>185</v>
      </c>
      <c r="J21" s="452" t="s">
        <v>185</v>
      </c>
    </row>
    <row r="22" spans="1:10" ht="86.25" customHeight="1" x14ac:dyDescent="0.25">
      <c r="A22" s="604"/>
      <c r="B22" s="604"/>
      <c r="C22" s="35" t="s">
        <v>8</v>
      </c>
      <c r="D22" s="152" t="s">
        <v>189</v>
      </c>
      <c r="E22" s="147" t="s">
        <v>189</v>
      </c>
      <c r="F22" s="147" t="s">
        <v>189</v>
      </c>
      <c r="G22" s="147" t="s">
        <v>189</v>
      </c>
      <c r="H22" s="184" t="s">
        <v>189</v>
      </c>
      <c r="I22" s="451" t="s">
        <v>189</v>
      </c>
      <c r="J22" s="452" t="s">
        <v>189</v>
      </c>
    </row>
    <row r="23" spans="1:10" ht="28.5" thickBot="1" x14ac:dyDescent="0.3">
      <c r="A23" s="604"/>
      <c r="B23" s="604"/>
      <c r="C23" s="36" t="s">
        <v>10</v>
      </c>
      <c r="D23" s="153"/>
      <c r="E23" s="154"/>
      <c r="F23" s="195"/>
      <c r="G23" s="154"/>
      <c r="H23" s="154"/>
      <c r="I23" s="195"/>
      <c r="J23" s="155"/>
    </row>
    <row r="24" spans="1:10" ht="166.5" x14ac:dyDescent="0.25">
      <c r="A24" s="604" t="s">
        <v>3</v>
      </c>
      <c r="B24" s="605">
        <f>B19+1</f>
        <v>46282</v>
      </c>
      <c r="C24" s="34" t="s">
        <v>5</v>
      </c>
      <c r="D24" s="196" t="s">
        <v>179</v>
      </c>
      <c r="E24" s="205" t="s">
        <v>196</v>
      </c>
      <c r="F24" s="205" t="s">
        <v>181</v>
      </c>
      <c r="G24" s="205" t="s">
        <v>187</v>
      </c>
      <c r="H24" s="205" t="s">
        <v>191</v>
      </c>
      <c r="I24" s="236" t="s">
        <v>183</v>
      </c>
      <c r="J24" s="197" t="s">
        <v>184</v>
      </c>
    </row>
    <row r="25" spans="1:10" ht="166.5" x14ac:dyDescent="0.25">
      <c r="A25" s="612"/>
      <c r="B25" s="604"/>
      <c r="C25" s="35" t="s">
        <v>6</v>
      </c>
      <c r="D25" s="503" t="s">
        <v>179</v>
      </c>
      <c r="E25" s="237" t="s">
        <v>180</v>
      </c>
      <c r="F25" s="147" t="s">
        <v>190</v>
      </c>
      <c r="G25" s="147" t="s">
        <v>196</v>
      </c>
      <c r="H25" s="147" t="s">
        <v>187</v>
      </c>
      <c r="I25" s="237" t="s">
        <v>183</v>
      </c>
      <c r="J25" s="148" t="s">
        <v>184</v>
      </c>
    </row>
    <row r="26" spans="1:10" ht="138.75" x14ac:dyDescent="0.25">
      <c r="A26" s="612"/>
      <c r="B26" s="604"/>
      <c r="C26" s="35" t="s">
        <v>7</v>
      </c>
      <c r="D26" s="152" t="s">
        <v>186</v>
      </c>
      <c r="E26" s="147"/>
      <c r="F26" s="147" t="s">
        <v>194</v>
      </c>
      <c r="G26" s="451" t="s">
        <v>190</v>
      </c>
      <c r="H26" s="237" t="s">
        <v>205</v>
      </c>
      <c r="I26" s="147"/>
      <c r="J26" s="148"/>
    </row>
    <row r="27" spans="1:10" ht="138.75" x14ac:dyDescent="0.25">
      <c r="A27" s="612"/>
      <c r="B27" s="604"/>
      <c r="C27" s="35" t="s">
        <v>8</v>
      </c>
      <c r="D27" s="152" t="s">
        <v>190</v>
      </c>
      <c r="E27" s="147"/>
      <c r="F27" s="147" t="s">
        <v>186</v>
      </c>
      <c r="G27" s="451"/>
      <c r="H27" s="237" t="s">
        <v>182</v>
      </c>
      <c r="I27" s="147"/>
      <c r="J27" s="148"/>
    </row>
    <row r="28" spans="1:10" ht="29.25" thickBot="1" x14ac:dyDescent="0.3">
      <c r="A28" s="612"/>
      <c r="B28" s="604"/>
      <c r="C28" s="36" t="s">
        <v>10</v>
      </c>
      <c r="D28" s="506"/>
      <c r="E28" s="507"/>
      <c r="F28" s="195"/>
      <c r="G28" s="508"/>
      <c r="H28" s="154"/>
      <c r="I28" s="508"/>
      <c r="J28" s="509"/>
    </row>
    <row r="29" spans="1:10" ht="111" x14ac:dyDescent="0.25">
      <c r="A29" s="604" t="s">
        <v>4</v>
      </c>
      <c r="B29" s="605">
        <f>B24+1</f>
        <v>46283</v>
      </c>
      <c r="C29" s="34" t="s">
        <v>5</v>
      </c>
      <c r="D29" s="196" t="s">
        <v>179</v>
      </c>
      <c r="E29" s="236"/>
      <c r="F29" s="183" t="s">
        <v>196</v>
      </c>
      <c r="G29" s="205"/>
      <c r="H29" s="236" t="s">
        <v>191</v>
      </c>
      <c r="I29" s="236"/>
      <c r="J29" s="197" t="s">
        <v>188</v>
      </c>
    </row>
    <row r="30" spans="1:10" ht="138.75" x14ac:dyDescent="0.25">
      <c r="A30" s="604"/>
      <c r="B30" s="604"/>
      <c r="C30" s="35" t="s">
        <v>6</v>
      </c>
      <c r="D30" s="503" t="s">
        <v>179</v>
      </c>
      <c r="E30" s="237" t="s">
        <v>180</v>
      </c>
      <c r="F30" s="147" t="s">
        <v>181</v>
      </c>
      <c r="G30" s="510" t="s">
        <v>194</v>
      </c>
      <c r="H30" s="237" t="s">
        <v>207</v>
      </c>
      <c r="I30" s="237"/>
      <c r="J30" s="511" t="s">
        <v>192</v>
      </c>
    </row>
    <row r="31" spans="1:10" ht="150" customHeight="1" x14ac:dyDescent="0.25">
      <c r="A31" s="604"/>
      <c r="B31" s="604"/>
      <c r="C31" s="35" t="s">
        <v>7</v>
      </c>
      <c r="D31" s="450" t="s">
        <v>201</v>
      </c>
      <c r="E31" s="237" t="s">
        <v>180</v>
      </c>
      <c r="F31" s="147" t="s">
        <v>181</v>
      </c>
      <c r="G31" s="451" t="s">
        <v>199</v>
      </c>
      <c r="H31" s="237" t="s">
        <v>182</v>
      </c>
      <c r="I31" s="510" t="s">
        <v>188</v>
      </c>
      <c r="J31" s="148"/>
    </row>
    <row r="32" spans="1:10" ht="152.25" customHeight="1" x14ac:dyDescent="0.25">
      <c r="A32" s="604"/>
      <c r="B32" s="604"/>
      <c r="C32" s="35" t="s">
        <v>8</v>
      </c>
      <c r="D32" s="450"/>
      <c r="E32" s="147"/>
      <c r="F32" s="147"/>
      <c r="G32" s="451" t="s">
        <v>199</v>
      </c>
      <c r="H32" s="237" t="s">
        <v>182</v>
      </c>
      <c r="I32" s="510" t="s">
        <v>192</v>
      </c>
      <c r="J32" s="512"/>
    </row>
    <row r="33" spans="1:10" ht="28.5" thickBot="1" x14ac:dyDescent="0.3">
      <c r="A33" s="604"/>
      <c r="B33" s="604"/>
      <c r="C33" s="36" t="s">
        <v>10</v>
      </c>
      <c r="D33" s="513"/>
      <c r="E33" s="514"/>
      <c r="F33" s="514"/>
      <c r="G33" s="514"/>
      <c r="H33" s="514"/>
      <c r="I33" s="514"/>
      <c r="J33" s="515"/>
    </row>
    <row r="34" spans="1:10" s="13" customFormat="1" ht="56.25" customHeight="1" x14ac:dyDescent="0.25">
      <c r="A34" s="604" t="s">
        <v>12</v>
      </c>
      <c r="B34" s="605">
        <f>B29+1</f>
        <v>46284</v>
      </c>
      <c r="C34" s="165" t="s">
        <v>5</v>
      </c>
      <c r="D34" s="162"/>
      <c r="E34" s="163"/>
      <c r="F34" s="163"/>
      <c r="G34" s="163"/>
      <c r="H34" s="163"/>
      <c r="I34" s="163"/>
      <c r="J34" s="187"/>
    </row>
    <row r="35" spans="1:10" s="13" customFormat="1" ht="56.25" customHeight="1" x14ac:dyDescent="0.25">
      <c r="A35" s="604"/>
      <c r="B35" s="604"/>
      <c r="C35" s="166" t="s">
        <v>6</v>
      </c>
      <c r="D35" s="29"/>
      <c r="E35" s="30"/>
      <c r="F35" s="30"/>
      <c r="G35" s="30"/>
      <c r="H35" s="30"/>
      <c r="I35" s="30"/>
      <c r="J35" s="148"/>
    </row>
    <row r="36" spans="1:10" s="13" customFormat="1" ht="56.25" customHeight="1" x14ac:dyDescent="0.25">
      <c r="A36" s="604"/>
      <c r="B36" s="604"/>
      <c r="C36" s="166" t="s">
        <v>7</v>
      </c>
      <c r="D36" s="29"/>
      <c r="E36" s="30"/>
      <c r="F36" s="30"/>
      <c r="G36" s="30"/>
      <c r="H36" s="30"/>
      <c r="I36" s="30"/>
      <c r="J36" s="38"/>
    </row>
    <row r="37" spans="1:10" s="13" customFormat="1" ht="56.25" customHeight="1" x14ac:dyDescent="0.25">
      <c r="A37" s="604"/>
      <c r="B37" s="604"/>
      <c r="C37" s="166" t="s">
        <v>8</v>
      </c>
      <c r="D37" s="29"/>
      <c r="E37" s="30"/>
      <c r="F37" s="30"/>
      <c r="G37" s="121"/>
      <c r="H37" s="30"/>
      <c r="I37" s="121"/>
      <c r="J37" s="38"/>
    </row>
    <row r="38" spans="1:10" s="13" customFormat="1" ht="56.25" customHeight="1" thickBot="1" x14ac:dyDescent="0.3">
      <c r="A38" s="608"/>
      <c r="B38" s="608"/>
      <c r="C38" s="167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25">
      <c r="A39" s="6"/>
      <c r="B39" s="6"/>
      <c r="C39" s="6"/>
      <c r="D39" s="136" t="s">
        <v>51</v>
      </c>
      <c r="E39" s="13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Основы медицинских знаний и спортивная медицина*</v>
      </c>
      <c r="D40" s="62">
        <f>'07.09'!D40+COUNTIF(D$9:D$38,$C40)</f>
        <v>3</v>
      </c>
      <c r="E40" s="62">
        <f>'07.09'!E40+COUNTIF(E$9:E$38,$C40)</f>
        <v>3</v>
      </c>
      <c r="F40" s="62">
        <f>'07.09'!F40+COUNTIF(F$9:F$38,$C40)</f>
        <v>3</v>
      </c>
      <c r="G40" s="62">
        <f>'07.09'!G40+COUNTIF(G$9:G$38,$C40)</f>
        <v>3</v>
      </c>
      <c r="H40" s="62">
        <f>'07.09'!H40+COUNTIF(H$9:H$38,$C40)</f>
        <v>3</v>
      </c>
      <c r="I40" s="62">
        <f>'07.09'!I40+COUNTIF(I$9:I$38,$C40)</f>
        <v>3</v>
      </c>
      <c r="J40" s="62">
        <f>'07.09'!J40+COUNTIF(J$9:J$38,$C40)</f>
        <v>3</v>
      </c>
    </row>
    <row r="41" spans="1:10" s="13" customFormat="1" ht="26.25" x14ac:dyDescent="0.35">
      <c r="A41" s="6"/>
      <c r="B41" s="6"/>
      <c r="C41" s="26" t="str">
        <f>'01.09'!C41</f>
        <v>*Пр. Основы медицинских знаний и спортивная медицина*</v>
      </c>
      <c r="D41" s="62">
        <f>'07.09'!D41+COUNTIF(D$9:D$38,$C41)</f>
        <v>5</v>
      </c>
      <c r="E41" s="62">
        <f>'07.09'!E41+COUNTIF(E$9:E$38,$C41)</f>
        <v>5</v>
      </c>
      <c r="F41" s="62">
        <f>'07.09'!F41+COUNTIF(F$9:F$38,$C41)</f>
        <v>5</v>
      </c>
      <c r="G41" s="62">
        <f>'07.09'!G41+COUNTIF(G$9:G$38,$C41)</f>
        <v>3</v>
      </c>
      <c r="H41" s="62">
        <f>'07.09'!H41+COUNTIF(H$9:H$38,$C41)</f>
        <v>5</v>
      </c>
      <c r="I41" s="62">
        <f>'07.09'!I41+COUNTIF(I$9:I$38,$C41)</f>
        <v>5</v>
      </c>
      <c r="J41" s="62">
        <f>'07.09'!J41+COUNTIF(J$9:J$38,$C41)</f>
        <v>5</v>
      </c>
    </row>
    <row r="42" spans="1:10" ht="26.25" x14ac:dyDescent="0.35">
      <c r="A42" s="6"/>
      <c r="B42" s="6"/>
      <c r="C42" s="26" t="str">
        <f>'01.09'!C42</f>
        <v>*Л. Массаж*</v>
      </c>
      <c r="D42" s="62">
        <f>'07.09'!D42+COUNTIF(D$9:D$38,$C42)</f>
        <v>3</v>
      </c>
      <c r="E42" s="62">
        <f>'07.09'!E42+COUNTIF(E$9:E$38,$C42)</f>
        <v>3</v>
      </c>
      <c r="F42" s="62">
        <f>'07.09'!F42+COUNTIF(F$9:F$38,$C42)</f>
        <v>3</v>
      </c>
      <c r="G42" s="62">
        <f>'07.09'!G42+COUNTIF(G$9:G$38,$C42)</f>
        <v>3</v>
      </c>
      <c r="H42" s="62">
        <f>'07.09'!H42+COUNTIF(H$9:H$38,$C42)</f>
        <v>3</v>
      </c>
      <c r="I42" s="62">
        <f>'07.09'!I42+COUNTIF(I$9:I$38,$C42)</f>
        <v>3</v>
      </c>
      <c r="J42" s="62">
        <f>'07.09'!J42+COUNTIF(J$9:J$38,$C42)</f>
        <v>3</v>
      </c>
    </row>
    <row r="43" spans="1:10" s="13" customFormat="1" ht="26.25" x14ac:dyDescent="0.35">
      <c r="A43" s="6"/>
      <c r="B43" s="6"/>
      <c r="C43" s="26" t="str">
        <f>'01.09'!C43</f>
        <v>*Пр. Массаж*</v>
      </c>
      <c r="D43" s="62">
        <f>'07.09'!D43+COUNTIF(D$9:D$38,$C43)</f>
        <v>5</v>
      </c>
      <c r="E43" s="62">
        <f>'07.09'!E43+COUNTIF(E$9:E$38,$C43)</f>
        <v>4</v>
      </c>
      <c r="F43" s="62">
        <f>'07.09'!F43+COUNTIF(F$9:F$38,$C43)</f>
        <v>5</v>
      </c>
      <c r="G43" s="62">
        <f>'07.09'!G43+COUNTIF(G$9:G$38,$C43)</f>
        <v>5</v>
      </c>
      <c r="H43" s="62">
        <f>'07.09'!H43+COUNTIF(H$9:H$38,$C43)</f>
        <v>6</v>
      </c>
      <c r="I43" s="62">
        <f>'07.09'!I43+COUNTIF(I$9:I$38,$C43)</f>
        <v>5</v>
      </c>
      <c r="J43" s="62">
        <f>'07.09'!J43+COUNTIF(J$9:J$38,$C43)</f>
        <v>5</v>
      </c>
    </row>
    <row r="44" spans="1:10" ht="26.25" x14ac:dyDescent="0.35">
      <c r="A44" s="6"/>
      <c r="B44" s="6"/>
      <c r="C44" s="26" t="str">
        <f>'01.09'!C44</f>
        <v>*Л. Правовые основы профессиональной деятельности*</v>
      </c>
      <c r="D44" s="62">
        <f>'07.09'!D44+COUNTIF(D$9:D$38,$C44)</f>
        <v>3</v>
      </c>
      <c r="E44" s="62">
        <f>'07.09'!E44+COUNTIF(E$9:E$38,$C44)</f>
        <v>3</v>
      </c>
      <c r="F44" s="62">
        <f>'07.09'!F44+COUNTIF(F$9:F$38,$C44)</f>
        <v>3</v>
      </c>
      <c r="G44" s="62">
        <f>'07.09'!G44+COUNTIF(G$9:G$38,$C44)</f>
        <v>3</v>
      </c>
      <c r="H44" s="62">
        <f>'07.09'!H44+COUNTIF(H$9:H$38,$C44)</f>
        <v>3</v>
      </c>
      <c r="I44" s="62">
        <f>'07.09'!I44+COUNTIF(I$9:I$38,$C44)</f>
        <v>3</v>
      </c>
      <c r="J44" s="62">
        <f>'07.09'!J44+COUNTIF(J$9:J$38,$C44)</f>
        <v>3</v>
      </c>
    </row>
    <row r="45" spans="1:10" s="13" customFormat="1" ht="26.25" x14ac:dyDescent="0.35">
      <c r="A45" s="6"/>
      <c r="B45" s="6"/>
      <c r="C45" s="26" t="str">
        <f>'01.09'!C45</f>
        <v>*Пр. Правовые основы профессиональной деятельности*</v>
      </c>
      <c r="D45" s="62">
        <f>'07.09'!D45+COUNTIF(D$9:D$38,$C45)</f>
        <v>2</v>
      </c>
      <c r="E45" s="62">
        <f>'07.09'!E45+COUNTIF(E$9:E$38,$C45)</f>
        <v>3</v>
      </c>
      <c r="F45" s="62">
        <f>'07.09'!F45+COUNTIF(F$9:F$38,$C45)</f>
        <v>3</v>
      </c>
      <c r="G45" s="62">
        <f>'07.09'!G45+COUNTIF(G$9:G$38,$C45)</f>
        <v>3</v>
      </c>
      <c r="H45" s="62">
        <f>'07.09'!H45+COUNTIF(H$9:H$38,$C45)</f>
        <v>2</v>
      </c>
      <c r="I45" s="62">
        <f>'07.09'!I45+COUNTIF(I$9:I$38,$C45)</f>
        <v>2</v>
      </c>
      <c r="J45" s="62">
        <f>'07.09'!J45+COUNTIF(J$9:J$38,$C45)</f>
        <v>3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2">
        <f>'07.09'!D46+COUNTIF(D$9:D$38,$C46)</f>
        <v>2</v>
      </c>
      <c r="E46" s="62">
        <f>'07.09'!E46+COUNTIF(E$9:E$38,$C46)</f>
        <v>2</v>
      </c>
      <c r="F46" s="62">
        <f>'07.09'!F46+COUNTIF(F$9:F$38,$C46)</f>
        <v>2</v>
      </c>
      <c r="G46" s="62">
        <f>'07.09'!G46+COUNTIF(G$9:G$38,$C46)</f>
        <v>2</v>
      </c>
      <c r="H46" s="62">
        <f>'07.09'!H46+COUNTIF(H$9:H$38,$C46)</f>
        <v>2</v>
      </c>
      <c r="I46" s="62">
        <f>'07.09'!I46+COUNTIF(I$9:I$38,$C46)</f>
        <v>2</v>
      </c>
      <c r="J46" s="62">
        <f>'07.09'!J46+COUNTIF(J$9:J$38,$C46)</f>
        <v>2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2">
        <f>'07.09'!D47+COUNTIF(D$9:D$38,$C47)</f>
        <v>12</v>
      </c>
      <c r="E47" s="62">
        <f>'07.09'!E47+COUNTIF(E$9:E$38,$C47)</f>
        <v>12</v>
      </c>
      <c r="F47" s="62">
        <f>'07.09'!F47+COUNTIF(F$9:F$38,$C47)</f>
        <v>11</v>
      </c>
      <c r="G47" s="62">
        <f>'07.09'!G47+COUNTIF(G$9:G$38,$C47)</f>
        <v>11</v>
      </c>
      <c r="H47" s="62">
        <f>'07.09'!H47+COUNTIF(H$9:H$38,$C47)</f>
        <v>13</v>
      </c>
      <c r="I47" s="62">
        <f>'07.09'!I47+COUNTIF(I$9:I$38,$C47)</f>
        <v>13</v>
      </c>
      <c r="J47" s="62">
        <f>'07.09'!J47+COUNTIF(J$9:J$38,$C47)</f>
        <v>13</v>
      </c>
    </row>
    <row r="48" spans="1:10" ht="26.25" x14ac:dyDescent="0.35">
      <c r="A48" s="6"/>
      <c r="B48" s="6"/>
      <c r="C48" s="26" t="str">
        <f>'01.09'!C48</f>
        <v>*Л. Спортивная метрология*</v>
      </c>
      <c r="D48" s="62">
        <f>'07.09'!D48+COUNTIF(D$9:D$38,$C48)</f>
        <v>3</v>
      </c>
      <c r="E48" s="62">
        <f>'07.09'!E48+COUNTIF(E$9:E$38,$C48)</f>
        <v>3</v>
      </c>
      <c r="F48" s="62">
        <f>'07.09'!F48+COUNTIF(F$9:F$38,$C48)</f>
        <v>3</v>
      </c>
      <c r="G48" s="62">
        <f>'07.09'!G48+COUNTIF(G$9:G$38,$C48)</f>
        <v>3</v>
      </c>
      <c r="H48" s="62">
        <f>'07.09'!H48+COUNTIF(H$9:H$38,$C48)</f>
        <v>3</v>
      </c>
      <c r="I48" s="62">
        <f>'07.09'!I48+COUNTIF(I$9:I$38,$C48)</f>
        <v>3</v>
      </c>
      <c r="J48" s="62">
        <f>'07.09'!J48+COUNTIF(J$9:J$38,$C48)</f>
        <v>3</v>
      </c>
    </row>
    <row r="49" spans="1:10" s="13" customFormat="1" ht="26.25" x14ac:dyDescent="0.35">
      <c r="A49" s="6"/>
      <c r="B49" s="6"/>
      <c r="C49" s="26" t="str">
        <f>'01.09'!C49</f>
        <v>*Пр. Спортивная метрология*</v>
      </c>
      <c r="D49" s="62">
        <f>'07.09'!D49+COUNTIF(D$9:D$38,$C49)</f>
        <v>3</v>
      </c>
      <c r="E49" s="62">
        <f>'07.09'!E49+COUNTIF(E$9:E$38,$C49)</f>
        <v>3</v>
      </c>
      <c r="F49" s="62">
        <f>'07.09'!F49+COUNTIF(F$9:F$38,$C49)</f>
        <v>3</v>
      </c>
      <c r="G49" s="62">
        <f>'07.09'!G49+COUNTIF(G$9:G$38,$C49)</f>
        <v>3</v>
      </c>
      <c r="H49" s="62">
        <f>'07.09'!H49+COUNTIF(H$9:H$38,$C49)</f>
        <v>3</v>
      </c>
      <c r="I49" s="62">
        <f>'07.09'!I49+COUNTIF(I$9:I$38,$C49)</f>
        <v>2</v>
      </c>
      <c r="J49" s="62">
        <f>'07.09'!J49+COUNTIF(J$9:J$38,$C49)</f>
        <v>2</v>
      </c>
    </row>
    <row r="50" spans="1:10" ht="26.25" x14ac:dyDescent="0.35">
      <c r="A50" s="6"/>
      <c r="B50" s="6"/>
      <c r="C50" s="26" t="str">
        <f>'01.09'!C50</f>
        <v>*Л.  Теория и методика циклических и сложнокоординационных*</v>
      </c>
      <c r="D50" s="62">
        <f>'07.09'!D50+COUNTIF(D$9:D$38,$C50)</f>
        <v>0</v>
      </c>
      <c r="E50" s="62">
        <f>'07.09'!E50+COUNTIF(E$9:E$38,$C50)</f>
        <v>0</v>
      </c>
      <c r="F50" s="62">
        <f>'07.09'!F50+COUNTIF(F$9:F$38,$C50)</f>
        <v>0</v>
      </c>
      <c r="G50" s="62">
        <f>'07.09'!G50+COUNTIF(G$9:G$38,$C50)</f>
        <v>0</v>
      </c>
      <c r="H50" s="62">
        <f>'07.09'!H50+COUNTIF(H$9:H$38,$C50)</f>
        <v>3</v>
      </c>
      <c r="I50" s="62">
        <f>'07.09'!I50+COUNTIF(I$9:I$38,$C50)</f>
        <v>0</v>
      </c>
      <c r="J50" s="62">
        <f>'07.09'!J50+COUNTIF(J$9:J$38,$C50)</f>
        <v>0</v>
      </c>
    </row>
    <row r="51" spans="1:10" s="13" customFormat="1" ht="26.25" x14ac:dyDescent="0.35">
      <c r="A51" s="6"/>
      <c r="B51" s="6"/>
      <c r="C51" s="26" t="str">
        <f>'01.09'!C51</f>
        <v>*Пр.  Теория и методика циклических и сложнокоординационных*</v>
      </c>
      <c r="D51" s="62">
        <f>'07.09'!D51+COUNTIF(D$9:D$38,$C51)</f>
        <v>0</v>
      </c>
      <c r="E51" s="62">
        <f>'07.09'!E51+COUNTIF(E$9:E$38,$C51)</f>
        <v>0</v>
      </c>
      <c r="F51" s="62">
        <f>'07.09'!F51+COUNTIF(F$9:F$38,$C51)</f>
        <v>0</v>
      </c>
      <c r="G51" s="62">
        <f>'07.09'!G51+COUNTIF(G$9:G$38,$C51)</f>
        <v>0</v>
      </c>
      <c r="H51" s="62">
        <f>'07.09'!H51+COUNTIF(H$9:H$38,$C51)</f>
        <v>16</v>
      </c>
      <c r="I51" s="62">
        <f>'07.09'!I51+COUNTIF(I$9:I$38,$C51)</f>
        <v>0</v>
      </c>
      <c r="J51" s="62">
        <f>'07.09'!J51+COUNTIF(J$9:J$38,$C51)</f>
        <v>0</v>
      </c>
    </row>
    <row r="52" spans="1:10" ht="26.25" x14ac:dyDescent="0.35">
      <c r="A52" s="6"/>
      <c r="B52" s="6"/>
      <c r="C52" s="26">
        <f>'01.09'!C52</f>
        <v>0</v>
      </c>
      <c r="D52" s="62">
        <f>'07.09'!D52+COUNTIF(D$9:D$38,$C52)</f>
        <v>0</v>
      </c>
      <c r="E52" s="62">
        <f>'07.09'!E52+COUNTIF(E$9:E$38,$C52)</f>
        <v>0</v>
      </c>
      <c r="F52" s="62">
        <f>'07.09'!F52+COUNTIF(F$9:F$38,$C52)</f>
        <v>0</v>
      </c>
      <c r="G52" s="62">
        <f>'07.09'!G52+COUNTIF(G$9:G$38,$C52)</f>
        <v>0</v>
      </c>
      <c r="H52" s="62">
        <f>'07.09'!H52+COUNTIF(H$9:H$38,$C52)</f>
        <v>0</v>
      </c>
      <c r="I52" s="62">
        <f>'07.09'!I52+COUNTIF(I$9:I$38,$C52)</f>
        <v>0</v>
      </c>
      <c r="J52" s="62">
        <f>'07.09'!J52+COUNTIF(J$9:J$38,$C52)</f>
        <v>0</v>
      </c>
    </row>
    <row r="53" spans="1:10" s="13" customFormat="1" ht="26.25" x14ac:dyDescent="0.35">
      <c r="A53" s="6"/>
      <c r="B53" s="6"/>
      <c r="C53" s="26">
        <f>'01.09'!C53</f>
        <v>0</v>
      </c>
      <c r="D53" s="62">
        <f>'07.09'!D53+COUNTIF(D$9:D$38,$C53)</f>
        <v>0</v>
      </c>
      <c r="E53" s="62">
        <f>'07.09'!E53+COUNTIF(E$9:E$38,$C53)</f>
        <v>0</v>
      </c>
      <c r="F53" s="62">
        <f>'07.09'!F53+COUNTIF(F$9:F$38,$C53)</f>
        <v>0</v>
      </c>
      <c r="G53" s="62">
        <f>'07.09'!G53+COUNTIF(G$9:G$38,$C53)</f>
        <v>0</v>
      </c>
      <c r="H53" s="62">
        <f>'07.09'!H53+COUNTIF(H$9:H$38,$C53)</f>
        <v>0</v>
      </c>
      <c r="I53" s="62">
        <f>'07.09'!I53+COUNTIF(I$9:I$38,$C53)</f>
        <v>0</v>
      </c>
      <c r="J53" s="62">
        <f>'07.09'!J53+COUNTIF(J$9:J$38,$C53)</f>
        <v>0</v>
      </c>
    </row>
    <row r="54" spans="1:10" ht="26.25" x14ac:dyDescent="0.35">
      <c r="A54" s="6"/>
      <c r="B54" s="6"/>
      <c r="C54" s="26">
        <f>'01.09'!C54</f>
        <v>0</v>
      </c>
      <c r="D54" s="62">
        <f>'07.09'!D54+COUNTIF(D$9:D$38,$C54)</f>
        <v>0</v>
      </c>
      <c r="E54" s="62">
        <f>'07.09'!E54+COUNTIF(E$9:E$38,$C54)</f>
        <v>0</v>
      </c>
      <c r="F54" s="62">
        <f>'07.09'!F54+COUNTIF(F$9:F$38,$C54)</f>
        <v>0</v>
      </c>
      <c r="G54" s="62">
        <f>'07.09'!G54+COUNTIF(G$9:G$38,$C54)</f>
        <v>0</v>
      </c>
      <c r="H54" s="62">
        <f>'07.09'!H54+COUNTIF(H$9:H$38,$C54)</f>
        <v>0</v>
      </c>
      <c r="I54" s="62">
        <f>'07.09'!I54+COUNTIF(I$9:I$38,$C54)</f>
        <v>0</v>
      </c>
      <c r="J54" s="62">
        <f>'07.09'!J54+COUNTIF(J$9:J$38,$C54)</f>
        <v>0</v>
      </c>
    </row>
    <row r="55" spans="1:10" s="13" customFormat="1" ht="26.25" x14ac:dyDescent="0.35">
      <c r="A55" s="6"/>
      <c r="B55" s="6"/>
      <c r="C55" s="26">
        <f>'01.09'!C55</f>
        <v>0</v>
      </c>
      <c r="D55" s="62">
        <f>'07.09'!D55+COUNTIF(D$9:D$38,$C55)</f>
        <v>0</v>
      </c>
      <c r="E55" s="62">
        <f>'07.09'!E55+COUNTIF(E$9:E$38,$C55)</f>
        <v>0</v>
      </c>
      <c r="F55" s="62">
        <f>'07.09'!F55+COUNTIF(F$9:F$38,$C55)</f>
        <v>0</v>
      </c>
      <c r="G55" s="62">
        <f>'07.09'!G55+COUNTIF(G$9:G$38,$C55)</f>
        <v>0</v>
      </c>
      <c r="H55" s="62">
        <f>'07.09'!H55+COUNTIF(H$9:H$38,$C55)</f>
        <v>0</v>
      </c>
      <c r="I55" s="62">
        <f>'07.09'!I55+COUNTIF(I$9:I$38,$C55)</f>
        <v>0</v>
      </c>
      <c r="J55" s="62">
        <f>'07.09'!J55+COUNTIF(J$9:J$38,$C55)</f>
        <v>0</v>
      </c>
    </row>
    <row r="56" spans="1:10" ht="26.25" x14ac:dyDescent="0.35">
      <c r="A56" s="6"/>
      <c r="B56" s="6"/>
      <c r="C56" s="26">
        <f>'01.09'!C56</f>
        <v>0</v>
      </c>
      <c r="D56" s="62">
        <f>'07.09'!D56+COUNTIF(D$9:D$38,$C56)</f>
        <v>0</v>
      </c>
      <c r="E56" s="62">
        <f>'07.09'!E56+COUNTIF(E$9:E$38,$C56)</f>
        <v>0</v>
      </c>
      <c r="F56" s="62">
        <f>'07.09'!F56+COUNTIF(F$9:F$38,$C56)</f>
        <v>0</v>
      </c>
      <c r="G56" s="62">
        <f>'07.09'!G56+COUNTIF(G$9:G$38,$C56)</f>
        <v>0</v>
      </c>
      <c r="H56" s="62">
        <f>'07.09'!H56+COUNTIF(H$9:H$38,$C56)</f>
        <v>0</v>
      </c>
      <c r="I56" s="62">
        <f>'07.09'!I56+COUNTIF(I$9:I$38,$C56)</f>
        <v>0</v>
      </c>
      <c r="J56" s="62">
        <f>'07.09'!J56+COUNTIF(J$9:J$38,$C56)</f>
        <v>0</v>
      </c>
    </row>
    <row r="57" spans="1:10" s="13" customFormat="1" ht="26.25" x14ac:dyDescent="0.35">
      <c r="A57" s="6"/>
      <c r="B57" s="6"/>
      <c r="C57" s="26">
        <f>'01.09'!C57</f>
        <v>0</v>
      </c>
      <c r="D57" s="62">
        <f>'07.09'!D57+COUNTIF(D$9:D$38,$C57)</f>
        <v>0</v>
      </c>
      <c r="E57" s="62">
        <f>'07.09'!E57+COUNTIF(E$9:E$38,$C57)</f>
        <v>0</v>
      </c>
      <c r="F57" s="62">
        <f>'07.09'!F57+COUNTIF(F$9:F$38,$C57)</f>
        <v>0</v>
      </c>
      <c r="G57" s="62">
        <f>'07.09'!G57+COUNTIF(G$9:G$38,$C57)</f>
        <v>0</v>
      </c>
      <c r="H57" s="62">
        <f>'07.09'!H57+COUNTIF(H$9:H$38,$C57)</f>
        <v>0</v>
      </c>
      <c r="I57" s="62">
        <f>'07.09'!I57+COUNTIF(I$9:I$38,$C57)</f>
        <v>0</v>
      </c>
      <c r="J57" s="62">
        <f>'07.09'!J57+COUNTIF(J$9:J$38,$C57)</f>
        <v>0</v>
      </c>
    </row>
    <row r="58" spans="1:10" ht="26.25" x14ac:dyDescent="0.35">
      <c r="A58" s="6"/>
      <c r="B58" s="6"/>
      <c r="C58" s="26">
        <f>'01.09'!C58</f>
        <v>0</v>
      </c>
      <c r="D58" s="62">
        <f>'07.09'!D58+COUNTIF(D$9:D$38,$C58)</f>
        <v>0</v>
      </c>
      <c r="E58" s="62">
        <f>'07.09'!E58+COUNTIF(E$9:E$38,$C58)</f>
        <v>0</v>
      </c>
      <c r="F58" s="62">
        <f>'07.09'!F58+COUNTIF(F$9:F$38,$C58)</f>
        <v>0</v>
      </c>
      <c r="G58" s="62">
        <f>'07.09'!G58+COUNTIF(G$9:G$38,$C58)</f>
        <v>0</v>
      </c>
      <c r="H58" s="62">
        <f>'07.09'!H58+COUNTIF(H$9:H$38,$C58)</f>
        <v>0</v>
      </c>
      <c r="I58" s="62">
        <f>'07.09'!I58+COUNTIF(I$9:I$38,$C58)</f>
        <v>0</v>
      </c>
      <c r="J58" s="62">
        <f>'07.09'!J58+COUNTIF(J$9:J$38,$C58)</f>
        <v>0</v>
      </c>
    </row>
    <row r="59" spans="1:10" s="13" customFormat="1" ht="26.25" x14ac:dyDescent="0.35">
      <c r="A59" s="6"/>
      <c r="B59" s="6"/>
      <c r="C59" s="26">
        <f>'01.09'!C59</f>
        <v>0</v>
      </c>
      <c r="D59" s="62">
        <f>'07.09'!D59+COUNTIF(D$9:D$38,$C59)</f>
        <v>0</v>
      </c>
      <c r="E59" s="62">
        <f>'07.09'!E59+COUNTIF(E$9:E$38,$C59)</f>
        <v>0</v>
      </c>
      <c r="F59" s="62">
        <f>'07.09'!F59+COUNTIF(F$9:F$38,$C59)</f>
        <v>0</v>
      </c>
      <c r="G59" s="62">
        <f>'07.09'!G59+COUNTIF(G$9:G$38,$C59)</f>
        <v>0</v>
      </c>
      <c r="H59" s="62">
        <f>'07.09'!H59+COUNTIF(H$9:H$38,$C59)</f>
        <v>0</v>
      </c>
      <c r="I59" s="62">
        <f>'07.09'!I59+COUNTIF(I$9:I$38,$C59)</f>
        <v>0</v>
      </c>
      <c r="J59" s="62">
        <f>'07.09'!J59+COUNTIF(J$9:J$38,$C59)</f>
        <v>0</v>
      </c>
    </row>
    <row r="60" spans="1:10" ht="26.25" x14ac:dyDescent="0.35">
      <c r="A60" s="6"/>
      <c r="B60" s="6"/>
      <c r="C60" s="26">
        <f>'01.09'!C60</f>
        <v>0</v>
      </c>
      <c r="D60" s="62">
        <f>'07.09'!D60+COUNTIF(D$9:D$38,$C60)</f>
        <v>0</v>
      </c>
      <c r="E60" s="62">
        <f>'07.09'!E60+COUNTIF(E$9:E$38,$C60)</f>
        <v>0</v>
      </c>
      <c r="F60" s="62">
        <f>'07.09'!F60+COUNTIF(F$9:F$38,$C60)</f>
        <v>0</v>
      </c>
      <c r="G60" s="62">
        <f>'07.09'!G60+COUNTIF(G$9:G$38,$C60)</f>
        <v>0</v>
      </c>
      <c r="H60" s="62">
        <f>'07.09'!H60+COUNTIF(H$9:H$38,$C60)</f>
        <v>0</v>
      </c>
      <c r="I60" s="62">
        <f>'07.09'!I60+COUNTIF(I$9:I$38,$C60)</f>
        <v>0</v>
      </c>
      <c r="J60" s="62">
        <f>'07.09'!J60+COUNTIF(J$9:J$38,$C60)</f>
        <v>0</v>
      </c>
    </row>
    <row r="61" spans="1:10" ht="26.25" x14ac:dyDescent="0.35">
      <c r="A61" s="6"/>
      <c r="B61" s="6"/>
      <c r="C61" s="26">
        <f>'01.09'!C61</f>
        <v>0</v>
      </c>
      <c r="D61" s="62">
        <f>'07.09'!D61+COUNTIF(D$9:D$38,$C61)</f>
        <v>0</v>
      </c>
      <c r="E61" s="62">
        <f>'07.09'!E61+COUNTIF(E$9:E$38,$C61)</f>
        <v>0</v>
      </c>
      <c r="F61" s="62">
        <f>'07.09'!F61+COUNTIF(F$9:F$38,$C61)</f>
        <v>0</v>
      </c>
      <c r="G61" s="62">
        <f>'07.09'!G61+COUNTIF(G$9:G$38,$C61)</f>
        <v>0</v>
      </c>
      <c r="H61" s="62">
        <f>'07.09'!H61+COUNTIF(H$9:H$38,$C61)</f>
        <v>0</v>
      </c>
      <c r="I61" s="62">
        <f>'07.09'!I61+COUNTIF(I$9:I$38,$C61)</f>
        <v>0</v>
      </c>
      <c r="J61" s="62">
        <f>'07.09'!J61+COUNTIF(J$9:J$38,$C61)</f>
        <v>0</v>
      </c>
    </row>
    <row r="62" spans="1:10" ht="26.25" x14ac:dyDescent="0.35">
      <c r="A62" s="6"/>
      <c r="B62" s="6"/>
      <c r="C62" s="26">
        <f>'01.09'!C62</f>
        <v>0</v>
      </c>
      <c r="D62" s="62">
        <f>'07.09'!D62+COUNTIF(D$9:D$38,$C62)</f>
        <v>0</v>
      </c>
      <c r="E62" s="62">
        <f>'07.09'!E62+COUNTIF(E$9:E$38,$C62)</f>
        <v>0</v>
      </c>
      <c r="F62" s="62">
        <f>'07.09'!F62+COUNTIF(F$9:F$38,$C62)</f>
        <v>0</v>
      </c>
      <c r="G62" s="62">
        <f>'07.09'!G62+COUNTIF(G$9:G$38,$C62)</f>
        <v>0</v>
      </c>
      <c r="H62" s="62">
        <f>'07.09'!H62+COUNTIF(H$9:H$38,$C62)</f>
        <v>0</v>
      </c>
      <c r="I62" s="62">
        <f>'07.09'!I62+COUNTIF(I$9:I$38,$C62)</f>
        <v>0</v>
      </c>
      <c r="J62" s="62">
        <f>'07.09'!J62+COUNTIF(J$9:J$38,$C62)</f>
        <v>0</v>
      </c>
    </row>
    <row r="63" spans="1:10" ht="26.25" x14ac:dyDescent="0.35">
      <c r="A63" s="6"/>
      <c r="B63" s="6"/>
      <c r="C63" s="26">
        <f>'01.09'!C63</f>
        <v>0</v>
      </c>
      <c r="D63" s="62">
        <f>'07.09'!D63+COUNTIF(D$9:D$38,$C63)</f>
        <v>0</v>
      </c>
      <c r="E63" s="62">
        <f>'07.09'!E63+COUNTIF(E$9:E$38,$C63)</f>
        <v>0</v>
      </c>
      <c r="F63" s="62">
        <f>'07.09'!F63+COUNTIF(F$9:F$38,$C63)</f>
        <v>0</v>
      </c>
      <c r="G63" s="62">
        <f>'07.09'!G63+COUNTIF(G$9:G$38,$C63)</f>
        <v>0</v>
      </c>
      <c r="H63" s="62">
        <f>'07.09'!H63+COUNTIF(H$9:H$38,$C63)</f>
        <v>0</v>
      </c>
      <c r="I63" s="62">
        <f>'07.09'!I63+COUNTIF(I$9:I$38,$C63)</f>
        <v>0</v>
      </c>
      <c r="J63" s="62">
        <f>'07.09'!J63+COUNTIF(J$9:J$38,$C63)</f>
        <v>0</v>
      </c>
    </row>
    <row r="64" spans="1:10" ht="26.25" x14ac:dyDescent="0.35">
      <c r="A64" s="6"/>
      <c r="B64" s="6"/>
      <c r="C64" s="26">
        <f>'01.09'!C64</f>
        <v>0</v>
      </c>
      <c r="D64" s="62">
        <f>'07.09'!D64+COUNTIF(D$9:D$38,$C64)</f>
        <v>0</v>
      </c>
      <c r="E64" s="62">
        <f>'07.09'!E64+COUNTIF(E$9:E$38,$C64)</f>
        <v>0</v>
      </c>
      <c r="F64" s="62">
        <f>'07.09'!F64+COUNTIF(F$9:F$38,$C64)</f>
        <v>0</v>
      </c>
      <c r="G64" s="62">
        <f>'07.09'!G64+COUNTIF(G$9:G$38,$C64)</f>
        <v>0</v>
      </c>
      <c r="H64" s="62">
        <f>'07.09'!H64+COUNTIF(H$9:H$38,$C64)</f>
        <v>0</v>
      </c>
      <c r="I64" s="62">
        <f>'07.09'!I64+COUNTIF(I$9:I$38,$C64)</f>
        <v>0</v>
      </c>
      <c r="J64" s="62">
        <f>'07.09'!J64+COUNTIF(J$9:J$38,$C64)</f>
        <v>0</v>
      </c>
    </row>
    <row r="65" spans="1:10" ht="26.25" x14ac:dyDescent="0.35">
      <c r="A65" s="6"/>
      <c r="B65" s="6"/>
      <c r="C65" s="26">
        <f>'01.09'!C65</f>
        <v>0</v>
      </c>
      <c r="D65" s="62">
        <f>'07.09'!D65+COUNTIF(D$9:D$38,$C65)</f>
        <v>0</v>
      </c>
      <c r="E65" s="62">
        <f>'07.09'!E65+COUNTIF(E$9:E$38,$C65)</f>
        <v>0</v>
      </c>
      <c r="F65" s="62">
        <f>'07.09'!F65+COUNTIF(F$9:F$38,$C65)</f>
        <v>0</v>
      </c>
      <c r="G65" s="62">
        <f>'07.09'!G65+COUNTIF(G$9:G$38,$C65)</f>
        <v>0</v>
      </c>
      <c r="H65" s="62">
        <f>'07.09'!H65+COUNTIF(H$9:H$38,$C65)</f>
        <v>0</v>
      </c>
      <c r="I65" s="62">
        <f>'07.09'!I65+COUNTIF(I$9:I$38,$C65)</f>
        <v>0</v>
      </c>
      <c r="J65" s="62">
        <f>'07.09'!J65+COUNTIF(J$9:J$38,$C65)</f>
        <v>0</v>
      </c>
    </row>
    <row r="66" spans="1:10" ht="26.25" x14ac:dyDescent="0.35">
      <c r="A66" s="6"/>
      <c r="B66" s="6"/>
      <c r="C66" s="26">
        <f>'01.09'!C66</f>
        <v>0</v>
      </c>
      <c r="D66" s="62">
        <f>'07.09'!D66+COUNTIF(D$9:D$38,$C66)</f>
        <v>0</v>
      </c>
      <c r="E66" s="62">
        <f>'07.09'!E66+COUNTIF(E$9:E$38,$C66)</f>
        <v>0</v>
      </c>
      <c r="F66" s="62">
        <f>'07.09'!F66+COUNTIF(F$9:F$38,$C66)</f>
        <v>0</v>
      </c>
      <c r="G66" s="62">
        <f>'07.09'!G66+COUNTIF(G$9:G$38,$C66)</f>
        <v>0</v>
      </c>
      <c r="H66" s="62">
        <f>'07.09'!H66+COUNTIF(H$9:H$38,$C66)</f>
        <v>0</v>
      </c>
      <c r="I66" s="62">
        <f>'07.09'!I66+COUNTIF(I$9:I$38,$C66)</f>
        <v>0</v>
      </c>
      <c r="J66" s="62">
        <f>'07.09'!J66+COUNTIF(J$9:J$38,$C66)</f>
        <v>0</v>
      </c>
    </row>
    <row r="67" spans="1:10" ht="26.25" x14ac:dyDescent="0.35">
      <c r="A67" s="6"/>
      <c r="B67" s="6"/>
      <c r="C67" s="26">
        <f>'01.09'!C67</f>
        <v>0</v>
      </c>
      <c r="D67" s="62">
        <f>'07.09'!D67+COUNTIF(D$9:D$38,$C67)</f>
        <v>0</v>
      </c>
      <c r="E67" s="62">
        <f>'07.09'!E67+COUNTIF(E$9:E$38,$C67)</f>
        <v>0</v>
      </c>
      <c r="F67" s="62">
        <f>'07.09'!F67+COUNTIF(F$9:F$38,$C67)</f>
        <v>0</v>
      </c>
      <c r="G67" s="62">
        <f>'07.09'!G67+COUNTIF(G$9:G$38,$C67)</f>
        <v>0</v>
      </c>
      <c r="H67" s="62">
        <f>'07.09'!H67+COUNTIF(H$9:H$38,$C67)</f>
        <v>0</v>
      </c>
      <c r="I67" s="62">
        <f>'07.09'!I67+COUNTIF(I$9:I$38,$C67)</f>
        <v>0</v>
      </c>
      <c r="J67" s="62">
        <f>'07.09'!J67+COUNTIF(J$9:J$38,$C67)</f>
        <v>0</v>
      </c>
    </row>
    <row r="68" spans="1:10" ht="26.25" x14ac:dyDescent="0.35">
      <c r="A68" s="6"/>
      <c r="B68" s="6"/>
      <c r="C68" s="26">
        <f>'01.09'!C68</f>
        <v>0</v>
      </c>
      <c r="D68" s="62">
        <f>'07.09'!D68+COUNTIF(D$9:D$38,$C68)</f>
        <v>0</v>
      </c>
      <c r="E68" s="62">
        <f>'07.09'!E68+COUNTIF(E$9:E$38,$C68)</f>
        <v>0</v>
      </c>
      <c r="F68" s="62">
        <f>'07.09'!F68+COUNTIF(F$9:F$38,$C68)</f>
        <v>0</v>
      </c>
      <c r="G68" s="62">
        <f>'07.09'!G68+COUNTIF(G$9:G$38,$C68)</f>
        <v>0</v>
      </c>
      <c r="H68" s="62">
        <f>'07.09'!H68+COUNTIF(H$9:H$38,$C68)</f>
        <v>0</v>
      </c>
      <c r="I68" s="62">
        <f>'07.09'!I68+COUNTIF(I$9:I$38,$C68)</f>
        <v>0</v>
      </c>
      <c r="J68" s="62">
        <f>'07.09'!J68+COUNTIF(J$9:J$38,$C68)</f>
        <v>0</v>
      </c>
    </row>
    <row r="69" spans="1:10" ht="26.25" x14ac:dyDescent="0.35">
      <c r="A69" s="6"/>
      <c r="B69" s="6"/>
      <c r="C69" s="26">
        <f>'01.09'!C69</f>
        <v>0</v>
      </c>
      <c r="D69" s="62">
        <f>'07.09'!D69+COUNTIF(D$9:D$38,$C69)</f>
        <v>0</v>
      </c>
      <c r="E69" s="62">
        <f>'07.09'!E69+COUNTIF(E$9:E$38,$C69)</f>
        <v>0</v>
      </c>
      <c r="F69" s="62">
        <f>'07.09'!F69+COUNTIF(F$9:F$38,$C69)</f>
        <v>0</v>
      </c>
      <c r="G69" s="62">
        <f>'07.09'!G69+COUNTIF(G$9:G$38,$C69)</f>
        <v>0</v>
      </c>
      <c r="H69" s="62">
        <f>'07.09'!H69+COUNTIF(H$9:H$38,$C69)</f>
        <v>0</v>
      </c>
      <c r="I69" s="62">
        <f>'07.09'!I69+COUNTIF(I$9:I$38,$C69)</f>
        <v>0</v>
      </c>
      <c r="J69" s="62">
        <f>'07.09'!J69+COUNTIF(J$9:J$38,$C69)</f>
        <v>0</v>
      </c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1:J1"/>
    <mergeCell ref="B2:J2"/>
    <mergeCell ref="A3:J3"/>
    <mergeCell ref="B4:J4"/>
    <mergeCell ref="B5:J5"/>
    <mergeCell ref="B7:B8"/>
    <mergeCell ref="A34:A38"/>
    <mergeCell ref="B34:B38"/>
    <mergeCell ref="A7:A8"/>
    <mergeCell ref="C7:C8"/>
    <mergeCell ref="A24:A28"/>
    <mergeCell ref="A29:A33"/>
    <mergeCell ref="B19:B23"/>
    <mergeCell ref="B24:B28"/>
    <mergeCell ref="B29:B33"/>
    <mergeCell ref="B9:B13"/>
    <mergeCell ref="B14:B18"/>
    <mergeCell ref="A19:A23"/>
    <mergeCell ref="A9:A13"/>
    <mergeCell ref="A14:A18"/>
  </mergeCells>
  <phoneticPr fontId="3" type="noConversion"/>
  <pageMargins left="0" right="0" top="0" bottom="0" header="0" footer="0"/>
  <pageSetup paperSize="9" scale="2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72"/>
  <sheetViews>
    <sheetView view="pageBreakPreview" zoomScale="39" zoomScaleNormal="40" zoomScaleSheetLayoutView="39" zoomScalePageLayoutView="40" workbookViewId="0">
      <selection activeCell="H14" sqref="H14"/>
    </sheetView>
  </sheetViews>
  <sheetFormatPr defaultColWidth="9.140625" defaultRowHeight="15" x14ac:dyDescent="0.25"/>
  <cols>
    <col min="1" max="2" width="4.42578125" style="5" customWidth="1"/>
    <col min="3" max="3" width="22.28515625" style="5" customWidth="1"/>
    <col min="4" max="4" width="49.5703125" style="5" customWidth="1"/>
    <col min="5" max="5" width="54.85546875" style="5" customWidth="1"/>
    <col min="6" max="6" width="56" style="5" customWidth="1"/>
    <col min="7" max="7" width="49.28515625" style="5" customWidth="1"/>
    <col min="8" max="8" width="62.7109375" style="13" customWidth="1"/>
    <col min="9" max="9" width="69.42578125" style="5" customWidth="1"/>
    <col min="10" max="10" width="62" style="5" customWidth="1"/>
    <col min="11" max="16384" width="9.140625" style="5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3.75" customHeight="1" x14ac:dyDescent="0.2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09.5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298" t="s">
        <v>83</v>
      </c>
      <c r="J8" s="179" t="s">
        <v>82</v>
      </c>
    </row>
    <row r="9" spans="1:10" ht="156" customHeight="1" x14ac:dyDescent="0.25">
      <c r="A9" s="606" t="s">
        <v>0</v>
      </c>
      <c r="B9" s="607">
        <v>46286</v>
      </c>
      <c r="C9" s="41" t="s">
        <v>5</v>
      </c>
      <c r="D9" s="243"/>
      <c r="E9" s="286" t="s">
        <v>190</v>
      </c>
      <c r="F9" s="286"/>
      <c r="G9" s="286"/>
      <c r="H9" s="286" t="s">
        <v>188</v>
      </c>
      <c r="I9" s="236" t="s">
        <v>105</v>
      </c>
      <c r="J9" s="197" t="s">
        <v>112</v>
      </c>
    </row>
    <row r="10" spans="1:10" ht="156" customHeight="1" x14ac:dyDescent="0.25">
      <c r="A10" s="604"/>
      <c r="B10" s="604"/>
      <c r="C10" s="42" t="s">
        <v>6</v>
      </c>
      <c r="D10" s="239"/>
      <c r="E10" s="240" t="s">
        <v>188</v>
      </c>
      <c r="F10" s="147" t="s">
        <v>181</v>
      </c>
      <c r="G10" s="240" t="s">
        <v>190</v>
      </c>
      <c r="H10" s="240" t="s">
        <v>203</v>
      </c>
      <c r="I10" s="237" t="s">
        <v>183</v>
      </c>
      <c r="J10" s="148" t="s">
        <v>184</v>
      </c>
    </row>
    <row r="11" spans="1:10" ht="111" x14ac:dyDescent="0.25">
      <c r="A11" s="604"/>
      <c r="B11" s="604"/>
      <c r="C11" s="42" t="s">
        <v>7</v>
      </c>
      <c r="D11" s="450" t="s">
        <v>202</v>
      </c>
      <c r="E11" s="237" t="s">
        <v>203</v>
      </c>
      <c r="F11" s="147" t="s">
        <v>181</v>
      </c>
      <c r="G11" s="451" t="s">
        <v>199</v>
      </c>
      <c r="H11" s="237"/>
      <c r="I11" s="237" t="s">
        <v>192</v>
      </c>
      <c r="J11" s="242" t="s">
        <v>196</v>
      </c>
    </row>
    <row r="12" spans="1:10" ht="111" x14ac:dyDescent="0.25">
      <c r="A12" s="604"/>
      <c r="B12" s="604"/>
      <c r="C12" s="42" t="s">
        <v>8</v>
      </c>
      <c r="D12" s="450" t="s">
        <v>203</v>
      </c>
      <c r="E12" s="237"/>
      <c r="F12" s="147"/>
      <c r="G12" s="451" t="s">
        <v>199</v>
      </c>
      <c r="H12" s="237"/>
      <c r="I12" s="237" t="s">
        <v>207</v>
      </c>
      <c r="J12" s="242" t="s">
        <v>192</v>
      </c>
    </row>
    <row r="13" spans="1:10" ht="72.75" customHeight="1" thickBot="1" x14ac:dyDescent="0.3">
      <c r="A13" s="604"/>
      <c r="B13" s="604"/>
      <c r="C13" s="43" t="s">
        <v>10</v>
      </c>
      <c r="D13" s="391"/>
      <c r="E13" s="392"/>
      <c r="F13" s="392"/>
      <c r="G13" s="392"/>
      <c r="H13" s="392"/>
      <c r="I13" s="392"/>
      <c r="J13" s="393"/>
    </row>
    <row r="14" spans="1:10" ht="83.25" x14ac:dyDescent="0.25">
      <c r="A14" s="604" t="s">
        <v>1</v>
      </c>
      <c r="B14" s="605">
        <f>B9+1</f>
        <v>46287</v>
      </c>
      <c r="C14" s="34" t="s">
        <v>5</v>
      </c>
      <c r="D14" s="289" t="s">
        <v>197</v>
      </c>
      <c r="E14" s="205" t="s">
        <v>197</v>
      </c>
      <c r="F14" s="205" t="s">
        <v>197</v>
      </c>
      <c r="G14" s="205" t="s">
        <v>197</v>
      </c>
      <c r="H14" s="205" t="s">
        <v>197</v>
      </c>
      <c r="I14" s="205" t="s">
        <v>197</v>
      </c>
      <c r="J14" s="197" t="s">
        <v>197</v>
      </c>
    </row>
    <row r="15" spans="1:10" ht="126.75" customHeight="1" x14ac:dyDescent="0.25">
      <c r="A15" s="604"/>
      <c r="B15" s="604"/>
      <c r="C15" s="35" t="s">
        <v>6</v>
      </c>
      <c r="D15" s="255" t="s">
        <v>198</v>
      </c>
      <c r="E15" s="427" t="s">
        <v>198</v>
      </c>
      <c r="F15" s="237" t="s">
        <v>198</v>
      </c>
      <c r="G15" s="237" t="s">
        <v>198</v>
      </c>
      <c r="H15" s="237" t="s">
        <v>198</v>
      </c>
      <c r="I15" s="237" t="s">
        <v>198</v>
      </c>
      <c r="J15" s="242" t="s">
        <v>198</v>
      </c>
    </row>
    <row r="16" spans="1:10" ht="159.75" customHeight="1" x14ac:dyDescent="0.25">
      <c r="A16" s="604"/>
      <c r="B16" s="604"/>
      <c r="C16" s="35" t="s">
        <v>7</v>
      </c>
      <c r="D16" s="152" t="s">
        <v>190</v>
      </c>
      <c r="E16" s="237" t="s">
        <v>180</v>
      </c>
      <c r="F16" s="147"/>
      <c r="G16" s="451" t="s">
        <v>104</v>
      </c>
      <c r="H16" s="237" t="s">
        <v>204</v>
      </c>
      <c r="I16" s="237" t="s">
        <v>203</v>
      </c>
      <c r="J16" s="452" t="s">
        <v>188</v>
      </c>
    </row>
    <row r="17" spans="1:11" ht="180.75" customHeight="1" x14ac:dyDescent="0.25">
      <c r="A17" s="604"/>
      <c r="B17" s="604"/>
      <c r="C17" s="35" t="s">
        <v>8</v>
      </c>
      <c r="D17" s="503" t="s">
        <v>179</v>
      </c>
      <c r="E17" s="237" t="s">
        <v>108</v>
      </c>
      <c r="F17" s="147"/>
      <c r="G17" s="451" t="s">
        <v>199</v>
      </c>
      <c r="H17" s="237" t="s">
        <v>182</v>
      </c>
      <c r="I17" s="237" t="s">
        <v>188</v>
      </c>
      <c r="J17" s="148" t="s">
        <v>203</v>
      </c>
    </row>
    <row r="18" spans="1:11" ht="28.5" thickBot="1" x14ac:dyDescent="0.3">
      <c r="A18" s="604"/>
      <c r="B18" s="604"/>
      <c r="C18" s="36" t="s">
        <v>10</v>
      </c>
      <c r="D18" s="384"/>
      <c r="E18" s="154"/>
      <c r="F18" s="154"/>
      <c r="G18" s="195"/>
      <c r="H18" s="154"/>
      <c r="I18" s="195"/>
      <c r="J18" s="155"/>
      <c r="K18" s="7"/>
    </row>
    <row r="19" spans="1:11" ht="162" customHeight="1" x14ac:dyDescent="0.25">
      <c r="A19" s="637" t="s">
        <v>2</v>
      </c>
      <c r="B19" s="638">
        <f>B14+1</f>
        <v>46288</v>
      </c>
      <c r="C19" s="41" t="s">
        <v>5</v>
      </c>
      <c r="D19" s="213"/>
      <c r="E19" s="205" t="s">
        <v>187</v>
      </c>
      <c r="F19" s="205" t="s">
        <v>190</v>
      </c>
      <c r="G19" s="205"/>
      <c r="H19" s="504"/>
      <c r="I19" s="236" t="s">
        <v>183</v>
      </c>
      <c r="J19" s="197" t="s">
        <v>184</v>
      </c>
    </row>
    <row r="20" spans="1:11" ht="162" customHeight="1" x14ac:dyDescent="0.25">
      <c r="A20" s="637"/>
      <c r="B20" s="637"/>
      <c r="C20" s="42" t="s">
        <v>6</v>
      </c>
      <c r="D20" s="450"/>
      <c r="E20" s="147" t="s">
        <v>190</v>
      </c>
      <c r="F20" s="147" t="s">
        <v>187</v>
      </c>
      <c r="G20" s="147"/>
      <c r="H20" s="505"/>
      <c r="I20" s="237" t="s">
        <v>183</v>
      </c>
      <c r="J20" s="148" t="s">
        <v>184</v>
      </c>
    </row>
    <row r="21" spans="1:11" ht="134.25" customHeight="1" x14ac:dyDescent="0.25">
      <c r="A21" s="637"/>
      <c r="B21" s="637"/>
      <c r="C21" s="42" t="s">
        <v>7</v>
      </c>
      <c r="D21" s="152" t="s">
        <v>185</v>
      </c>
      <c r="E21" s="451" t="s">
        <v>185</v>
      </c>
      <c r="F21" s="451" t="s">
        <v>185</v>
      </c>
      <c r="G21" s="147" t="s">
        <v>185</v>
      </c>
      <c r="H21" s="451" t="s">
        <v>185</v>
      </c>
      <c r="I21" s="451" t="s">
        <v>185</v>
      </c>
      <c r="J21" s="452" t="s">
        <v>185</v>
      </c>
      <c r="K21" s="7"/>
    </row>
    <row r="22" spans="1:11" ht="109.5" customHeight="1" x14ac:dyDescent="0.25">
      <c r="A22" s="637"/>
      <c r="B22" s="637"/>
      <c r="C22" s="42" t="s">
        <v>8</v>
      </c>
      <c r="D22" s="152" t="s">
        <v>189</v>
      </c>
      <c r="E22" s="147" t="s">
        <v>189</v>
      </c>
      <c r="F22" s="147" t="s">
        <v>189</v>
      </c>
      <c r="G22" s="147" t="s">
        <v>189</v>
      </c>
      <c r="H22" s="184" t="s">
        <v>189</v>
      </c>
      <c r="I22" s="451" t="s">
        <v>189</v>
      </c>
      <c r="J22" s="452" t="s">
        <v>189</v>
      </c>
    </row>
    <row r="23" spans="1:11" ht="39.75" customHeight="1" thickBot="1" x14ac:dyDescent="0.3">
      <c r="A23" s="637"/>
      <c r="B23" s="637"/>
      <c r="C23" s="43" t="s">
        <v>10</v>
      </c>
      <c r="D23" s="153"/>
      <c r="E23" s="154"/>
      <c r="F23" s="195"/>
      <c r="G23" s="154"/>
      <c r="H23" s="154"/>
      <c r="I23" s="195"/>
      <c r="J23" s="155"/>
    </row>
    <row r="24" spans="1:11" ht="165.75" customHeight="1" x14ac:dyDescent="0.25">
      <c r="A24" s="637" t="s">
        <v>3</v>
      </c>
      <c r="B24" s="638">
        <f>B19+1</f>
        <v>46289</v>
      </c>
      <c r="C24" s="41" t="s">
        <v>5</v>
      </c>
      <c r="D24" s="196" t="s">
        <v>103</v>
      </c>
      <c r="E24" s="205" t="s">
        <v>196</v>
      </c>
      <c r="F24" s="205" t="s">
        <v>127</v>
      </c>
      <c r="G24" s="205" t="s">
        <v>187</v>
      </c>
      <c r="H24" s="205" t="s">
        <v>191</v>
      </c>
      <c r="I24" s="236" t="s">
        <v>183</v>
      </c>
      <c r="J24" s="197" t="s">
        <v>184</v>
      </c>
    </row>
    <row r="25" spans="1:11" ht="169.5" customHeight="1" x14ac:dyDescent="0.25">
      <c r="A25" s="639"/>
      <c r="B25" s="637"/>
      <c r="C25" s="42" t="s">
        <v>6</v>
      </c>
      <c r="D25" s="503" t="s">
        <v>179</v>
      </c>
      <c r="E25" s="237" t="s">
        <v>180</v>
      </c>
      <c r="F25" s="147" t="s">
        <v>190</v>
      </c>
      <c r="G25" s="147" t="s">
        <v>196</v>
      </c>
      <c r="H25" s="147" t="s">
        <v>187</v>
      </c>
      <c r="I25" s="237" t="s">
        <v>183</v>
      </c>
      <c r="J25" s="148" t="s">
        <v>184</v>
      </c>
    </row>
    <row r="26" spans="1:11" ht="163.5" customHeight="1" x14ac:dyDescent="0.25">
      <c r="A26" s="639"/>
      <c r="B26" s="637"/>
      <c r="C26" s="42" t="s">
        <v>7</v>
      </c>
      <c r="D26" s="152" t="s">
        <v>186</v>
      </c>
      <c r="E26" s="147"/>
      <c r="F26" s="147" t="s">
        <v>194</v>
      </c>
      <c r="G26" s="451" t="s">
        <v>190</v>
      </c>
      <c r="H26" s="237" t="s">
        <v>182</v>
      </c>
      <c r="I26" s="147"/>
      <c r="J26" s="148"/>
    </row>
    <row r="27" spans="1:11" ht="158.25" customHeight="1" x14ac:dyDescent="0.25">
      <c r="A27" s="639"/>
      <c r="B27" s="637"/>
      <c r="C27" s="42" t="s">
        <v>8</v>
      </c>
      <c r="D27" s="152" t="s">
        <v>190</v>
      </c>
      <c r="E27" s="147"/>
      <c r="F27" s="147" t="s">
        <v>186</v>
      </c>
      <c r="G27" s="451"/>
      <c r="H27" s="237" t="s">
        <v>182</v>
      </c>
      <c r="I27" s="147"/>
      <c r="J27" s="148"/>
    </row>
    <row r="28" spans="1:11" ht="29.25" thickBot="1" x14ac:dyDescent="0.3">
      <c r="A28" s="639"/>
      <c r="B28" s="637"/>
      <c r="C28" s="43" t="s">
        <v>10</v>
      </c>
      <c r="D28" s="506"/>
      <c r="E28" s="507"/>
      <c r="F28" s="195"/>
      <c r="G28" s="508"/>
      <c r="H28" s="154"/>
      <c r="I28" s="508"/>
      <c r="J28" s="509"/>
    </row>
    <row r="29" spans="1:11" ht="108" customHeight="1" x14ac:dyDescent="0.25">
      <c r="A29" s="637" t="s">
        <v>4</v>
      </c>
      <c r="B29" s="638">
        <f>B24+1</f>
        <v>46290</v>
      </c>
      <c r="C29" s="41" t="s">
        <v>5</v>
      </c>
      <c r="D29" s="196" t="s">
        <v>179</v>
      </c>
      <c r="E29" s="236"/>
      <c r="F29" s="183" t="s">
        <v>196</v>
      </c>
      <c r="G29" s="205"/>
      <c r="H29" s="236" t="s">
        <v>191</v>
      </c>
      <c r="I29" s="236"/>
      <c r="J29" s="197" t="s">
        <v>188</v>
      </c>
    </row>
    <row r="30" spans="1:11" ht="152.25" customHeight="1" x14ac:dyDescent="0.25">
      <c r="A30" s="637"/>
      <c r="B30" s="637"/>
      <c r="C30" s="42" t="s">
        <v>6</v>
      </c>
      <c r="D30" s="503" t="s">
        <v>179</v>
      </c>
      <c r="E30" s="237" t="s">
        <v>180</v>
      </c>
      <c r="F30" s="147" t="s">
        <v>181</v>
      </c>
      <c r="G30" s="510" t="s">
        <v>194</v>
      </c>
      <c r="H30" s="237" t="s">
        <v>207</v>
      </c>
      <c r="I30" s="237"/>
      <c r="J30" s="511" t="s">
        <v>192</v>
      </c>
    </row>
    <row r="31" spans="1:11" ht="156" customHeight="1" x14ac:dyDescent="0.25">
      <c r="A31" s="637"/>
      <c r="B31" s="637"/>
      <c r="C31" s="42" t="s">
        <v>7</v>
      </c>
      <c r="D31" s="450" t="s">
        <v>201</v>
      </c>
      <c r="E31" s="237" t="s">
        <v>180</v>
      </c>
      <c r="F31" s="147" t="s">
        <v>181</v>
      </c>
      <c r="G31" s="451" t="s">
        <v>199</v>
      </c>
      <c r="H31" s="237" t="s">
        <v>182</v>
      </c>
      <c r="I31" s="510" t="s">
        <v>188</v>
      </c>
      <c r="J31" s="148"/>
    </row>
    <row r="32" spans="1:11" ht="154.5" customHeight="1" x14ac:dyDescent="0.25">
      <c r="A32" s="637"/>
      <c r="B32" s="637"/>
      <c r="C32" s="42" t="s">
        <v>8</v>
      </c>
      <c r="D32" s="450"/>
      <c r="E32" s="147"/>
      <c r="F32" s="147"/>
      <c r="G32" s="451" t="s">
        <v>199</v>
      </c>
      <c r="H32" s="237" t="s">
        <v>182</v>
      </c>
      <c r="I32" s="510" t="s">
        <v>192</v>
      </c>
      <c r="J32" s="512"/>
    </row>
    <row r="33" spans="1:10" ht="28.5" thickBot="1" x14ac:dyDescent="0.3">
      <c r="A33" s="637"/>
      <c r="B33" s="637"/>
      <c r="C33" s="43" t="s">
        <v>10</v>
      </c>
      <c r="D33" s="513"/>
      <c r="E33" s="514"/>
      <c r="F33" s="514"/>
      <c r="G33" s="514"/>
      <c r="H33" s="514"/>
      <c r="I33" s="514"/>
      <c r="J33" s="515"/>
    </row>
    <row r="34" spans="1:10" s="13" customFormat="1" ht="43.5" customHeight="1" x14ac:dyDescent="0.25">
      <c r="A34" s="604" t="s">
        <v>12</v>
      </c>
      <c r="B34" s="605">
        <f>B29+1</f>
        <v>46291</v>
      </c>
      <c r="C34" s="34" t="s">
        <v>5</v>
      </c>
      <c r="D34" s="162"/>
      <c r="E34" s="163"/>
      <c r="F34" s="163"/>
      <c r="G34" s="163"/>
      <c r="H34" s="163"/>
      <c r="I34" s="163"/>
      <c r="J34" s="187"/>
    </row>
    <row r="35" spans="1:10" s="13" customFormat="1" ht="43.5" customHeight="1" x14ac:dyDescent="0.25">
      <c r="A35" s="604"/>
      <c r="B35" s="604"/>
      <c r="C35" s="35" t="s">
        <v>6</v>
      </c>
      <c r="D35" s="29"/>
      <c r="E35" s="30"/>
      <c r="F35" s="30"/>
      <c r="G35" s="30"/>
      <c r="H35" s="30"/>
      <c r="I35" s="30"/>
      <c r="J35" s="148"/>
    </row>
    <row r="36" spans="1:10" s="13" customFormat="1" ht="43.5" customHeight="1" x14ac:dyDescent="0.25">
      <c r="A36" s="604"/>
      <c r="B36" s="604"/>
      <c r="C36" s="35" t="s">
        <v>7</v>
      </c>
      <c r="D36" s="29"/>
      <c r="E36" s="30"/>
      <c r="F36" s="30"/>
      <c r="G36" s="30"/>
      <c r="H36" s="30"/>
      <c r="I36" s="30"/>
      <c r="J36" s="38"/>
    </row>
    <row r="37" spans="1:10" s="13" customFormat="1" ht="43.5" customHeight="1" x14ac:dyDescent="0.25">
      <c r="A37" s="604"/>
      <c r="B37" s="604"/>
      <c r="C37" s="35" t="s">
        <v>8</v>
      </c>
      <c r="D37" s="29"/>
      <c r="E37" s="30"/>
      <c r="F37" s="30"/>
      <c r="G37" s="121"/>
      <c r="H37" s="30"/>
      <c r="I37" s="121"/>
      <c r="J37" s="38"/>
    </row>
    <row r="38" spans="1:10" s="13" customFormat="1" ht="43.5" customHeight="1" thickBot="1" x14ac:dyDescent="0.3">
      <c r="A38" s="608"/>
      <c r="B38" s="608"/>
      <c r="C38" s="36" t="s">
        <v>10</v>
      </c>
      <c r="D38" s="180"/>
      <c r="E38" s="81"/>
      <c r="F38" s="81"/>
      <c r="G38" s="32"/>
      <c r="H38" s="32"/>
      <c r="I38" s="81"/>
      <c r="J38" s="158"/>
    </row>
    <row r="39" spans="1:10" ht="24" customHeight="1" x14ac:dyDescent="0.25">
      <c r="A39" s="6"/>
      <c r="B39" s="6"/>
      <c r="C39" s="6"/>
      <c r="D39" s="146" t="s">
        <v>51</v>
      </c>
      <c r="E39" s="14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Основы медицинских знаний и спортивная медицина*</v>
      </c>
      <c r="D40" s="62">
        <f>'14.09'!D40+COUNTIF(D$9:D$38,$C40)</f>
        <v>4</v>
      </c>
      <c r="E40" s="62">
        <f>'14.09'!E40+COUNTIF(E$9:E$38,$C40)</f>
        <v>4</v>
      </c>
      <c r="F40" s="62">
        <f>'14.09'!F40+COUNTIF(F$9:F$38,$C40)</f>
        <v>4</v>
      </c>
      <c r="G40" s="62">
        <f>'14.09'!G40+COUNTIF(G$9:G$38,$C40)</f>
        <v>4</v>
      </c>
      <c r="H40" s="62">
        <f>'14.09'!H40+COUNTIF(H$9:H$38,$C40)</f>
        <v>4</v>
      </c>
      <c r="I40" s="62">
        <f>'14.09'!I40+COUNTIF(I$9:I$38,$C40)</f>
        <v>4</v>
      </c>
      <c r="J40" s="62">
        <f>'14.09'!J40+COUNTIF(J$9:J$38,$C40)</f>
        <v>4</v>
      </c>
    </row>
    <row r="41" spans="1:10" s="13" customFormat="1" ht="26.25" x14ac:dyDescent="0.35">
      <c r="A41" s="6"/>
      <c r="B41" s="6"/>
      <c r="C41" s="26" t="str">
        <f>'01.09'!C41</f>
        <v>*Пр. Основы медицинских знаний и спортивная медицина*</v>
      </c>
      <c r="D41" s="62">
        <f>'14.09'!D41+COUNTIF(D$9:D$38,$C41)</f>
        <v>7</v>
      </c>
      <c r="E41" s="62">
        <f>'14.09'!E41+COUNTIF(E$9:E$38,$C41)</f>
        <v>7</v>
      </c>
      <c r="F41" s="62">
        <f>'14.09'!F41+COUNTIF(F$9:F$38,$C41)</f>
        <v>7</v>
      </c>
      <c r="G41" s="62">
        <f>'14.09'!G41+COUNTIF(G$9:G$38,$C41)</f>
        <v>4</v>
      </c>
      <c r="H41" s="62">
        <f>'14.09'!H41+COUNTIF(H$9:H$38,$C41)</f>
        <v>7</v>
      </c>
      <c r="I41" s="62">
        <f>'14.09'!I41+COUNTIF(I$9:I$38,$C41)</f>
        <v>7</v>
      </c>
      <c r="J41" s="62">
        <f>'14.09'!J41+COUNTIF(J$9:J$38,$C41)</f>
        <v>7</v>
      </c>
    </row>
    <row r="42" spans="1:10" ht="26.25" x14ac:dyDescent="0.35">
      <c r="A42" s="6"/>
      <c r="B42" s="6"/>
      <c r="C42" s="26" t="str">
        <f>'01.09'!C42</f>
        <v>*Л. Массаж*</v>
      </c>
      <c r="D42" s="62">
        <f>'14.09'!D42+COUNTIF(D$9:D$38,$C42)</f>
        <v>4</v>
      </c>
      <c r="E42" s="62">
        <f>'14.09'!E42+COUNTIF(E$9:E$38,$C42)</f>
        <v>4</v>
      </c>
      <c r="F42" s="62">
        <f>'14.09'!F42+COUNTIF(F$9:F$38,$C42)</f>
        <v>4</v>
      </c>
      <c r="G42" s="62">
        <f>'14.09'!G42+COUNTIF(G$9:G$38,$C42)</f>
        <v>4</v>
      </c>
      <c r="H42" s="62">
        <f>'14.09'!H42+COUNTIF(H$9:H$38,$C42)</f>
        <v>4</v>
      </c>
      <c r="I42" s="62">
        <f>'14.09'!I42+COUNTIF(I$9:I$38,$C42)</f>
        <v>4</v>
      </c>
      <c r="J42" s="62">
        <f>'14.09'!J42+COUNTIF(J$9:J$38,$C42)</f>
        <v>4</v>
      </c>
    </row>
    <row r="43" spans="1:10" s="13" customFormat="1" ht="26.25" x14ac:dyDescent="0.35">
      <c r="A43" s="6"/>
      <c r="B43" s="6"/>
      <c r="C43" s="26" t="str">
        <f>'01.09'!C43</f>
        <v>*Пр. Массаж*</v>
      </c>
      <c r="D43" s="62">
        <f>'14.09'!D43+COUNTIF(D$9:D$38,$C43)</f>
        <v>7</v>
      </c>
      <c r="E43" s="62">
        <f>'14.09'!E43+COUNTIF(E$9:E$38,$C43)</f>
        <v>6</v>
      </c>
      <c r="F43" s="62">
        <f>'14.09'!F43+COUNTIF(F$9:F$38,$C43)</f>
        <v>7</v>
      </c>
      <c r="G43" s="62">
        <f>'14.09'!G43+COUNTIF(G$9:G$38,$C43)</f>
        <v>7</v>
      </c>
      <c r="H43" s="62">
        <f>'14.09'!H43+COUNTIF(H$9:H$38,$C43)</f>
        <v>8</v>
      </c>
      <c r="I43" s="62">
        <f>'14.09'!I43+COUNTIF(I$9:I$38,$C43)</f>
        <v>7</v>
      </c>
      <c r="J43" s="62">
        <f>'14.09'!J43+COUNTIF(J$9:J$38,$C43)</f>
        <v>7</v>
      </c>
    </row>
    <row r="44" spans="1:10" ht="26.25" x14ac:dyDescent="0.35">
      <c r="A44" s="6"/>
      <c r="B44" s="6"/>
      <c r="C44" s="26" t="str">
        <f>'01.09'!C44</f>
        <v>*Л. Правовые основы профессиональной деятельности*</v>
      </c>
      <c r="D44" s="62">
        <f>'14.09'!D44+COUNTIF(D$9:D$38,$C44)</f>
        <v>4</v>
      </c>
      <c r="E44" s="62">
        <f>'14.09'!E44+COUNTIF(E$9:E$38,$C44)</f>
        <v>4</v>
      </c>
      <c r="F44" s="62">
        <f>'14.09'!F44+COUNTIF(F$9:F$38,$C44)</f>
        <v>4</v>
      </c>
      <c r="G44" s="62">
        <f>'14.09'!G44+COUNTIF(G$9:G$38,$C44)</f>
        <v>4</v>
      </c>
      <c r="H44" s="62">
        <f>'14.09'!H44+COUNTIF(H$9:H$38,$C44)</f>
        <v>4</v>
      </c>
      <c r="I44" s="62">
        <f>'14.09'!I44+COUNTIF(I$9:I$38,$C44)</f>
        <v>4</v>
      </c>
      <c r="J44" s="62">
        <f>'14.09'!J44+COUNTIF(J$9:J$38,$C44)</f>
        <v>4</v>
      </c>
    </row>
    <row r="45" spans="1:10" s="13" customFormat="1" ht="26.25" x14ac:dyDescent="0.35">
      <c r="A45" s="6"/>
      <c r="B45" s="6"/>
      <c r="C45" s="26" t="str">
        <f>'01.09'!C45</f>
        <v>*Пр. Правовые основы профессиональной деятельности*</v>
      </c>
      <c r="D45" s="62">
        <f>'14.09'!D45+COUNTIF(D$9:D$38,$C45)</f>
        <v>3</v>
      </c>
      <c r="E45" s="62">
        <f>'14.09'!E45+COUNTIF(E$9:E$38,$C45)</f>
        <v>4</v>
      </c>
      <c r="F45" s="62">
        <f>'14.09'!F45+COUNTIF(F$9:F$38,$C45)</f>
        <v>4</v>
      </c>
      <c r="G45" s="62">
        <f>'14.09'!G45+COUNTIF(G$9:G$38,$C45)</f>
        <v>4</v>
      </c>
      <c r="H45" s="62">
        <f>'14.09'!H45+COUNTIF(H$9:H$38,$C45)</f>
        <v>3</v>
      </c>
      <c r="I45" s="62">
        <f>'14.09'!I45+COUNTIF(I$9:I$38,$C45)</f>
        <v>3</v>
      </c>
      <c r="J45" s="62">
        <f>'14.09'!J45+COUNTIF(J$9:J$38,$C45)</f>
        <v>4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2">
        <f>'14.09'!D46+COUNTIF(D$9:D$38,$C46)</f>
        <v>3</v>
      </c>
      <c r="E46" s="62">
        <f>'14.09'!E46+COUNTIF(E$9:E$38,$C46)</f>
        <v>3</v>
      </c>
      <c r="F46" s="62">
        <f>'14.09'!F46+COUNTIF(F$9:F$38,$C46)</f>
        <v>3</v>
      </c>
      <c r="G46" s="62">
        <f>'14.09'!G46+COUNTIF(G$9:G$38,$C46)</f>
        <v>3</v>
      </c>
      <c r="H46" s="62">
        <f>'14.09'!H46+COUNTIF(H$9:H$38,$C46)</f>
        <v>3</v>
      </c>
      <c r="I46" s="62">
        <f>'14.09'!I46+COUNTIF(I$9:I$38,$C46)</f>
        <v>3</v>
      </c>
      <c r="J46" s="62">
        <f>'14.09'!J46+COUNTIF(J$9:J$38,$C46)</f>
        <v>3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2">
        <f>'14.09'!D47+COUNTIF(D$9:D$38,$C47)</f>
        <v>16</v>
      </c>
      <c r="E47" s="62">
        <f>'14.09'!E47+COUNTIF(E$9:E$38,$C47)</f>
        <v>16</v>
      </c>
      <c r="F47" s="62">
        <f>'14.09'!F47+COUNTIF(F$9:F$38,$C47)</f>
        <v>15</v>
      </c>
      <c r="G47" s="62">
        <f>'14.09'!G47+COUNTIF(G$9:G$38,$C47)</f>
        <v>16</v>
      </c>
      <c r="H47" s="62">
        <f>'14.09'!H47+COUNTIF(H$9:H$38,$C47)</f>
        <v>18</v>
      </c>
      <c r="I47" s="62">
        <f>'14.09'!I47+COUNTIF(I$9:I$38,$C47)</f>
        <v>18</v>
      </c>
      <c r="J47" s="62">
        <f>'14.09'!J47+COUNTIF(J$9:J$38,$C47)</f>
        <v>18</v>
      </c>
    </row>
    <row r="48" spans="1:10" ht="26.25" x14ac:dyDescent="0.35">
      <c r="A48" s="6"/>
      <c r="B48" s="6"/>
      <c r="C48" s="26" t="str">
        <f>'01.09'!C48</f>
        <v>*Л. Спортивная метрология*</v>
      </c>
      <c r="D48" s="62">
        <f>'14.09'!D48+COUNTIF(D$9:D$38,$C48)</f>
        <v>4</v>
      </c>
      <c r="E48" s="62">
        <f>'14.09'!E48+COUNTIF(E$9:E$38,$C48)</f>
        <v>4</v>
      </c>
      <c r="F48" s="62">
        <f>'14.09'!F48+COUNTIF(F$9:F$38,$C48)</f>
        <v>4</v>
      </c>
      <c r="G48" s="62">
        <f>'14.09'!G48+COUNTIF(G$9:G$38,$C48)</f>
        <v>4</v>
      </c>
      <c r="H48" s="62">
        <f>'14.09'!H48+COUNTIF(H$9:H$38,$C48)</f>
        <v>4</v>
      </c>
      <c r="I48" s="62">
        <f>'14.09'!I48+COUNTIF(I$9:I$38,$C48)</f>
        <v>4</v>
      </c>
      <c r="J48" s="62">
        <f>'14.09'!J48+COUNTIF(J$9:J$38,$C48)</f>
        <v>4</v>
      </c>
    </row>
    <row r="49" spans="1:10" s="13" customFormat="1" ht="26.25" x14ac:dyDescent="0.35">
      <c r="A49" s="6"/>
      <c r="B49" s="6"/>
      <c r="C49" s="26" t="str">
        <f>'01.09'!C49</f>
        <v>*Пр. Спортивная метрология*</v>
      </c>
      <c r="D49" s="62">
        <f>'14.09'!D49+COUNTIF(D$9:D$38,$C49)</f>
        <v>4</v>
      </c>
      <c r="E49" s="62">
        <f>'14.09'!E49+COUNTIF(E$9:E$38,$C49)</f>
        <v>4</v>
      </c>
      <c r="F49" s="62">
        <f>'14.09'!F49+COUNTIF(F$9:F$38,$C49)</f>
        <v>4</v>
      </c>
      <c r="G49" s="62">
        <f>'14.09'!G49+COUNTIF(G$9:G$38,$C49)</f>
        <v>4</v>
      </c>
      <c r="H49" s="62">
        <f>'14.09'!H49+COUNTIF(H$9:H$38,$C49)</f>
        <v>4</v>
      </c>
      <c r="I49" s="62">
        <f>'14.09'!I49+COUNTIF(I$9:I$38,$C49)</f>
        <v>3</v>
      </c>
      <c r="J49" s="62">
        <f>'14.09'!J49+COUNTIF(J$9:J$38,$C49)</f>
        <v>3</v>
      </c>
    </row>
    <row r="50" spans="1:10" ht="26.25" x14ac:dyDescent="0.35">
      <c r="A50" s="6"/>
      <c r="B50" s="6"/>
      <c r="C50" s="26" t="str">
        <f>'01.09'!C50</f>
        <v>*Л.  Теория и методика циклических и сложнокоординационных*</v>
      </c>
      <c r="D50" s="62">
        <f>'14.09'!D50+COUNTIF(D$9:D$38,$C50)</f>
        <v>0</v>
      </c>
      <c r="E50" s="62">
        <f>'14.09'!E50+COUNTIF(E$9:E$38,$C50)</f>
        <v>0</v>
      </c>
      <c r="F50" s="62">
        <f>'14.09'!F50+COUNTIF(F$9:F$38,$C50)</f>
        <v>0</v>
      </c>
      <c r="G50" s="62">
        <f>'14.09'!G50+COUNTIF(G$9:G$38,$C50)</f>
        <v>0</v>
      </c>
      <c r="H50" s="62">
        <f>'14.09'!H50+COUNTIF(H$9:H$38,$C50)</f>
        <v>3</v>
      </c>
      <c r="I50" s="62">
        <f>'14.09'!I50+COUNTIF(I$9:I$38,$C50)</f>
        <v>0</v>
      </c>
      <c r="J50" s="62">
        <f>'14.09'!J50+COUNTIF(J$9:J$38,$C50)</f>
        <v>0</v>
      </c>
    </row>
    <row r="51" spans="1:10" s="13" customFormat="1" ht="26.25" x14ac:dyDescent="0.35">
      <c r="A51" s="6"/>
      <c r="B51" s="6"/>
      <c r="C51" s="26" t="str">
        <f>'01.09'!C51</f>
        <v>*Пр.  Теория и методика циклических и сложнокоординационных*</v>
      </c>
      <c r="D51" s="62">
        <f>'14.09'!D51+COUNTIF(D$9:D$38,$C51)</f>
        <v>0</v>
      </c>
      <c r="E51" s="62">
        <f>'14.09'!E51+COUNTIF(E$9:E$38,$C51)</f>
        <v>0</v>
      </c>
      <c r="F51" s="62">
        <f>'14.09'!F51+COUNTIF(F$9:F$38,$C51)</f>
        <v>0</v>
      </c>
      <c r="G51" s="62">
        <f>'14.09'!G51+COUNTIF(G$9:G$38,$C51)</f>
        <v>0</v>
      </c>
      <c r="H51" s="62">
        <f>'14.09'!H51+COUNTIF(H$9:H$38,$C51)</f>
        <v>22</v>
      </c>
      <c r="I51" s="62">
        <f>'14.09'!I51+COUNTIF(I$9:I$38,$C51)</f>
        <v>0</v>
      </c>
      <c r="J51" s="62">
        <f>'14.09'!J51+COUNTIF(J$9:J$38,$C51)</f>
        <v>0</v>
      </c>
    </row>
    <row r="52" spans="1:10" ht="26.25" x14ac:dyDescent="0.35">
      <c r="A52" s="6"/>
      <c r="B52" s="6"/>
      <c r="C52" s="26">
        <f>'01.09'!C52</f>
        <v>0</v>
      </c>
      <c r="D52" s="62">
        <f>'14.09'!D52+COUNTIF(D$9:D$38,$C52)</f>
        <v>0</v>
      </c>
      <c r="E52" s="62">
        <f>'14.09'!E52+COUNTIF(E$9:E$38,$C52)</f>
        <v>0</v>
      </c>
      <c r="F52" s="62">
        <f>'14.09'!F52+COUNTIF(F$9:F$38,$C52)</f>
        <v>0</v>
      </c>
      <c r="G52" s="62">
        <f>'14.09'!G52+COUNTIF(G$9:G$38,$C52)</f>
        <v>0</v>
      </c>
      <c r="H52" s="62">
        <f>'14.09'!H52+COUNTIF(H$9:H$38,$C52)</f>
        <v>0</v>
      </c>
      <c r="I52" s="62">
        <f>'14.09'!I52+COUNTIF(I$9:I$38,$C52)</f>
        <v>0</v>
      </c>
      <c r="J52" s="62">
        <f>'14.09'!J52+COUNTIF(J$9:J$38,$C52)</f>
        <v>0</v>
      </c>
    </row>
    <row r="53" spans="1:10" s="13" customFormat="1" ht="26.25" x14ac:dyDescent="0.35">
      <c r="A53" s="6"/>
      <c r="B53" s="6"/>
      <c r="C53" s="26">
        <f>'01.09'!C53</f>
        <v>0</v>
      </c>
      <c r="D53" s="62">
        <f>'14.09'!D53+COUNTIF(D$9:D$38,$C53)</f>
        <v>0</v>
      </c>
      <c r="E53" s="62">
        <f>'14.09'!E53+COUNTIF(E$9:E$38,$C53)</f>
        <v>0</v>
      </c>
      <c r="F53" s="62">
        <f>'14.09'!F53+COUNTIF(F$9:F$38,$C53)</f>
        <v>0</v>
      </c>
      <c r="G53" s="62">
        <f>'14.09'!G53+COUNTIF(G$9:G$38,$C53)</f>
        <v>0</v>
      </c>
      <c r="H53" s="62">
        <f>'14.09'!H53+COUNTIF(H$9:H$38,$C53)</f>
        <v>0</v>
      </c>
      <c r="I53" s="62">
        <f>'14.09'!I53+COUNTIF(I$9:I$38,$C53)</f>
        <v>0</v>
      </c>
      <c r="J53" s="62">
        <f>'14.09'!J53+COUNTIF(J$9:J$38,$C53)</f>
        <v>0</v>
      </c>
    </row>
    <row r="54" spans="1:10" ht="26.25" x14ac:dyDescent="0.35">
      <c r="A54" s="6"/>
      <c r="B54" s="6"/>
      <c r="C54" s="26">
        <f>'01.09'!C54</f>
        <v>0</v>
      </c>
      <c r="D54" s="62">
        <f>'14.09'!D54+COUNTIF(D$9:D$38,$C54)</f>
        <v>0</v>
      </c>
      <c r="E54" s="62">
        <f>'14.09'!E54+COUNTIF(E$9:E$38,$C54)</f>
        <v>0</v>
      </c>
      <c r="F54" s="62">
        <f>'14.09'!F54+COUNTIF(F$9:F$38,$C54)</f>
        <v>0</v>
      </c>
      <c r="G54" s="62">
        <f>'14.09'!G54+COUNTIF(G$9:G$38,$C54)</f>
        <v>0</v>
      </c>
      <c r="H54" s="62">
        <f>'14.09'!H54+COUNTIF(H$9:H$38,$C54)</f>
        <v>0</v>
      </c>
      <c r="I54" s="62">
        <f>'14.09'!I54+COUNTIF(I$9:I$38,$C54)</f>
        <v>0</v>
      </c>
      <c r="J54" s="62">
        <f>'14.09'!J54+COUNTIF(J$9:J$38,$C54)</f>
        <v>0</v>
      </c>
    </row>
    <row r="55" spans="1:10" s="13" customFormat="1" ht="26.25" x14ac:dyDescent="0.35">
      <c r="A55" s="6"/>
      <c r="B55" s="6"/>
      <c r="C55" s="26">
        <f>'01.09'!C55</f>
        <v>0</v>
      </c>
      <c r="D55" s="62">
        <f>'14.09'!D55+COUNTIF(D$9:D$38,$C55)</f>
        <v>0</v>
      </c>
      <c r="E55" s="62">
        <f>'14.09'!E55+COUNTIF(E$9:E$38,$C55)</f>
        <v>0</v>
      </c>
      <c r="F55" s="62">
        <f>'14.09'!F55+COUNTIF(F$9:F$38,$C55)</f>
        <v>0</v>
      </c>
      <c r="G55" s="62">
        <f>'14.09'!G55+COUNTIF(G$9:G$38,$C55)</f>
        <v>0</v>
      </c>
      <c r="H55" s="62">
        <f>'14.09'!H55+COUNTIF(H$9:H$38,$C55)</f>
        <v>0</v>
      </c>
      <c r="I55" s="62">
        <f>'14.09'!I55+COUNTIF(I$9:I$38,$C55)</f>
        <v>0</v>
      </c>
      <c r="J55" s="62">
        <f>'14.09'!J55+COUNTIF(J$9:J$38,$C55)</f>
        <v>0</v>
      </c>
    </row>
    <row r="56" spans="1:10" ht="26.25" x14ac:dyDescent="0.35">
      <c r="A56" s="6"/>
      <c r="B56" s="6"/>
      <c r="C56" s="26">
        <f>'01.09'!C56</f>
        <v>0</v>
      </c>
      <c r="D56" s="62">
        <f>'14.09'!D56+COUNTIF(D$9:D$38,$C56)</f>
        <v>0</v>
      </c>
      <c r="E56" s="62">
        <f>'14.09'!E56+COUNTIF(E$9:E$38,$C56)</f>
        <v>0</v>
      </c>
      <c r="F56" s="62">
        <f>'14.09'!F56+COUNTIF(F$9:F$38,$C56)</f>
        <v>0</v>
      </c>
      <c r="G56" s="62">
        <f>'14.09'!G56+COUNTIF(G$9:G$38,$C56)</f>
        <v>0</v>
      </c>
      <c r="H56" s="62">
        <f>'14.09'!H56+COUNTIF(H$9:H$38,$C56)</f>
        <v>0</v>
      </c>
      <c r="I56" s="62">
        <f>'14.09'!I56+COUNTIF(I$9:I$38,$C56)</f>
        <v>0</v>
      </c>
      <c r="J56" s="62">
        <f>'14.09'!J56+COUNTIF(J$9:J$38,$C56)</f>
        <v>0</v>
      </c>
    </row>
    <row r="57" spans="1:10" s="13" customFormat="1" ht="26.25" x14ac:dyDescent="0.35">
      <c r="A57" s="6"/>
      <c r="B57" s="6"/>
      <c r="C57" s="26">
        <f>'01.09'!C57</f>
        <v>0</v>
      </c>
      <c r="D57" s="62">
        <f>'14.09'!D57+COUNTIF(D$9:D$38,$C57)</f>
        <v>0</v>
      </c>
      <c r="E57" s="62">
        <f>'14.09'!E57+COUNTIF(E$9:E$38,$C57)</f>
        <v>0</v>
      </c>
      <c r="F57" s="62">
        <f>'14.09'!F57+COUNTIF(F$9:F$38,$C57)</f>
        <v>0</v>
      </c>
      <c r="G57" s="62">
        <f>'14.09'!G57+COUNTIF(G$9:G$38,$C57)</f>
        <v>0</v>
      </c>
      <c r="H57" s="62">
        <f>'14.09'!H57+COUNTIF(H$9:H$38,$C57)</f>
        <v>0</v>
      </c>
      <c r="I57" s="62">
        <f>'14.09'!I57+COUNTIF(I$9:I$38,$C57)</f>
        <v>0</v>
      </c>
      <c r="J57" s="62">
        <f>'14.09'!J57+COUNTIF(J$9:J$38,$C57)</f>
        <v>0</v>
      </c>
    </row>
    <row r="58" spans="1:10" ht="26.25" x14ac:dyDescent="0.35">
      <c r="A58" s="6"/>
      <c r="B58" s="6"/>
      <c r="C58" s="26">
        <f>'01.09'!C58</f>
        <v>0</v>
      </c>
      <c r="D58" s="62">
        <f>'14.09'!D58+COUNTIF(D$9:D$38,$C58)</f>
        <v>0</v>
      </c>
      <c r="E58" s="62">
        <f>'14.09'!E58+COUNTIF(E$9:E$38,$C58)</f>
        <v>0</v>
      </c>
      <c r="F58" s="62">
        <f>'14.09'!F58+COUNTIF(F$9:F$38,$C58)</f>
        <v>0</v>
      </c>
      <c r="G58" s="62">
        <f>'14.09'!G58+COUNTIF(G$9:G$38,$C58)</f>
        <v>0</v>
      </c>
      <c r="H58" s="62">
        <f>'14.09'!H58+COUNTIF(H$9:H$38,$C58)</f>
        <v>0</v>
      </c>
      <c r="I58" s="62">
        <f>'14.09'!I58+COUNTIF(I$9:I$38,$C58)</f>
        <v>0</v>
      </c>
      <c r="J58" s="62">
        <f>'14.09'!J58+COUNTIF(J$9:J$38,$C58)</f>
        <v>0</v>
      </c>
    </row>
    <row r="59" spans="1:10" s="13" customFormat="1" ht="26.25" x14ac:dyDescent="0.35">
      <c r="A59" s="6"/>
      <c r="B59" s="6"/>
      <c r="C59" s="26">
        <f>'01.09'!C59</f>
        <v>0</v>
      </c>
      <c r="D59" s="62">
        <f>'14.09'!D59+COUNTIF(D$9:D$38,$C59)</f>
        <v>0</v>
      </c>
      <c r="E59" s="62">
        <f>'14.09'!E59+COUNTIF(E$9:E$38,$C59)</f>
        <v>0</v>
      </c>
      <c r="F59" s="62">
        <f>'14.09'!F59+COUNTIF(F$9:F$38,$C59)</f>
        <v>0</v>
      </c>
      <c r="G59" s="62">
        <f>'14.09'!G59+COUNTIF(G$9:G$38,$C59)</f>
        <v>0</v>
      </c>
      <c r="H59" s="62">
        <f>'14.09'!H59+COUNTIF(H$9:H$38,$C59)</f>
        <v>0</v>
      </c>
      <c r="I59" s="62">
        <f>'14.09'!I59+COUNTIF(I$9:I$38,$C59)</f>
        <v>0</v>
      </c>
      <c r="J59" s="62">
        <f>'14.09'!J59+COUNTIF(J$9:J$38,$C59)</f>
        <v>0</v>
      </c>
    </row>
    <row r="60" spans="1:10" ht="26.25" x14ac:dyDescent="0.35">
      <c r="A60" s="6"/>
      <c r="B60" s="6"/>
      <c r="C60" s="26">
        <f>'01.09'!C60</f>
        <v>0</v>
      </c>
      <c r="D60" s="62">
        <f>'14.09'!D60+COUNTIF(D$9:D$38,$C60)</f>
        <v>0</v>
      </c>
      <c r="E60" s="62">
        <f>'14.09'!E60+COUNTIF(E$9:E$38,$C60)</f>
        <v>0</v>
      </c>
      <c r="F60" s="62">
        <f>'14.09'!F60+COUNTIF(F$9:F$38,$C60)</f>
        <v>0</v>
      </c>
      <c r="G60" s="62">
        <f>'14.09'!G60+COUNTIF(G$9:G$38,$C60)</f>
        <v>0</v>
      </c>
      <c r="H60" s="62">
        <f>'14.09'!H60+COUNTIF(H$9:H$38,$C60)</f>
        <v>0</v>
      </c>
      <c r="I60" s="62">
        <f>'14.09'!I60+COUNTIF(I$9:I$38,$C60)</f>
        <v>0</v>
      </c>
      <c r="J60" s="62">
        <f>'14.09'!J60+COUNTIF(J$9:J$38,$C60)</f>
        <v>0</v>
      </c>
    </row>
    <row r="61" spans="1:10" ht="26.25" x14ac:dyDescent="0.35">
      <c r="A61" s="6"/>
      <c r="B61" s="6"/>
      <c r="C61" s="26">
        <f>'01.09'!C61</f>
        <v>0</v>
      </c>
      <c r="D61" s="62">
        <f>'14.09'!D61+COUNTIF(D$9:D$38,$C61)</f>
        <v>0</v>
      </c>
      <c r="E61" s="62">
        <f>'14.09'!E61+COUNTIF(E$9:E$38,$C61)</f>
        <v>0</v>
      </c>
      <c r="F61" s="62">
        <f>'14.09'!F61+COUNTIF(F$9:F$38,$C61)</f>
        <v>0</v>
      </c>
      <c r="G61" s="62">
        <f>'14.09'!G61+COUNTIF(G$9:G$38,$C61)</f>
        <v>0</v>
      </c>
      <c r="H61" s="62">
        <f>'14.09'!H61+COUNTIF(H$9:H$38,$C61)</f>
        <v>0</v>
      </c>
      <c r="I61" s="62">
        <f>'14.09'!I61+COUNTIF(I$9:I$38,$C61)</f>
        <v>0</v>
      </c>
      <c r="J61" s="62">
        <f>'14.09'!J61+COUNTIF(J$9:J$38,$C61)</f>
        <v>0</v>
      </c>
    </row>
    <row r="62" spans="1:10" ht="26.25" x14ac:dyDescent="0.35">
      <c r="A62" s="6"/>
      <c r="B62" s="6"/>
      <c r="C62" s="26">
        <f>'01.09'!C62</f>
        <v>0</v>
      </c>
      <c r="D62" s="62">
        <f>'14.09'!D62+COUNTIF(D$9:D$38,$C62)</f>
        <v>0</v>
      </c>
      <c r="E62" s="62">
        <f>'14.09'!E62+COUNTIF(E$9:E$38,$C62)</f>
        <v>0</v>
      </c>
      <c r="F62" s="62">
        <f>'14.09'!F62+COUNTIF(F$9:F$38,$C62)</f>
        <v>0</v>
      </c>
      <c r="G62" s="62">
        <f>'14.09'!G62+COUNTIF(G$9:G$38,$C62)</f>
        <v>0</v>
      </c>
      <c r="H62" s="62">
        <f>'14.09'!H62+COUNTIF(H$9:H$38,$C62)</f>
        <v>0</v>
      </c>
      <c r="I62" s="62">
        <f>'14.09'!I62+COUNTIF(I$9:I$38,$C62)</f>
        <v>0</v>
      </c>
      <c r="J62" s="62">
        <f>'14.09'!J62+COUNTIF(J$9:J$38,$C62)</f>
        <v>0</v>
      </c>
    </row>
    <row r="63" spans="1:10" ht="26.25" x14ac:dyDescent="0.35">
      <c r="A63" s="6"/>
      <c r="B63" s="6"/>
      <c r="C63" s="26">
        <f>'01.09'!C63</f>
        <v>0</v>
      </c>
      <c r="D63" s="62">
        <f>'14.09'!D63+COUNTIF(D$9:D$38,$C63)</f>
        <v>0</v>
      </c>
      <c r="E63" s="62">
        <f>'14.09'!E63+COUNTIF(E$9:E$38,$C63)</f>
        <v>0</v>
      </c>
      <c r="F63" s="62">
        <f>'14.09'!F63+COUNTIF(F$9:F$38,$C63)</f>
        <v>0</v>
      </c>
      <c r="G63" s="62">
        <f>'14.09'!G63+COUNTIF(G$9:G$38,$C63)</f>
        <v>0</v>
      </c>
      <c r="H63" s="62">
        <f>'14.09'!H63+COUNTIF(H$9:H$38,$C63)</f>
        <v>0</v>
      </c>
      <c r="I63" s="62">
        <f>'14.09'!I63+COUNTIF(I$9:I$38,$C63)</f>
        <v>0</v>
      </c>
      <c r="J63" s="62">
        <f>'14.09'!J63+COUNTIF(J$9:J$38,$C63)</f>
        <v>0</v>
      </c>
    </row>
    <row r="64" spans="1:10" ht="26.25" x14ac:dyDescent="0.35">
      <c r="A64" s="6"/>
      <c r="B64" s="6"/>
      <c r="C64" s="26">
        <f>'01.09'!C64</f>
        <v>0</v>
      </c>
      <c r="D64" s="62">
        <f>'14.09'!D64+COUNTIF(D$9:D$38,$C64)</f>
        <v>0</v>
      </c>
      <c r="E64" s="62">
        <f>'14.09'!E64+COUNTIF(E$9:E$38,$C64)</f>
        <v>0</v>
      </c>
      <c r="F64" s="62">
        <f>'14.09'!F64+COUNTIF(F$9:F$38,$C64)</f>
        <v>0</v>
      </c>
      <c r="G64" s="62">
        <f>'14.09'!G64+COUNTIF(G$9:G$38,$C64)</f>
        <v>0</v>
      </c>
      <c r="H64" s="62">
        <f>'14.09'!H64+COUNTIF(H$9:H$38,$C64)</f>
        <v>0</v>
      </c>
      <c r="I64" s="62">
        <f>'14.09'!I64+COUNTIF(I$9:I$38,$C64)</f>
        <v>0</v>
      </c>
      <c r="J64" s="62">
        <f>'14.09'!J64+COUNTIF(J$9:J$38,$C64)</f>
        <v>0</v>
      </c>
    </row>
    <row r="65" spans="1:10" ht="26.25" x14ac:dyDescent="0.35">
      <c r="A65" s="6"/>
      <c r="B65" s="6"/>
      <c r="C65" s="26">
        <f>'01.09'!C65</f>
        <v>0</v>
      </c>
      <c r="D65" s="62">
        <f>'14.09'!D65+COUNTIF(D$9:D$38,$C65)</f>
        <v>0</v>
      </c>
      <c r="E65" s="62">
        <f>'14.09'!E65+COUNTIF(E$9:E$38,$C65)</f>
        <v>0</v>
      </c>
      <c r="F65" s="62">
        <f>'14.09'!F65+COUNTIF(F$9:F$38,$C65)</f>
        <v>0</v>
      </c>
      <c r="G65" s="62">
        <f>'14.09'!G65+COUNTIF(G$9:G$38,$C65)</f>
        <v>0</v>
      </c>
      <c r="H65" s="62">
        <f>'14.09'!H65+COUNTIF(H$9:H$38,$C65)</f>
        <v>0</v>
      </c>
      <c r="I65" s="62">
        <f>'14.09'!I65+COUNTIF(I$9:I$38,$C65)</f>
        <v>0</v>
      </c>
      <c r="J65" s="62">
        <f>'14.09'!J65+COUNTIF(J$9:J$38,$C65)</f>
        <v>0</v>
      </c>
    </row>
    <row r="66" spans="1:10" ht="26.25" x14ac:dyDescent="0.35">
      <c r="A66" s="6"/>
      <c r="B66" s="6"/>
      <c r="C66" s="26">
        <f>'01.09'!C66</f>
        <v>0</v>
      </c>
      <c r="D66" s="62">
        <f>'14.09'!D66+COUNTIF(D$9:D$38,$C66)</f>
        <v>0</v>
      </c>
      <c r="E66" s="62">
        <f>'14.09'!E66+COUNTIF(E$9:E$38,$C66)</f>
        <v>0</v>
      </c>
      <c r="F66" s="62">
        <f>'14.09'!F66+COUNTIF(F$9:F$38,$C66)</f>
        <v>0</v>
      </c>
      <c r="G66" s="62">
        <f>'14.09'!G66+COUNTIF(G$9:G$38,$C66)</f>
        <v>0</v>
      </c>
      <c r="H66" s="62">
        <f>'14.09'!H66+COUNTIF(H$9:H$38,$C66)</f>
        <v>0</v>
      </c>
      <c r="I66" s="62">
        <f>'14.09'!I66+COUNTIF(I$9:I$38,$C66)</f>
        <v>0</v>
      </c>
      <c r="J66" s="62">
        <f>'14.09'!J66+COUNTIF(J$9:J$38,$C66)</f>
        <v>0</v>
      </c>
    </row>
    <row r="67" spans="1:10" x14ac:dyDescent="0.25">
      <c r="A67" s="6"/>
      <c r="B67" s="6"/>
      <c r="C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1:J1"/>
    <mergeCell ref="B2:J2"/>
    <mergeCell ref="A3:J3"/>
    <mergeCell ref="B4:J4"/>
    <mergeCell ref="B5:J5"/>
    <mergeCell ref="A34:A38"/>
    <mergeCell ref="B34:B38"/>
    <mergeCell ref="A7:A8"/>
    <mergeCell ref="C7:C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A24:A28"/>
    <mergeCell ref="B7:B8"/>
  </mergeCells>
  <phoneticPr fontId="3" type="noConversion"/>
  <pageMargins left="0" right="0" top="0" bottom="0" header="0" footer="0"/>
  <pageSetup paperSize="9" scale="2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K69"/>
  <sheetViews>
    <sheetView view="pageBreakPreview" topLeftCell="A28" zoomScale="39" zoomScaleNormal="40" zoomScaleSheetLayoutView="39" zoomScalePageLayoutView="40" workbookViewId="0">
      <selection activeCell="I24" sqref="I24:I25"/>
    </sheetView>
  </sheetViews>
  <sheetFormatPr defaultColWidth="9.140625" defaultRowHeight="15" x14ac:dyDescent="0.25"/>
  <cols>
    <col min="1" max="2" width="4.42578125" style="5" customWidth="1"/>
    <col min="3" max="3" width="19.7109375" style="5" customWidth="1"/>
    <col min="4" max="4" width="52" style="5" customWidth="1"/>
    <col min="5" max="5" width="47.5703125" style="5" customWidth="1"/>
    <col min="6" max="6" width="52.5703125" style="5" customWidth="1"/>
    <col min="7" max="7" width="51.140625" style="5" customWidth="1"/>
    <col min="8" max="8" width="55.42578125" style="13" customWidth="1"/>
    <col min="9" max="9" width="68.42578125" style="5" customWidth="1"/>
    <col min="10" max="10" width="59.42578125" style="5" customWidth="1"/>
    <col min="11" max="16384" width="9.140625" style="5"/>
  </cols>
  <sheetData>
    <row r="1" spans="1:10" ht="21.75" customHeight="1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22.5" customHeight="1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26.25" customHeight="1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27" customHeight="1" x14ac:dyDescent="0.2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12.5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298" t="s">
        <v>83</v>
      </c>
      <c r="J8" s="179" t="s">
        <v>82</v>
      </c>
    </row>
    <row r="9" spans="1:10" ht="138.75" x14ac:dyDescent="0.25">
      <c r="A9" s="642" t="s">
        <v>0</v>
      </c>
      <c r="B9" s="640">
        <v>46293</v>
      </c>
      <c r="C9" s="41" t="s">
        <v>5</v>
      </c>
      <c r="D9" s="516"/>
      <c r="E9" s="517" t="s">
        <v>190</v>
      </c>
      <c r="F9" s="517"/>
      <c r="G9" s="517"/>
      <c r="H9" s="517" t="s">
        <v>188</v>
      </c>
      <c r="I9" s="518" t="s">
        <v>183</v>
      </c>
      <c r="J9" s="519" t="s">
        <v>184</v>
      </c>
    </row>
    <row r="10" spans="1:10" ht="138.75" x14ac:dyDescent="0.25">
      <c r="A10" s="637"/>
      <c r="B10" s="637"/>
      <c r="C10" s="42" t="s">
        <v>6</v>
      </c>
      <c r="D10" s="520"/>
      <c r="E10" s="521" t="s">
        <v>188</v>
      </c>
      <c r="F10" s="522" t="s">
        <v>181</v>
      </c>
      <c r="G10" s="521" t="s">
        <v>190</v>
      </c>
      <c r="H10" s="521" t="s">
        <v>203</v>
      </c>
      <c r="I10" s="522" t="s">
        <v>183</v>
      </c>
      <c r="J10" s="523" t="s">
        <v>184</v>
      </c>
    </row>
    <row r="11" spans="1:10" ht="111" x14ac:dyDescent="0.25">
      <c r="A11" s="637"/>
      <c r="B11" s="637"/>
      <c r="C11" s="42" t="s">
        <v>7</v>
      </c>
      <c r="D11" s="524" t="s">
        <v>202</v>
      </c>
      <c r="E11" s="522" t="s">
        <v>203</v>
      </c>
      <c r="F11" s="522" t="s">
        <v>181</v>
      </c>
      <c r="G11" s="522" t="s">
        <v>199</v>
      </c>
      <c r="H11" s="522"/>
      <c r="I11" s="522" t="s">
        <v>192</v>
      </c>
      <c r="J11" s="523" t="s">
        <v>196</v>
      </c>
    </row>
    <row r="12" spans="1:10" ht="111" x14ac:dyDescent="0.25">
      <c r="A12" s="637"/>
      <c r="B12" s="637"/>
      <c r="C12" s="42" t="s">
        <v>8</v>
      </c>
      <c r="D12" s="524" t="s">
        <v>203</v>
      </c>
      <c r="E12" s="522"/>
      <c r="F12" s="522"/>
      <c r="G12" s="522" t="s">
        <v>199</v>
      </c>
      <c r="H12" s="522"/>
      <c r="I12" s="237" t="s">
        <v>207</v>
      </c>
      <c r="J12" s="523" t="s">
        <v>192</v>
      </c>
    </row>
    <row r="13" spans="1:10" ht="28.5" thickBot="1" x14ac:dyDescent="0.3">
      <c r="A13" s="637"/>
      <c r="B13" s="637"/>
      <c r="C13" s="43" t="s">
        <v>10</v>
      </c>
      <c r="D13" s="525"/>
      <c r="E13" s="526"/>
      <c r="F13" s="526"/>
      <c r="G13" s="526"/>
      <c r="H13" s="526"/>
      <c r="I13" s="526"/>
      <c r="J13" s="527"/>
    </row>
    <row r="14" spans="1:10" ht="83.25" x14ac:dyDescent="0.25">
      <c r="A14" s="637" t="s">
        <v>1</v>
      </c>
      <c r="B14" s="638">
        <f>B9+1</f>
        <v>46294</v>
      </c>
      <c r="C14" s="41" t="s">
        <v>5</v>
      </c>
      <c r="D14" s="528" t="s">
        <v>197</v>
      </c>
      <c r="E14" s="518" t="s">
        <v>197</v>
      </c>
      <c r="F14" s="518" t="s">
        <v>197</v>
      </c>
      <c r="G14" s="518" t="s">
        <v>197</v>
      </c>
      <c r="H14" s="518" t="s">
        <v>197</v>
      </c>
      <c r="I14" s="518" t="s">
        <v>197</v>
      </c>
      <c r="J14" s="519" t="s">
        <v>197</v>
      </c>
    </row>
    <row r="15" spans="1:10" ht="111" x14ac:dyDescent="0.25">
      <c r="A15" s="637"/>
      <c r="B15" s="637"/>
      <c r="C15" s="42" t="s">
        <v>6</v>
      </c>
      <c r="D15" s="524" t="s">
        <v>198</v>
      </c>
      <c r="E15" s="521" t="s">
        <v>198</v>
      </c>
      <c r="F15" s="522" t="s">
        <v>198</v>
      </c>
      <c r="G15" s="522" t="s">
        <v>198</v>
      </c>
      <c r="H15" s="522" t="s">
        <v>198</v>
      </c>
      <c r="I15" s="522" t="s">
        <v>198</v>
      </c>
      <c r="J15" s="523" t="s">
        <v>198</v>
      </c>
    </row>
    <row r="16" spans="1:10" ht="194.25" x14ac:dyDescent="0.25">
      <c r="A16" s="637"/>
      <c r="B16" s="637"/>
      <c r="C16" s="42" t="s">
        <v>7</v>
      </c>
      <c r="D16" s="524" t="s">
        <v>190</v>
      </c>
      <c r="E16" s="522" t="s">
        <v>180</v>
      </c>
      <c r="F16" s="522"/>
      <c r="G16" s="522" t="s">
        <v>199</v>
      </c>
      <c r="H16" s="522" t="s">
        <v>182</v>
      </c>
      <c r="I16" s="522" t="s">
        <v>203</v>
      </c>
      <c r="J16" s="523" t="s">
        <v>188</v>
      </c>
    </row>
    <row r="17" spans="1:11" ht="194.25" x14ac:dyDescent="0.25">
      <c r="A17" s="637"/>
      <c r="B17" s="637"/>
      <c r="C17" s="42" t="s">
        <v>8</v>
      </c>
      <c r="D17" s="529" t="s">
        <v>179</v>
      </c>
      <c r="E17" s="522" t="s">
        <v>180</v>
      </c>
      <c r="F17" s="522"/>
      <c r="G17" s="522" t="s">
        <v>199</v>
      </c>
      <c r="H17" s="522" t="s">
        <v>182</v>
      </c>
      <c r="I17" s="522" t="s">
        <v>188</v>
      </c>
      <c r="J17" s="523" t="s">
        <v>203</v>
      </c>
    </row>
    <row r="18" spans="1:11" ht="28.5" thickBot="1" x14ac:dyDescent="0.3">
      <c r="A18" s="637"/>
      <c r="B18" s="637"/>
      <c r="C18" s="43" t="s">
        <v>10</v>
      </c>
      <c r="D18" s="530"/>
      <c r="E18" s="531"/>
      <c r="F18" s="531"/>
      <c r="G18" s="531"/>
      <c r="H18" s="531"/>
      <c r="I18" s="531"/>
      <c r="J18" s="532"/>
      <c r="K18" s="7"/>
    </row>
    <row r="19" spans="1:11" ht="138.75" x14ac:dyDescent="0.25">
      <c r="A19" s="637" t="s">
        <v>2</v>
      </c>
      <c r="B19" s="638">
        <f>B14+1</f>
        <v>46295</v>
      </c>
      <c r="C19" s="41" t="s">
        <v>5</v>
      </c>
      <c r="D19" s="524"/>
      <c r="E19" s="522" t="s">
        <v>187</v>
      </c>
      <c r="F19" s="522" t="s">
        <v>190</v>
      </c>
      <c r="G19" s="522"/>
      <c r="H19" s="522"/>
      <c r="I19" s="522" t="s">
        <v>183</v>
      </c>
      <c r="J19" s="523" t="s">
        <v>184</v>
      </c>
    </row>
    <row r="20" spans="1:11" ht="138.75" x14ac:dyDescent="0.25">
      <c r="A20" s="637"/>
      <c r="B20" s="637"/>
      <c r="C20" s="42" t="s">
        <v>6</v>
      </c>
      <c r="D20" s="524"/>
      <c r="E20" s="522" t="s">
        <v>190</v>
      </c>
      <c r="F20" s="522" t="s">
        <v>187</v>
      </c>
      <c r="G20" s="522"/>
      <c r="H20" s="522"/>
      <c r="I20" s="522" t="s">
        <v>183</v>
      </c>
      <c r="J20" s="523" t="s">
        <v>184</v>
      </c>
    </row>
    <row r="21" spans="1:11" ht="111" x14ac:dyDescent="0.25">
      <c r="A21" s="637"/>
      <c r="B21" s="637"/>
      <c r="C21" s="42" t="s">
        <v>7</v>
      </c>
      <c r="D21" s="524" t="s">
        <v>185</v>
      </c>
      <c r="E21" s="522" t="s">
        <v>185</v>
      </c>
      <c r="F21" s="522" t="s">
        <v>185</v>
      </c>
      <c r="G21" s="522" t="s">
        <v>185</v>
      </c>
      <c r="H21" s="522" t="s">
        <v>185</v>
      </c>
      <c r="I21" s="522" t="s">
        <v>185</v>
      </c>
      <c r="J21" s="523" t="s">
        <v>185</v>
      </c>
      <c r="K21" s="7"/>
    </row>
    <row r="22" spans="1:11" ht="55.5" x14ac:dyDescent="0.25">
      <c r="A22" s="637"/>
      <c r="B22" s="637"/>
      <c r="C22" s="42" t="s">
        <v>8</v>
      </c>
      <c r="D22" s="524" t="s">
        <v>189</v>
      </c>
      <c r="E22" s="522" t="s">
        <v>189</v>
      </c>
      <c r="F22" s="522" t="s">
        <v>189</v>
      </c>
      <c r="G22" s="522" t="s">
        <v>189</v>
      </c>
      <c r="H22" s="522" t="s">
        <v>189</v>
      </c>
      <c r="I22" s="522" t="s">
        <v>189</v>
      </c>
      <c r="J22" s="523" t="s">
        <v>189</v>
      </c>
    </row>
    <row r="23" spans="1:11" ht="28.5" thickBot="1" x14ac:dyDescent="0.3">
      <c r="A23" s="637"/>
      <c r="B23" s="637"/>
      <c r="C23" s="43" t="s">
        <v>10</v>
      </c>
      <c r="D23" s="530"/>
      <c r="E23" s="531"/>
      <c r="F23" s="531"/>
      <c r="G23" s="531"/>
      <c r="H23" s="531"/>
      <c r="I23" s="531"/>
      <c r="J23" s="532"/>
    </row>
    <row r="24" spans="1:11" ht="138.75" x14ac:dyDescent="0.25">
      <c r="A24" s="637" t="s">
        <v>3</v>
      </c>
      <c r="B24" s="638">
        <f>B19+1</f>
        <v>46296</v>
      </c>
      <c r="C24" s="41" t="s">
        <v>5</v>
      </c>
      <c r="D24" s="524" t="s">
        <v>179</v>
      </c>
      <c r="E24" s="522" t="s">
        <v>196</v>
      </c>
      <c r="F24" s="522" t="s">
        <v>181</v>
      </c>
      <c r="G24" s="522" t="s">
        <v>187</v>
      </c>
      <c r="H24" s="522" t="s">
        <v>191</v>
      </c>
      <c r="I24" s="522" t="s">
        <v>183</v>
      </c>
      <c r="J24" s="523" t="s">
        <v>184</v>
      </c>
    </row>
    <row r="25" spans="1:11" ht="138.75" x14ac:dyDescent="0.25">
      <c r="A25" s="639"/>
      <c r="B25" s="637"/>
      <c r="C25" s="42" t="s">
        <v>6</v>
      </c>
      <c r="D25" s="529" t="s">
        <v>179</v>
      </c>
      <c r="E25" s="522" t="s">
        <v>180</v>
      </c>
      <c r="F25" s="522" t="s">
        <v>190</v>
      </c>
      <c r="G25" s="522" t="s">
        <v>196</v>
      </c>
      <c r="H25" s="522" t="s">
        <v>187</v>
      </c>
      <c r="I25" s="522" t="s">
        <v>183</v>
      </c>
      <c r="J25" s="523" t="s">
        <v>184</v>
      </c>
    </row>
    <row r="26" spans="1:11" ht="194.25" x14ac:dyDescent="0.25">
      <c r="A26" s="639"/>
      <c r="B26" s="637"/>
      <c r="C26" s="42" t="s">
        <v>7</v>
      </c>
      <c r="D26" s="524" t="s">
        <v>186</v>
      </c>
      <c r="E26" s="522"/>
      <c r="F26" s="522" t="s">
        <v>194</v>
      </c>
      <c r="G26" s="522" t="s">
        <v>190</v>
      </c>
      <c r="H26" s="522" t="s">
        <v>182</v>
      </c>
      <c r="I26" s="522"/>
      <c r="J26" s="523"/>
    </row>
    <row r="27" spans="1:11" ht="194.25" x14ac:dyDescent="0.25">
      <c r="A27" s="639"/>
      <c r="B27" s="637"/>
      <c r="C27" s="42" t="s">
        <v>8</v>
      </c>
      <c r="D27" s="524" t="s">
        <v>190</v>
      </c>
      <c r="E27" s="522"/>
      <c r="F27" s="522" t="s">
        <v>186</v>
      </c>
      <c r="G27" s="522"/>
      <c r="H27" s="522" t="s">
        <v>182</v>
      </c>
      <c r="I27" s="522"/>
      <c r="J27" s="523"/>
    </row>
    <row r="28" spans="1:11" ht="29.25" thickBot="1" x14ac:dyDescent="0.3">
      <c r="A28" s="639"/>
      <c r="B28" s="637"/>
      <c r="C28" s="43" t="s">
        <v>10</v>
      </c>
      <c r="D28" s="533"/>
      <c r="E28" s="534"/>
      <c r="F28" s="531"/>
      <c r="G28" s="531"/>
      <c r="H28" s="531"/>
      <c r="I28" s="531"/>
      <c r="J28" s="532"/>
    </row>
    <row r="29" spans="1:11" ht="83.25" x14ac:dyDescent="0.25">
      <c r="A29" s="637" t="s">
        <v>4</v>
      </c>
      <c r="B29" s="638">
        <f>B24+1</f>
        <v>46297</v>
      </c>
      <c r="C29" s="41" t="s">
        <v>5</v>
      </c>
      <c r="D29" s="524" t="s">
        <v>179</v>
      </c>
      <c r="E29" s="522"/>
      <c r="F29" s="522" t="s">
        <v>196</v>
      </c>
      <c r="G29" s="522"/>
      <c r="H29" s="522" t="s">
        <v>191</v>
      </c>
      <c r="I29" s="522"/>
      <c r="J29" s="523" t="s">
        <v>188</v>
      </c>
    </row>
    <row r="30" spans="1:11" ht="138.75" x14ac:dyDescent="0.25">
      <c r="A30" s="637"/>
      <c r="B30" s="637"/>
      <c r="C30" s="42" t="s">
        <v>6</v>
      </c>
      <c r="D30" s="529" t="s">
        <v>179</v>
      </c>
      <c r="E30" s="522" t="s">
        <v>180</v>
      </c>
      <c r="F30" s="522" t="s">
        <v>181</v>
      </c>
      <c r="G30" s="535" t="s">
        <v>194</v>
      </c>
      <c r="H30" s="237" t="s">
        <v>207</v>
      </c>
      <c r="I30" s="522"/>
      <c r="J30" s="523" t="s">
        <v>192</v>
      </c>
    </row>
    <row r="31" spans="1:11" ht="194.25" x14ac:dyDescent="0.25">
      <c r="A31" s="637"/>
      <c r="B31" s="637"/>
      <c r="C31" s="42" t="s">
        <v>7</v>
      </c>
      <c r="D31" s="524" t="s">
        <v>201</v>
      </c>
      <c r="E31" s="522" t="s">
        <v>180</v>
      </c>
      <c r="F31" s="522" t="s">
        <v>181</v>
      </c>
      <c r="G31" s="522" t="s">
        <v>199</v>
      </c>
      <c r="H31" s="522" t="s">
        <v>182</v>
      </c>
      <c r="I31" s="535" t="s">
        <v>188</v>
      </c>
      <c r="J31" s="523"/>
    </row>
    <row r="32" spans="1:11" ht="194.25" x14ac:dyDescent="0.25">
      <c r="A32" s="637"/>
      <c r="B32" s="637"/>
      <c r="C32" s="42" t="s">
        <v>8</v>
      </c>
      <c r="D32" s="524"/>
      <c r="E32" s="522"/>
      <c r="F32" s="522"/>
      <c r="G32" s="522" t="s">
        <v>199</v>
      </c>
      <c r="H32" s="522" t="s">
        <v>205</v>
      </c>
      <c r="I32" s="535" t="s">
        <v>192</v>
      </c>
      <c r="J32" s="536"/>
    </row>
    <row r="33" spans="1:10" ht="28.5" thickBot="1" x14ac:dyDescent="0.3">
      <c r="A33" s="637"/>
      <c r="B33" s="637"/>
      <c r="C33" s="43" t="s">
        <v>10</v>
      </c>
      <c r="D33" s="537"/>
      <c r="E33" s="538"/>
      <c r="F33" s="538"/>
      <c r="G33" s="538"/>
      <c r="H33" s="538"/>
      <c r="I33" s="538"/>
      <c r="J33" s="539"/>
    </row>
    <row r="34" spans="1:10" s="13" customFormat="1" ht="27.75" x14ac:dyDescent="0.25">
      <c r="A34" s="637" t="s">
        <v>12</v>
      </c>
      <c r="B34" s="638">
        <f>B29+1</f>
        <v>46298</v>
      </c>
      <c r="C34" s="41" t="s">
        <v>5</v>
      </c>
      <c r="D34" s="162"/>
      <c r="E34" s="163"/>
      <c r="F34" s="163"/>
      <c r="G34" s="163"/>
      <c r="H34" s="163"/>
      <c r="I34" s="163"/>
      <c r="J34" s="187"/>
    </row>
    <row r="35" spans="1:10" s="13" customFormat="1" ht="27.75" x14ac:dyDescent="0.25">
      <c r="A35" s="637"/>
      <c r="B35" s="637"/>
      <c r="C35" s="42" t="s">
        <v>6</v>
      </c>
      <c r="D35" s="29"/>
      <c r="E35" s="30"/>
      <c r="F35" s="30"/>
      <c r="G35" s="30"/>
      <c r="H35" s="30"/>
      <c r="I35" s="30"/>
      <c r="J35" s="148"/>
    </row>
    <row r="36" spans="1:10" s="13" customFormat="1" ht="26.25" x14ac:dyDescent="0.25">
      <c r="A36" s="637"/>
      <c r="B36" s="637"/>
      <c r="C36" s="42" t="s">
        <v>7</v>
      </c>
      <c r="D36" s="29"/>
      <c r="E36" s="30"/>
      <c r="F36" s="30"/>
      <c r="G36" s="30"/>
      <c r="H36" s="30"/>
      <c r="I36" s="30"/>
      <c r="J36" s="38"/>
    </row>
    <row r="37" spans="1:10" s="13" customFormat="1" ht="26.25" x14ac:dyDescent="0.25">
      <c r="A37" s="637"/>
      <c r="B37" s="637"/>
      <c r="C37" s="42" t="s">
        <v>8</v>
      </c>
      <c r="D37" s="29"/>
      <c r="E37" s="30"/>
      <c r="F37" s="30"/>
      <c r="G37" s="121"/>
      <c r="H37" s="30"/>
      <c r="I37" s="121"/>
      <c r="J37" s="38"/>
    </row>
    <row r="38" spans="1:10" s="13" customFormat="1" ht="27" thickBot="1" x14ac:dyDescent="0.3">
      <c r="A38" s="641"/>
      <c r="B38" s="641"/>
      <c r="C38" s="43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25">
      <c r="A39" s="6"/>
      <c r="B39" s="6"/>
      <c r="C39" s="6"/>
      <c r="D39" s="136" t="s">
        <v>51</v>
      </c>
      <c r="E39" s="13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Основы медицинских знаний и спортивная медицина*</v>
      </c>
      <c r="D40" s="62">
        <f>'21.09'!D40+COUNTIF(D$9:D$38,$C40)</f>
        <v>5</v>
      </c>
      <c r="E40" s="62">
        <f>'21.09'!E40+COUNTIF(E$9:E$38,$C40)</f>
        <v>5</v>
      </c>
      <c r="F40" s="62">
        <f>'21.09'!F40+COUNTIF(F$9:F$38,$C40)</f>
        <v>5</v>
      </c>
      <c r="G40" s="62">
        <f>'21.09'!G40+COUNTIF(G$9:G$38,$C40)</f>
        <v>5</v>
      </c>
      <c r="H40" s="62">
        <f>'21.09'!H40+COUNTIF(H$9:H$38,$C40)</f>
        <v>5</v>
      </c>
      <c r="I40" s="62">
        <f>'21.09'!I40+COUNTIF(I$9:I$38,$C40)</f>
        <v>5</v>
      </c>
      <c r="J40" s="62">
        <f>'21.09'!J40+COUNTIF(J$9:J$38,$C40)</f>
        <v>5</v>
      </c>
    </row>
    <row r="41" spans="1:10" s="13" customFormat="1" ht="26.25" x14ac:dyDescent="0.35">
      <c r="A41" s="6"/>
      <c r="B41" s="6"/>
      <c r="C41" s="26" t="str">
        <f>'01.09'!C41</f>
        <v>*Пр. Основы медицинских знаний и спортивная медицина*</v>
      </c>
      <c r="D41" s="62">
        <f>'21.09'!D41+COUNTIF(D$9:D$38,$C41)</f>
        <v>9</v>
      </c>
      <c r="E41" s="62">
        <f>'21.09'!E41+COUNTIF(E$9:E$38,$C41)</f>
        <v>9</v>
      </c>
      <c r="F41" s="62">
        <f>'21.09'!F41+COUNTIF(F$9:F$38,$C41)</f>
        <v>9</v>
      </c>
      <c r="G41" s="62">
        <f>'21.09'!G41+COUNTIF(G$9:G$38,$C41)</f>
        <v>5</v>
      </c>
      <c r="H41" s="62">
        <f>'21.09'!H41+COUNTIF(H$9:H$38,$C41)</f>
        <v>9</v>
      </c>
      <c r="I41" s="62">
        <f>'21.09'!I41+COUNTIF(I$9:I$38,$C41)</f>
        <v>9</v>
      </c>
      <c r="J41" s="62">
        <f>'21.09'!J41+COUNTIF(J$9:J$38,$C41)</f>
        <v>9</v>
      </c>
    </row>
    <row r="42" spans="1:10" ht="26.25" x14ac:dyDescent="0.35">
      <c r="A42" s="6"/>
      <c r="B42" s="6"/>
      <c r="C42" s="26" t="str">
        <f>'01.09'!C42</f>
        <v>*Л. Массаж*</v>
      </c>
      <c r="D42" s="62">
        <f>'21.09'!D42+COUNTIF(D$9:D$38,$C42)</f>
        <v>5</v>
      </c>
      <c r="E42" s="62">
        <f>'21.09'!E42+COUNTIF(E$9:E$38,$C42)</f>
        <v>5</v>
      </c>
      <c r="F42" s="62">
        <f>'21.09'!F42+COUNTIF(F$9:F$38,$C42)</f>
        <v>5</v>
      </c>
      <c r="G42" s="62">
        <f>'21.09'!G42+COUNTIF(G$9:G$38,$C42)</f>
        <v>5</v>
      </c>
      <c r="H42" s="62">
        <f>'21.09'!H42+COUNTIF(H$9:H$38,$C42)</f>
        <v>5</v>
      </c>
      <c r="I42" s="62">
        <f>'21.09'!I42+COUNTIF(I$9:I$38,$C42)</f>
        <v>5</v>
      </c>
      <c r="J42" s="62">
        <f>'21.09'!J42+COUNTIF(J$9:J$38,$C42)</f>
        <v>5</v>
      </c>
    </row>
    <row r="43" spans="1:10" s="13" customFormat="1" ht="26.25" x14ac:dyDescent="0.35">
      <c r="A43" s="6"/>
      <c r="B43" s="6"/>
      <c r="C43" s="26" t="str">
        <f>'01.09'!C43</f>
        <v>*Пр. Массаж*</v>
      </c>
      <c r="D43" s="62">
        <f>'21.09'!D43+COUNTIF(D$9:D$38,$C43)</f>
        <v>9</v>
      </c>
      <c r="E43" s="62">
        <f>'21.09'!E43+COUNTIF(E$9:E$38,$C43)</f>
        <v>8</v>
      </c>
      <c r="F43" s="62">
        <f>'21.09'!F43+COUNTIF(F$9:F$38,$C43)</f>
        <v>9</v>
      </c>
      <c r="G43" s="62">
        <f>'21.09'!G43+COUNTIF(G$9:G$38,$C43)</f>
        <v>9</v>
      </c>
      <c r="H43" s="62">
        <f>'21.09'!H43+COUNTIF(H$9:H$38,$C43)</f>
        <v>10</v>
      </c>
      <c r="I43" s="62">
        <f>'21.09'!I43+COUNTIF(I$9:I$38,$C43)</f>
        <v>9</v>
      </c>
      <c r="J43" s="62">
        <f>'21.09'!J43+COUNTIF(J$9:J$38,$C43)</f>
        <v>9</v>
      </c>
    </row>
    <row r="44" spans="1:10" ht="26.25" x14ac:dyDescent="0.35">
      <c r="A44" s="6"/>
      <c r="B44" s="6"/>
      <c r="C44" s="26" t="str">
        <f>'01.09'!C44</f>
        <v>*Л. Правовые основы профессиональной деятельности*</v>
      </c>
      <c r="D44" s="62">
        <f>'21.09'!D44+COUNTIF(D$9:D$38,$C44)</f>
        <v>5</v>
      </c>
      <c r="E44" s="62">
        <f>'21.09'!E44+COUNTIF(E$9:E$38,$C44)</f>
        <v>5</v>
      </c>
      <c r="F44" s="62">
        <f>'21.09'!F44+COUNTIF(F$9:F$38,$C44)</f>
        <v>5</v>
      </c>
      <c r="G44" s="62">
        <f>'21.09'!G44+COUNTIF(G$9:G$38,$C44)</f>
        <v>5</v>
      </c>
      <c r="H44" s="62">
        <f>'21.09'!H44+COUNTIF(H$9:H$38,$C44)</f>
        <v>5</v>
      </c>
      <c r="I44" s="62">
        <f>'21.09'!I44+COUNTIF(I$9:I$38,$C44)</f>
        <v>5</v>
      </c>
      <c r="J44" s="62">
        <f>'21.09'!J44+COUNTIF(J$9:J$38,$C44)</f>
        <v>5</v>
      </c>
    </row>
    <row r="45" spans="1:10" s="13" customFormat="1" ht="26.25" x14ac:dyDescent="0.35">
      <c r="A45" s="6"/>
      <c r="B45" s="6"/>
      <c r="C45" s="26" t="str">
        <f>'01.09'!C45</f>
        <v>*Пр. Правовые основы профессиональной деятельности*</v>
      </c>
      <c r="D45" s="62">
        <f>'21.09'!D45+COUNTIF(D$9:D$38,$C45)</f>
        <v>4</v>
      </c>
      <c r="E45" s="62">
        <f>'21.09'!E45+COUNTIF(E$9:E$38,$C45)</f>
        <v>5</v>
      </c>
      <c r="F45" s="62">
        <f>'21.09'!F45+COUNTIF(F$9:F$38,$C45)</f>
        <v>5</v>
      </c>
      <c r="G45" s="62">
        <f>'21.09'!G45+COUNTIF(G$9:G$38,$C45)</f>
        <v>5</v>
      </c>
      <c r="H45" s="62">
        <f>'21.09'!H45+COUNTIF(H$9:H$38,$C45)</f>
        <v>4</v>
      </c>
      <c r="I45" s="62">
        <f>'21.09'!I45+COUNTIF(I$9:I$38,$C45)</f>
        <v>4</v>
      </c>
      <c r="J45" s="62">
        <f>'21.09'!J45+COUNTIF(J$9:J$38,$C45)</f>
        <v>5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2">
        <f>'21.09'!D46+COUNTIF(D$9:D$38,$C46)</f>
        <v>3</v>
      </c>
      <c r="E46" s="62">
        <f>'21.09'!E46+COUNTIF(E$9:E$38,$C46)</f>
        <v>3</v>
      </c>
      <c r="F46" s="62">
        <f>'21.09'!F46+COUNTIF(F$9:F$38,$C46)</f>
        <v>3</v>
      </c>
      <c r="G46" s="62">
        <f>'21.09'!G46+COUNTIF(G$9:G$38,$C46)</f>
        <v>3</v>
      </c>
      <c r="H46" s="62">
        <f>'21.09'!H46+COUNTIF(H$9:H$38,$C46)</f>
        <v>3</v>
      </c>
      <c r="I46" s="62">
        <f>'21.09'!I46+COUNTIF(I$9:I$38,$C46)</f>
        <v>3</v>
      </c>
      <c r="J46" s="62">
        <f>'21.09'!J46+COUNTIF(J$9:J$38,$C46)</f>
        <v>3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2">
        <f>'21.09'!D47+COUNTIF(D$9:D$38,$C47)</f>
        <v>21</v>
      </c>
      <c r="E47" s="62">
        <f>'21.09'!E47+COUNTIF(E$9:E$38,$C47)</f>
        <v>21</v>
      </c>
      <c r="F47" s="62">
        <f>'21.09'!F47+COUNTIF(F$9:F$38,$C47)</f>
        <v>20</v>
      </c>
      <c r="G47" s="62">
        <f>'21.09'!G47+COUNTIF(G$9:G$38,$C47)</f>
        <v>22</v>
      </c>
      <c r="H47" s="62">
        <f>'21.09'!H47+COUNTIF(H$9:H$38,$C47)</f>
        <v>24</v>
      </c>
      <c r="I47" s="62">
        <f>'21.09'!I47+COUNTIF(I$9:I$38,$C47)</f>
        <v>24</v>
      </c>
      <c r="J47" s="62">
        <f>'21.09'!J47+COUNTIF(J$9:J$38,$C47)</f>
        <v>24</v>
      </c>
    </row>
    <row r="48" spans="1:10" ht="26.25" x14ac:dyDescent="0.35">
      <c r="A48" s="6"/>
      <c r="B48" s="6"/>
      <c r="C48" s="26" t="str">
        <f>'01.09'!C48</f>
        <v>*Л. Спортивная метрология*</v>
      </c>
      <c r="D48" s="62">
        <f>'21.09'!D48+COUNTIF(D$9:D$38,$C48)</f>
        <v>5</v>
      </c>
      <c r="E48" s="62">
        <f>'21.09'!E48+COUNTIF(E$9:E$38,$C48)</f>
        <v>5</v>
      </c>
      <c r="F48" s="62">
        <f>'21.09'!F48+COUNTIF(F$9:F$38,$C48)</f>
        <v>5</v>
      </c>
      <c r="G48" s="62">
        <f>'21.09'!G48+COUNTIF(G$9:G$38,$C48)</f>
        <v>5</v>
      </c>
      <c r="H48" s="62">
        <f>'21.09'!H48+COUNTIF(H$9:H$38,$C48)</f>
        <v>5</v>
      </c>
      <c r="I48" s="62">
        <f>'21.09'!I48+COUNTIF(I$9:I$38,$C48)</f>
        <v>5</v>
      </c>
      <c r="J48" s="62">
        <f>'21.09'!J48+COUNTIF(J$9:J$38,$C48)</f>
        <v>5</v>
      </c>
    </row>
    <row r="49" spans="1:10" s="13" customFormat="1" ht="26.25" x14ac:dyDescent="0.35">
      <c r="A49" s="6"/>
      <c r="B49" s="6"/>
      <c r="C49" s="26" t="str">
        <f>'01.09'!C49</f>
        <v>*Пр. Спортивная метрология*</v>
      </c>
      <c r="D49" s="62">
        <f>'21.09'!D49+COUNTIF(D$9:D$38,$C49)</f>
        <v>5</v>
      </c>
      <c r="E49" s="62">
        <f>'21.09'!E49+COUNTIF(E$9:E$38,$C49)</f>
        <v>5</v>
      </c>
      <c r="F49" s="62">
        <f>'21.09'!F49+COUNTIF(F$9:F$38,$C49)</f>
        <v>5</v>
      </c>
      <c r="G49" s="62">
        <f>'21.09'!G49+COUNTIF(G$9:G$38,$C49)</f>
        <v>5</v>
      </c>
      <c r="H49" s="62">
        <f>'21.09'!H49+COUNTIF(H$9:H$38,$C49)</f>
        <v>5</v>
      </c>
      <c r="I49" s="62">
        <f>'21.09'!I49+COUNTIF(I$9:I$38,$C49)</f>
        <v>4</v>
      </c>
      <c r="J49" s="62">
        <f>'21.09'!J49+COUNTIF(J$9:J$38,$C49)</f>
        <v>4</v>
      </c>
    </row>
    <row r="50" spans="1:10" ht="26.25" x14ac:dyDescent="0.35">
      <c r="A50" s="6"/>
      <c r="B50" s="6"/>
      <c r="C50" s="26" t="str">
        <f>'01.09'!C50</f>
        <v>*Л.  Теория и методика циклических и сложнокоординационных*</v>
      </c>
      <c r="D50" s="62">
        <f>'21.09'!D50+COUNTIF(D$9:D$38,$C50)</f>
        <v>0</v>
      </c>
      <c r="E50" s="62">
        <f>'21.09'!E50+COUNTIF(E$9:E$38,$C50)</f>
        <v>0</v>
      </c>
      <c r="F50" s="62">
        <f>'21.09'!F50+COUNTIF(F$9:F$38,$C50)</f>
        <v>0</v>
      </c>
      <c r="G50" s="62">
        <f>'21.09'!G50+COUNTIF(G$9:G$38,$C50)</f>
        <v>0</v>
      </c>
      <c r="H50" s="62">
        <f>'21.09'!H50+COUNTIF(H$9:H$38,$C50)</f>
        <v>4</v>
      </c>
      <c r="I50" s="62">
        <f>'21.09'!I50+COUNTIF(I$9:I$38,$C50)</f>
        <v>0</v>
      </c>
      <c r="J50" s="62">
        <f>'21.09'!J50+COUNTIF(J$9:J$38,$C50)</f>
        <v>0</v>
      </c>
    </row>
    <row r="51" spans="1:10" s="13" customFormat="1" ht="26.25" x14ac:dyDescent="0.35">
      <c r="A51" s="6"/>
      <c r="B51" s="6"/>
      <c r="C51" s="26" t="str">
        <f>'01.09'!C51</f>
        <v>*Пр.  Теория и методика циклических и сложнокоординационных*</v>
      </c>
      <c r="D51" s="62">
        <f>'21.09'!D51+COUNTIF(D$9:D$38,$C51)</f>
        <v>0</v>
      </c>
      <c r="E51" s="62">
        <f>'21.09'!E51+COUNTIF(E$9:E$38,$C51)</f>
        <v>0</v>
      </c>
      <c r="F51" s="62">
        <f>'21.09'!F51+COUNTIF(F$9:F$38,$C51)</f>
        <v>0</v>
      </c>
      <c r="G51" s="62">
        <f>'21.09'!G51+COUNTIF(G$9:G$38,$C51)</f>
        <v>0</v>
      </c>
      <c r="H51" s="62">
        <f>'21.09'!H51+COUNTIF(H$9:H$38,$C51)</f>
        <v>27</v>
      </c>
      <c r="I51" s="62">
        <f>'21.09'!I51+COUNTIF(I$9:I$38,$C51)</f>
        <v>0</v>
      </c>
      <c r="J51" s="62">
        <f>'21.09'!J51+COUNTIF(J$9:J$38,$C51)</f>
        <v>0</v>
      </c>
    </row>
    <row r="52" spans="1:10" ht="26.25" x14ac:dyDescent="0.35">
      <c r="A52" s="6"/>
      <c r="B52" s="6"/>
      <c r="C52" s="26">
        <f>'01.09'!C52</f>
        <v>0</v>
      </c>
      <c r="D52" s="62">
        <f>'21.09'!D52+COUNTIF(D$9:D$38,$C52)</f>
        <v>0</v>
      </c>
      <c r="E52" s="62">
        <f>'21.09'!E52+COUNTIF(E$9:E$38,$C52)</f>
        <v>0</v>
      </c>
      <c r="F52" s="62">
        <f>'21.09'!F52+COUNTIF(F$9:F$38,$C52)</f>
        <v>0</v>
      </c>
      <c r="G52" s="62">
        <f>'21.09'!G52+COUNTIF(G$9:G$38,$C52)</f>
        <v>0</v>
      </c>
      <c r="H52" s="62">
        <f>'21.09'!H52+COUNTIF(H$9:H$38,$C52)</f>
        <v>0</v>
      </c>
      <c r="I52" s="62">
        <f>'21.09'!I52+COUNTIF(I$9:I$38,$C52)</f>
        <v>0</v>
      </c>
      <c r="J52" s="62">
        <f>'21.09'!J52+COUNTIF(J$9:J$38,$C52)</f>
        <v>0</v>
      </c>
    </row>
    <row r="53" spans="1:10" s="13" customFormat="1" ht="26.25" x14ac:dyDescent="0.35">
      <c r="A53" s="6"/>
      <c r="B53" s="6"/>
      <c r="C53" s="26">
        <f>'01.09'!C53</f>
        <v>0</v>
      </c>
      <c r="D53" s="62">
        <f>'21.09'!D53+COUNTIF(D$9:D$38,$C53)</f>
        <v>0</v>
      </c>
      <c r="E53" s="62">
        <f>'21.09'!E53+COUNTIF(E$9:E$38,$C53)</f>
        <v>0</v>
      </c>
      <c r="F53" s="62">
        <f>'21.09'!F53+COUNTIF(F$9:F$38,$C53)</f>
        <v>0</v>
      </c>
      <c r="G53" s="62">
        <f>'21.09'!G53+COUNTIF(G$9:G$38,$C53)</f>
        <v>0</v>
      </c>
      <c r="H53" s="62">
        <f>'21.09'!H53+COUNTIF(H$9:H$38,$C53)</f>
        <v>0</v>
      </c>
      <c r="I53" s="62">
        <f>'21.09'!I53+COUNTIF(I$9:I$38,$C53)</f>
        <v>0</v>
      </c>
      <c r="J53" s="62">
        <f>'21.09'!J53+COUNTIF(J$9:J$38,$C53)</f>
        <v>0</v>
      </c>
    </row>
    <row r="54" spans="1:10" ht="26.25" x14ac:dyDescent="0.35">
      <c r="C54" s="26">
        <f>'01.09'!C54</f>
        <v>0</v>
      </c>
      <c r="D54" s="62">
        <f>'21.09'!D54+COUNTIF(D$9:D$38,$C54)</f>
        <v>0</v>
      </c>
      <c r="E54" s="62">
        <f>'21.09'!E54+COUNTIF(E$9:E$38,$C54)</f>
        <v>0</v>
      </c>
      <c r="F54" s="62">
        <f>'21.09'!F54+COUNTIF(F$9:F$38,$C54)</f>
        <v>0</v>
      </c>
      <c r="G54" s="62">
        <f>'21.09'!G54+COUNTIF(G$9:G$38,$C54)</f>
        <v>0</v>
      </c>
      <c r="H54" s="62">
        <f>'21.09'!H54+COUNTIF(H$9:H$38,$C54)</f>
        <v>0</v>
      </c>
      <c r="I54" s="62">
        <f>'21.09'!I54+COUNTIF(I$9:I$38,$C54)</f>
        <v>0</v>
      </c>
      <c r="J54" s="62">
        <f>'21.09'!J54+COUNTIF(J$9:J$38,$C54)</f>
        <v>0</v>
      </c>
    </row>
    <row r="55" spans="1:10" s="13" customFormat="1" ht="26.25" x14ac:dyDescent="0.35">
      <c r="C55" s="26">
        <f>'01.09'!C55</f>
        <v>0</v>
      </c>
      <c r="D55" s="62">
        <f>'21.09'!D55+COUNTIF(D$9:D$38,$C55)</f>
        <v>0</v>
      </c>
      <c r="E55" s="62">
        <f>'21.09'!E55+COUNTIF(E$9:E$38,$C55)</f>
        <v>0</v>
      </c>
      <c r="F55" s="62">
        <f>'21.09'!F55+COUNTIF(F$9:F$38,$C55)</f>
        <v>0</v>
      </c>
      <c r="G55" s="62">
        <f>'21.09'!G55+COUNTIF(G$9:G$38,$C55)</f>
        <v>0</v>
      </c>
      <c r="H55" s="62">
        <f>'21.09'!H55+COUNTIF(H$9:H$38,$C55)</f>
        <v>0</v>
      </c>
      <c r="I55" s="62">
        <f>'21.09'!I55+COUNTIF(I$9:I$38,$C55)</f>
        <v>0</v>
      </c>
      <c r="J55" s="62">
        <f>'21.09'!J55+COUNTIF(J$9:J$38,$C55)</f>
        <v>0</v>
      </c>
    </row>
    <row r="56" spans="1:10" ht="26.25" x14ac:dyDescent="0.35">
      <c r="C56" s="26">
        <f>'01.09'!C56</f>
        <v>0</v>
      </c>
      <c r="D56" s="62">
        <f>'21.09'!D56+COUNTIF(D$9:D$38,$C56)</f>
        <v>0</v>
      </c>
      <c r="E56" s="62">
        <f>'21.09'!E56+COUNTIF(E$9:E$38,$C56)</f>
        <v>0</v>
      </c>
      <c r="F56" s="62">
        <f>'21.09'!F56+COUNTIF(F$9:F$38,$C56)</f>
        <v>0</v>
      </c>
      <c r="G56" s="62">
        <f>'21.09'!G56+COUNTIF(G$9:G$38,$C56)</f>
        <v>0</v>
      </c>
      <c r="H56" s="62">
        <f>'21.09'!H56+COUNTIF(H$9:H$38,$C56)</f>
        <v>0</v>
      </c>
      <c r="I56" s="62">
        <f>'21.09'!I56+COUNTIF(I$9:I$38,$C56)</f>
        <v>0</v>
      </c>
      <c r="J56" s="62">
        <f>'21.09'!J56+COUNTIF(J$9:J$38,$C56)</f>
        <v>0</v>
      </c>
    </row>
    <row r="57" spans="1:10" s="13" customFormat="1" ht="26.25" x14ac:dyDescent="0.35">
      <c r="C57" s="26">
        <f>'01.09'!C57</f>
        <v>0</v>
      </c>
      <c r="D57" s="62">
        <f>'21.09'!D57+COUNTIF(D$9:D$38,$C57)</f>
        <v>0</v>
      </c>
      <c r="E57" s="62">
        <f>'21.09'!E57+COUNTIF(E$9:E$38,$C57)</f>
        <v>0</v>
      </c>
      <c r="F57" s="62">
        <f>'21.09'!F57+COUNTIF(F$9:F$38,$C57)</f>
        <v>0</v>
      </c>
      <c r="G57" s="62">
        <f>'21.09'!G57+COUNTIF(G$9:G$38,$C57)</f>
        <v>0</v>
      </c>
      <c r="H57" s="62">
        <f>'21.09'!H57+COUNTIF(H$9:H$38,$C57)</f>
        <v>0</v>
      </c>
      <c r="I57" s="62">
        <f>'21.09'!I57+COUNTIF(I$9:I$38,$C57)</f>
        <v>0</v>
      </c>
      <c r="J57" s="62">
        <f>'21.09'!J57+COUNTIF(J$9:J$38,$C57)</f>
        <v>0</v>
      </c>
    </row>
    <row r="58" spans="1:10" ht="26.25" x14ac:dyDescent="0.35">
      <c r="C58" s="26">
        <f>'01.09'!C58</f>
        <v>0</v>
      </c>
      <c r="D58" s="62">
        <f>'21.09'!D58+COUNTIF(D$9:D$38,$C58)</f>
        <v>0</v>
      </c>
      <c r="E58" s="62">
        <f>'21.09'!E58+COUNTIF(E$9:E$38,$C58)</f>
        <v>0</v>
      </c>
      <c r="F58" s="62">
        <f>'21.09'!F58+COUNTIF(F$9:F$38,$C58)</f>
        <v>0</v>
      </c>
      <c r="G58" s="62">
        <f>'21.09'!G58+COUNTIF(G$9:G$38,$C58)</f>
        <v>0</v>
      </c>
      <c r="H58" s="62">
        <f>'21.09'!H58+COUNTIF(H$9:H$38,$C58)</f>
        <v>0</v>
      </c>
      <c r="I58" s="62">
        <f>'21.09'!I58+COUNTIF(I$9:I$38,$C58)</f>
        <v>0</v>
      </c>
      <c r="J58" s="62">
        <f>'21.09'!J58+COUNTIF(J$9:J$38,$C58)</f>
        <v>0</v>
      </c>
    </row>
    <row r="59" spans="1:10" s="13" customFormat="1" ht="26.25" x14ac:dyDescent="0.35">
      <c r="C59" s="26">
        <f>'01.09'!C59</f>
        <v>0</v>
      </c>
      <c r="D59" s="62">
        <f>'21.09'!D59+COUNTIF(D$9:D$38,$C59)</f>
        <v>0</v>
      </c>
      <c r="E59" s="62">
        <f>'21.09'!E59+COUNTIF(E$9:E$38,$C59)</f>
        <v>0</v>
      </c>
      <c r="F59" s="62">
        <f>'21.09'!F59+COUNTIF(F$9:F$38,$C59)</f>
        <v>0</v>
      </c>
      <c r="G59" s="62">
        <f>'21.09'!G59+COUNTIF(G$9:G$38,$C59)</f>
        <v>0</v>
      </c>
      <c r="H59" s="62">
        <f>'21.09'!H59+COUNTIF(H$9:H$38,$C59)</f>
        <v>0</v>
      </c>
      <c r="I59" s="62">
        <f>'21.09'!I59+COUNTIF(I$9:I$38,$C59)</f>
        <v>0</v>
      </c>
      <c r="J59" s="62">
        <f>'21.09'!J59+COUNTIF(J$9:J$38,$C59)</f>
        <v>0</v>
      </c>
    </row>
    <row r="60" spans="1:10" ht="26.25" x14ac:dyDescent="0.35">
      <c r="C60" s="26">
        <f>'01.09'!C60</f>
        <v>0</v>
      </c>
      <c r="D60" s="62">
        <f>'21.09'!D60+COUNTIF(D$9:D$38,$C60)</f>
        <v>0</v>
      </c>
      <c r="E60" s="62">
        <f>'21.09'!E60+COUNTIF(E$9:E$38,$C60)</f>
        <v>0</v>
      </c>
      <c r="F60" s="62">
        <f>'21.09'!F60+COUNTIF(F$9:F$38,$C60)</f>
        <v>0</v>
      </c>
      <c r="G60" s="62">
        <f>'21.09'!G60+COUNTIF(G$9:G$38,$C60)</f>
        <v>0</v>
      </c>
      <c r="H60" s="62">
        <f>'21.09'!H60+COUNTIF(H$9:H$38,$C60)</f>
        <v>0</v>
      </c>
      <c r="I60" s="62">
        <f>'21.09'!I60+COUNTIF(I$9:I$38,$C60)</f>
        <v>0</v>
      </c>
      <c r="J60" s="62">
        <f>'21.09'!J60+COUNTIF(J$9:J$38,$C60)</f>
        <v>0</v>
      </c>
    </row>
    <row r="61" spans="1:10" ht="26.25" x14ac:dyDescent="0.35">
      <c r="C61" s="26">
        <f>'01.09'!C61</f>
        <v>0</v>
      </c>
      <c r="D61" s="62">
        <f>'21.09'!D61+COUNTIF(D$9:D$38,$C61)</f>
        <v>0</v>
      </c>
      <c r="E61" s="62">
        <f>'21.09'!E61+COUNTIF(E$9:E$38,$C61)</f>
        <v>0</v>
      </c>
      <c r="F61" s="62">
        <f>'21.09'!F61+COUNTIF(F$9:F$38,$C61)</f>
        <v>0</v>
      </c>
      <c r="G61" s="62">
        <f>'21.09'!G61+COUNTIF(G$9:G$38,$C61)</f>
        <v>0</v>
      </c>
      <c r="H61" s="62">
        <f>'21.09'!H61+COUNTIF(H$9:H$38,$C61)</f>
        <v>0</v>
      </c>
      <c r="I61" s="62">
        <f>'21.09'!I61+COUNTIF(I$9:I$38,$C61)</f>
        <v>0</v>
      </c>
      <c r="J61" s="62">
        <f>'21.09'!J61+COUNTIF(J$9:J$38,$C61)</f>
        <v>0</v>
      </c>
    </row>
    <row r="62" spans="1:10" ht="26.25" x14ac:dyDescent="0.35">
      <c r="C62" s="26">
        <f>'01.09'!C62</f>
        <v>0</v>
      </c>
      <c r="D62" s="62">
        <f>'21.09'!D62+COUNTIF(D$9:D$38,$C62)</f>
        <v>0</v>
      </c>
      <c r="E62" s="62">
        <f>'21.09'!E62+COUNTIF(E$9:E$38,$C62)</f>
        <v>0</v>
      </c>
      <c r="F62" s="62">
        <f>'21.09'!F62+COUNTIF(F$9:F$38,$C62)</f>
        <v>0</v>
      </c>
      <c r="G62" s="62">
        <f>'21.09'!G62+COUNTIF(G$9:G$38,$C62)</f>
        <v>0</v>
      </c>
      <c r="H62" s="62">
        <f>'21.09'!H62+COUNTIF(H$9:H$38,$C62)</f>
        <v>0</v>
      </c>
      <c r="I62" s="62">
        <f>'21.09'!I62+COUNTIF(I$9:I$38,$C62)</f>
        <v>0</v>
      </c>
      <c r="J62" s="62">
        <f>'21.09'!J62+COUNTIF(J$9:J$38,$C62)</f>
        <v>0</v>
      </c>
    </row>
    <row r="63" spans="1:10" ht="26.25" x14ac:dyDescent="0.35">
      <c r="C63" s="26">
        <f>'01.09'!C63</f>
        <v>0</v>
      </c>
      <c r="D63" s="62">
        <f>'21.09'!D63+COUNTIF(D$9:D$38,$C63)</f>
        <v>0</v>
      </c>
      <c r="E63" s="62">
        <f>'21.09'!E63+COUNTIF(E$9:E$38,$C63)</f>
        <v>0</v>
      </c>
      <c r="F63" s="62">
        <f>'21.09'!F63+COUNTIF(F$9:F$38,$C63)</f>
        <v>0</v>
      </c>
      <c r="G63" s="62">
        <f>'21.09'!G63+COUNTIF(G$9:G$38,$C63)</f>
        <v>0</v>
      </c>
      <c r="H63" s="62">
        <f>'21.09'!H63+COUNTIF(H$9:H$38,$C63)</f>
        <v>0</v>
      </c>
      <c r="I63" s="62">
        <f>'21.09'!I63+COUNTIF(I$9:I$38,$C63)</f>
        <v>0</v>
      </c>
      <c r="J63" s="62">
        <f>'21.09'!J63+COUNTIF(J$9:J$38,$C63)</f>
        <v>0</v>
      </c>
    </row>
    <row r="64" spans="1:10" ht="26.25" x14ac:dyDescent="0.35">
      <c r="C64" s="26">
        <f>'01.09'!C64</f>
        <v>0</v>
      </c>
      <c r="D64" s="62">
        <f>'21.09'!D64+COUNTIF(D$9:D$38,$C64)</f>
        <v>0</v>
      </c>
      <c r="E64" s="62">
        <f>'21.09'!E64+COUNTIF(E$9:E$38,$C64)</f>
        <v>0</v>
      </c>
      <c r="F64" s="62">
        <f>'21.09'!F64+COUNTIF(F$9:F$38,$C64)</f>
        <v>0</v>
      </c>
      <c r="G64" s="62">
        <f>'21.09'!G64+COUNTIF(G$9:G$38,$C64)</f>
        <v>0</v>
      </c>
      <c r="H64" s="62">
        <f>'21.09'!H64+COUNTIF(H$9:H$38,$C64)</f>
        <v>0</v>
      </c>
      <c r="I64" s="62">
        <f>'21.09'!I64+COUNTIF(I$9:I$38,$C64)</f>
        <v>0</v>
      </c>
      <c r="J64" s="62">
        <f>'21.09'!J64+COUNTIF(J$9:J$38,$C64)</f>
        <v>0</v>
      </c>
    </row>
    <row r="65" spans="3:10" ht="26.25" x14ac:dyDescent="0.35">
      <c r="C65" s="26">
        <f>'01.09'!C65</f>
        <v>0</v>
      </c>
      <c r="D65" s="62">
        <f>'21.09'!D65+COUNTIF(D$9:D$38,$C65)</f>
        <v>0</v>
      </c>
      <c r="E65" s="62">
        <f>'21.09'!E65+COUNTIF(E$9:E$38,$C65)</f>
        <v>0</v>
      </c>
      <c r="F65" s="62">
        <f>'21.09'!F65+COUNTIF(F$9:F$38,$C65)</f>
        <v>0</v>
      </c>
      <c r="G65" s="62">
        <f>'21.09'!G65+COUNTIF(G$9:G$38,$C65)</f>
        <v>0</v>
      </c>
      <c r="H65" s="62">
        <f>'21.09'!H65+COUNTIF(H$9:H$38,$C65)</f>
        <v>0</v>
      </c>
      <c r="I65" s="62">
        <f>'21.09'!I65+COUNTIF(I$9:I$38,$C65)</f>
        <v>0</v>
      </c>
      <c r="J65" s="62">
        <f>'21.09'!J65+COUNTIF(J$9:J$38,$C65)</f>
        <v>0</v>
      </c>
    </row>
    <row r="66" spans="3:10" ht="26.25" x14ac:dyDescent="0.35">
      <c r="C66" s="26">
        <f>'01.09'!C66</f>
        <v>0</v>
      </c>
      <c r="D66" s="62">
        <f>'21.09'!D66+COUNTIF(D$9:D$38,$C66)</f>
        <v>0</v>
      </c>
      <c r="E66" s="62">
        <f>'21.09'!E66+COUNTIF(E$9:E$38,$C66)</f>
        <v>0</v>
      </c>
      <c r="F66" s="62">
        <f>'21.09'!F66+COUNTIF(F$9:F$38,$C66)</f>
        <v>0</v>
      </c>
      <c r="G66" s="62">
        <f>'21.09'!G66+COUNTIF(G$9:G$38,$C66)</f>
        <v>0</v>
      </c>
      <c r="H66" s="62">
        <f>'21.09'!H66+COUNTIF(H$9:H$38,$C66)</f>
        <v>0</v>
      </c>
      <c r="I66" s="62">
        <f>'21.09'!I66+COUNTIF(I$9:I$38,$C66)</f>
        <v>0</v>
      </c>
      <c r="J66" s="62">
        <f>'21.09'!J66+COUNTIF(J$9:J$38,$C66)</f>
        <v>0</v>
      </c>
    </row>
    <row r="67" spans="3:10" ht="26.25" x14ac:dyDescent="0.3">
      <c r="C67" s="22">
        <f>'01.09'!C67</f>
        <v>0</v>
      </c>
      <c r="D67" s="62">
        <f>'21.09'!D67+COUNTIF(D$9:D$38,$C67)</f>
        <v>0</v>
      </c>
      <c r="E67" s="62">
        <f>'21.09'!E67+COUNTIF(E$9:E$38,$C67)</f>
        <v>0</v>
      </c>
      <c r="F67" s="62">
        <f>'21.09'!F67+COUNTIF(F$9:F$38,$C67)</f>
        <v>0</v>
      </c>
      <c r="G67" s="62">
        <f>'21.09'!G67+COUNTIF(G$9:G$38,$C67)</f>
        <v>0</v>
      </c>
      <c r="H67" s="62">
        <f>'21.09'!H67+COUNTIF(H$9:H$38,$C67)</f>
        <v>0</v>
      </c>
      <c r="I67" s="62">
        <f>'21.09'!I67+COUNTIF(I$9:I$38,$C67)</f>
        <v>0</v>
      </c>
      <c r="J67" s="62">
        <f>'21.09'!J67+COUNTIF(J$9:J$38,$C67)</f>
        <v>0</v>
      </c>
    </row>
    <row r="68" spans="3:10" ht="26.25" x14ac:dyDescent="0.3">
      <c r="C68" s="22">
        <f>'01.09'!C68</f>
        <v>0</v>
      </c>
      <c r="D68" s="62">
        <f>'21.09'!D68+COUNTIF(D$9:D$38,$C68)</f>
        <v>0</v>
      </c>
      <c r="E68" s="62">
        <f>'21.09'!E68+COUNTIF(E$9:E$38,$C68)</f>
        <v>0</v>
      </c>
      <c r="F68" s="62">
        <f>'21.09'!F68+COUNTIF(F$9:F$38,$C68)</f>
        <v>0</v>
      </c>
      <c r="G68" s="62">
        <f>'21.09'!G68+COUNTIF(G$9:G$38,$C68)</f>
        <v>0</v>
      </c>
      <c r="H68" s="62">
        <f>'21.09'!H68+COUNTIF(H$9:H$38,$C68)</f>
        <v>0</v>
      </c>
      <c r="I68" s="62">
        <f>'21.09'!I68+COUNTIF(I$9:I$38,$C68)</f>
        <v>0</v>
      </c>
      <c r="J68" s="62">
        <f>'21.09'!J68+COUNTIF(J$9:J$38,$C68)</f>
        <v>0</v>
      </c>
    </row>
    <row r="69" spans="3:10" ht="26.25" x14ac:dyDescent="0.3">
      <c r="C69" s="22">
        <f>'01.09'!C69</f>
        <v>0</v>
      </c>
      <c r="D69" s="62">
        <f>'21.09'!D69+COUNTIF(D$9:D$38,$C69)</f>
        <v>0</v>
      </c>
      <c r="E69" s="62">
        <f>'21.09'!E69+COUNTIF(E$9:E$38,$C69)</f>
        <v>0</v>
      </c>
      <c r="F69" s="62">
        <f>'21.09'!F69+COUNTIF(F$9:F$38,$C69)</f>
        <v>0</v>
      </c>
      <c r="G69" s="62">
        <f>'21.09'!G69+COUNTIF(G$9:G$38,$C69)</f>
        <v>0</v>
      </c>
      <c r="H69" s="62">
        <f>'21.09'!H69+COUNTIF(H$9:H$38,$C69)</f>
        <v>0</v>
      </c>
      <c r="I69" s="62">
        <f>'21.09'!I69+COUNTIF(I$9:I$38,$C69)</f>
        <v>0</v>
      </c>
      <c r="J69" s="62">
        <f>'21.09'!J69+COUNTIF(J$9:J$38,$C69)</f>
        <v>0</v>
      </c>
    </row>
  </sheetData>
  <mergeCells count="20">
    <mergeCell ref="A7:A8"/>
    <mergeCell ref="C7:C8"/>
    <mergeCell ref="B7:B8"/>
    <mergeCell ref="B1:J1"/>
    <mergeCell ref="B2:J2"/>
    <mergeCell ref="A3:J3"/>
    <mergeCell ref="B4:J4"/>
    <mergeCell ref="B5:J5"/>
    <mergeCell ref="A19:A23"/>
    <mergeCell ref="B9:B13"/>
    <mergeCell ref="B34:B38"/>
    <mergeCell ref="A34:A38"/>
    <mergeCell ref="A24:A28"/>
    <mergeCell ref="A29:A33"/>
    <mergeCell ref="B19:B23"/>
    <mergeCell ref="B24:B28"/>
    <mergeCell ref="B29:B33"/>
    <mergeCell ref="B14:B18"/>
    <mergeCell ref="A9:A13"/>
    <mergeCell ref="A14:A18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J66"/>
  <sheetViews>
    <sheetView view="pageBreakPreview" topLeftCell="A10" zoomScale="39" zoomScaleNormal="40" zoomScaleSheetLayoutView="39" zoomScalePageLayoutView="40" workbookViewId="0">
      <selection activeCell="E16" sqref="E16"/>
    </sheetView>
  </sheetViews>
  <sheetFormatPr defaultColWidth="9.140625" defaultRowHeight="15" x14ac:dyDescent="0.25"/>
  <cols>
    <col min="1" max="2" width="4.42578125" style="5" customWidth="1"/>
    <col min="3" max="3" width="24.5703125" style="5" customWidth="1"/>
    <col min="4" max="4" width="52" style="5" customWidth="1"/>
    <col min="5" max="5" width="53.85546875" style="5" customWidth="1"/>
    <col min="6" max="6" width="50.42578125" style="5" customWidth="1"/>
    <col min="7" max="7" width="57.28515625" style="13" customWidth="1"/>
    <col min="8" max="8" width="62.7109375" style="5" customWidth="1"/>
    <col min="9" max="9" width="61.7109375" style="5" customWidth="1"/>
    <col min="10" max="10" width="62.42578125" style="5" customWidth="1"/>
    <col min="11" max="16384" width="9.140625" style="5"/>
  </cols>
  <sheetData>
    <row r="1" spans="1:10" ht="27" customHeight="1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27" customHeight="1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30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26.25" customHeight="1" thickBot="1" x14ac:dyDescent="0.3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8.2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23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298" t="s">
        <v>83</v>
      </c>
      <c r="J8" s="179" t="s">
        <v>82</v>
      </c>
    </row>
    <row r="9" spans="1:10" ht="194.25" x14ac:dyDescent="0.25">
      <c r="A9" s="642" t="s">
        <v>0</v>
      </c>
      <c r="B9" s="640">
        <v>46300</v>
      </c>
      <c r="C9" s="219" t="s">
        <v>5</v>
      </c>
      <c r="D9" s="516"/>
      <c r="E9" s="517" t="s">
        <v>190</v>
      </c>
      <c r="F9" s="517"/>
      <c r="G9" s="517"/>
      <c r="H9" s="517" t="s">
        <v>188</v>
      </c>
      <c r="I9" s="518" t="s">
        <v>183</v>
      </c>
      <c r="J9" s="519" t="s">
        <v>184</v>
      </c>
    </row>
    <row r="10" spans="1:10" ht="194.25" x14ac:dyDescent="0.25">
      <c r="A10" s="637"/>
      <c r="B10" s="637"/>
      <c r="C10" s="220" t="s">
        <v>6</v>
      </c>
      <c r="D10" s="520"/>
      <c r="E10" s="521" t="s">
        <v>188</v>
      </c>
      <c r="F10" s="522" t="s">
        <v>181</v>
      </c>
      <c r="G10" s="521" t="s">
        <v>190</v>
      </c>
      <c r="H10" s="521" t="s">
        <v>203</v>
      </c>
      <c r="I10" s="522" t="s">
        <v>183</v>
      </c>
      <c r="J10" s="523" t="s">
        <v>184</v>
      </c>
    </row>
    <row r="11" spans="1:10" ht="111" x14ac:dyDescent="0.25">
      <c r="A11" s="637"/>
      <c r="B11" s="637"/>
      <c r="C11" s="220" t="s">
        <v>7</v>
      </c>
      <c r="D11" s="524" t="s">
        <v>202</v>
      </c>
      <c r="E11" s="522" t="s">
        <v>203</v>
      </c>
      <c r="F11" s="522" t="s">
        <v>181</v>
      </c>
      <c r="G11" s="522" t="s">
        <v>199</v>
      </c>
      <c r="H11" s="522"/>
      <c r="I11" s="522" t="s">
        <v>192</v>
      </c>
      <c r="J11" s="523" t="s">
        <v>196</v>
      </c>
    </row>
    <row r="12" spans="1:10" ht="111" x14ac:dyDescent="0.25">
      <c r="A12" s="637"/>
      <c r="B12" s="637"/>
      <c r="C12" s="220" t="s">
        <v>8</v>
      </c>
      <c r="D12" s="524" t="s">
        <v>203</v>
      </c>
      <c r="E12" s="522"/>
      <c r="F12" s="522"/>
      <c r="G12" s="522" t="s">
        <v>199</v>
      </c>
      <c r="H12" s="522"/>
      <c r="I12" s="237" t="s">
        <v>207</v>
      </c>
      <c r="J12" s="523" t="s">
        <v>192</v>
      </c>
    </row>
    <row r="13" spans="1:10" ht="28.5" thickBot="1" x14ac:dyDescent="0.3">
      <c r="A13" s="637"/>
      <c r="B13" s="637"/>
      <c r="C13" s="221" t="s">
        <v>10</v>
      </c>
      <c r="D13" s="525"/>
      <c r="E13" s="526"/>
      <c r="F13" s="526"/>
      <c r="G13" s="526"/>
      <c r="H13" s="526"/>
      <c r="I13" s="526"/>
      <c r="J13" s="527"/>
    </row>
    <row r="14" spans="1:10" ht="26.25" customHeight="1" x14ac:dyDescent="0.25">
      <c r="A14" s="637" t="s">
        <v>1</v>
      </c>
      <c r="B14" s="638">
        <f>B9+1</f>
        <v>46301</v>
      </c>
      <c r="C14" s="219" t="s">
        <v>5</v>
      </c>
      <c r="D14" s="528"/>
      <c r="E14" s="518"/>
      <c r="F14" s="518"/>
      <c r="G14" s="518"/>
      <c r="H14" s="518"/>
      <c r="I14" s="518"/>
      <c r="J14" s="519"/>
    </row>
    <row r="15" spans="1:10" ht="111" x14ac:dyDescent="0.25">
      <c r="A15" s="637"/>
      <c r="B15" s="637"/>
      <c r="C15" s="220" t="s">
        <v>6</v>
      </c>
      <c r="D15" s="524"/>
      <c r="E15" s="521"/>
      <c r="F15" s="522"/>
      <c r="G15" s="522" t="s">
        <v>229</v>
      </c>
      <c r="H15" s="522"/>
      <c r="I15" s="522"/>
      <c r="J15" s="523"/>
    </row>
    <row r="16" spans="1:10" ht="138.75" x14ac:dyDescent="0.25">
      <c r="A16" s="637"/>
      <c r="B16" s="637"/>
      <c r="C16" s="220" t="s">
        <v>7</v>
      </c>
      <c r="D16" s="524" t="s">
        <v>190</v>
      </c>
      <c r="E16" s="522" t="s">
        <v>180</v>
      </c>
      <c r="F16" s="522"/>
      <c r="G16" s="522" t="s">
        <v>199</v>
      </c>
      <c r="H16" s="522" t="s">
        <v>182</v>
      </c>
      <c r="I16" s="522" t="s">
        <v>203</v>
      </c>
      <c r="J16" s="523" t="s">
        <v>188</v>
      </c>
    </row>
    <row r="17" spans="1:10" ht="138.75" x14ac:dyDescent="0.25">
      <c r="A17" s="637"/>
      <c r="B17" s="637"/>
      <c r="C17" s="220" t="s">
        <v>8</v>
      </c>
      <c r="D17" s="529" t="s">
        <v>179</v>
      </c>
      <c r="E17" s="522" t="s">
        <v>180</v>
      </c>
      <c r="F17" s="522"/>
      <c r="G17" s="522" t="s">
        <v>199</v>
      </c>
      <c r="H17" s="522" t="s">
        <v>182</v>
      </c>
      <c r="I17" s="522" t="s">
        <v>188</v>
      </c>
      <c r="J17" s="523" t="s">
        <v>203</v>
      </c>
    </row>
    <row r="18" spans="1:10" ht="28.5" thickBot="1" x14ac:dyDescent="0.3">
      <c r="A18" s="637"/>
      <c r="B18" s="637"/>
      <c r="C18" s="221" t="s">
        <v>10</v>
      </c>
      <c r="D18" s="530"/>
      <c r="E18" s="531"/>
      <c r="F18" s="531"/>
      <c r="G18" s="531"/>
      <c r="H18" s="531"/>
      <c r="I18" s="531"/>
      <c r="J18" s="532"/>
    </row>
    <row r="19" spans="1:10" ht="194.25" x14ac:dyDescent="0.25">
      <c r="A19" s="637" t="s">
        <v>2</v>
      </c>
      <c r="B19" s="638">
        <f>B14+1</f>
        <v>46302</v>
      </c>
      <c r="C19" s="219" t="s">
        <v>5</v>
      </c>
      <c r="D19" s="524"/>
      <c r="E19" s="522" t="s">
        <v>187</v>
      </c>
      <c r="F19" s="522" t="s">
        <v>190</v>
      </c>
      <c r="G19" s="522"/>
      <c r="H19" s="522"/>
      <c r="I19" s="522" t="s">
        <v>183</v>
      </c>
      <c r="J19" s="523" t="s">
        <v>184</v>
      </c>
    </row>
    <row r="20" spans="1:10" ht="194.25" x14ac:dyDescent="0.25">
      <c r="A20" s="637"/>
      <c r="B20" s="637"/>
      <c r="C20" s="220" t="s">
        <v>6</v>
      </c>
      <c r="D20" s="524"/>
      <c r="E20" s="522" t="s">
        <v>190</v>
      </c>
      <c r="F20" s="522" t="s">
        <v>187</v>
      </c>
      <c r="G20" s="522"/>
      <c r="H20" s="522"/>
      <c r="I20" s="522" t="s">
        <v>105</v>
      </c>
      <c r="J20" s="523" t="s">
        <v>112</v>
      </c>
    </row>
    <row r="21" spans="1:10" ht="111" x14ac:dyDescent="0.25">
      <c r="A21" s="637"/>
      <c r="B21" s="637"/>
      <c r="C21" s="220" t="s">
        <v>7</v>
      </c>
      <c r="D21" s="524" t="s">
        <v>185</v>
      </c>
      <c r="E21" s="522" t="s">
        <v>185</v>
      </c>
      <c r="F21" s="522" t="s">
        <v>185</v>
      </c>
      <c r="G21" s="522" t="s">
        <v>185</v>
      </c>
      <c r="H21" s="522" t="s">
        <v>185</v>
      </c>
      <c r="I21" s="522" t="s">
        <v>185</v>
      </c>
      <c r="J21" s="523" t="s">
        <v>185</v>
      </c>
    </row>
    <row r="22" spans="1:10" ht="111" x14ac:dyDescent="0.25">
      <c r="A22" s="637"/>
      <c r="B22" s="637"/>
      <c r="C22" s="220" t="s">
        <v>8</v>
      </c>
      <c r="D22" s="524" t="s">
        <v>185</v>
      </c>
      <c r="E22" s="522" t="s">
        <v>185</v>
      </c>
      <c r="F22" s="522" t="s">
        <v>185</v>
      </c>
      <c r="G22" s="522" t="s">
        <v>185</v>
      </c>
      <c r="H22" s="522" t="s">
        <v>185</v>
      </c>
      <c r="I22" s="522" t="s">
        <v>185</v>
      </c>
      <c r="J22" s="523" t="s">
        <v>185</v>
      </c>
    </row>
    <row r="23" spans="1:10" ht="28.5" thickBot="1" x14ac:dyDescent="0.3">
      <c r="A23" s="637"/>
      <c r="B23" s="637"/>
      <c r="C23" s="221" t="s">
        <v>10</v>
      </c>
      <c r="D23" s="530"/>
      <c r="E23" s="531"/>
      <c r="F23" s="531"/>
      <c r="G23" s="531"/>
      <c r="H23" s="531"/>
      <c r="I23" s="531"/>
      <c r="J23" s="532"/>
    </row>
    <row r="24" spans="1:10" ht="194.25" x14ac:dyDescent="0.25">
      <c r="A24" s="604" t="s">
        <v>3</v>
      </c>
      <c r="B24" s="605">
        <f>B19+1</f>
        <v>46303</v>
      </c>
      <c r="C24" s="201" t="s">
        <v>5</v>
      </c>
      <c r="D24" s="524" t="s">
        <v>179</v>
      </c>
      <c r="E24" s="522" t="s">
        <v>196</v>
      </c>
      <c r="F24" s="522" t="s">
        <v>181</v>
      </c>
      <c r="G24" s="522" t="s">
        <v>187</v>
      </c>
      <c r="H24" s="522" t="s">
        <v>191</v>
      </c>
      <c r="I24" s="522" t="s">
        <v>183</v>
      </c>
      <c r="J24" s="523" t="s">
        <v>184</v>
      </c>
    </row>
    <row r="25" spans="1:10" ht="194.25" x14ac:dyDescent="0.25">
      <c r="A25" s="612"/>
      <c r="B25" s="604"/>
      <c r="C25" s="202" t="s">
        <v>6</v>
      </c>
      <c r="D25" s="529" t="s">
        <v>179</v>
      </c>
      <c r="E25" s="522" t="s">
        <v>180</v>
      </c>
      <c r="F25" s="522" t="s">
        <v>190</v>
      </c>
      <c r="G25" s="522" t="s">
        <v>196</v>
      </c>
      <c r="H25" s="522" t="s">
        <v>187</v>
      </c>
      <c r="I25" s="522" t="s">
        <v>183</v>
      </c>
      <c r="J25" s="523" t="s">
        <v>184</v>
      </c>
    </row>
    <row r="26" spans="1:10" ht="138.75" x14ac:dyDescent="0.25">
      <c r="A26" s="612"/>
      <c r="B26" s="604"/>
      <c r="C26" s="202" t="s">
        <v>7</v>
      </c>
      <c r="D26" s="524" t="s">
        <v>186</v>
      </c>
      <c r="E26" s="522"/>
      <c r="F26" s="522" t="s">
        <v>194</v>
      </c>
      <c r="G26" s="522" t="s">
        <v>190</v>
      </c>
      <c r="H26" s="522" t="s">
        <v>182</v>
      </c>
      <c r="I26" s="522"/>
      <c r="J26" s="523"/>
    </row>
    <row r="27" spans="1:10" ht="138.75" x14ac:dyDescent="0.25">
      <c r="A27" s="612"/>
      <c r="B27" s="604"/>
      <c r="C27" s="202" t="s">
        <v>8</v>
      </c>
      <c r="D27" s="524" t="s">
        <v>190</v>
      </c>
      <c r="E27" s="522"/>
      <c r="F27" s="522" t="s">
        <v>186</v>
      </c>
      <c r="G27" s="522"/>
      <c r="H27" s="522" t="s">
        <v>204</v>
      </c>
      <c r="I27" s="522"/>
      <c r="J27" s="523"/>
    </row>
    <row r="28" spans="1:10" ht="29.25" thickBot="1" x14ac:dyDescent="0.3">
      <c r="A28" s="612"/>
      <c r="B28" s="604"/>
      <c r="C28" s="203" t="s">
        <v>10</v>
      </c>
      <c r="D28" s="533"/>
      <c r="E28" s="534"/>
      <c r="F28" s="531"/>
      <c r="G28" s="531"/>
      <c r="H28" s="531"/>
      <c r="I28" s="531"/>
      <c r="J28" s="532"/>
    </row>
    <row r="29" spans="1:10" ht="83.25" x14ac:dyDescent="0.25">
      <c r="A29" s="604" t="s">
        <v>4</v>
      </c>
      <c r="B29" s="605">
        <f>B24+1</f>
        <v>46304</v>
      </c>
      <c r="C29" s="201" t="s">
        <v>5</v>
      </c>
      <c r="D29" s="524" t="s">
        <v>179</v>
      </c>
      <c r="E29" s="522"/>
      <c r="F29" s="522" t="s">
        <v>196</v>
      </c>
      <c r="G29" s="522"/>
      <c r="H29" s="522" t="s">
        <v>191</v>
      </c>
      <c r="I29" s="522"/>
      <c r="J29" s="523" t="s">
        <v>188</v>
      </c>
    </row>
    <row r="30" spans="1:10" ht="138.75" x14ac:dyDescent="0.25">
      <c r="A30" s="604"/>
      <c r="B30" s="604"/>
      <c r="C30" s="202" t="s">
        <v>6</v>
      </c>
      <c r="D30" s="529" t="s">
        <v>179</v>
      </c>
      <c r="E30" s="522" t="s">
        <v>180</v>
      </c>
      <c r="F30" s="522" t="s">
        <v>181</v>
      </c>
      <c r="G30" s="535" t="s">
        <v>194</v>
      </c>
      <c r="H30" s="237" t="s">
        <v>207</v>
      </c>
      <c r="I30" s="522"/>
      <c r="J30" s="523" t="s">
        <v>192</v>
      </c>
    </row>
    <row r="31" spans="1:10" ht="138.75" x14ac:dyDescent="0.25">
      <c r="A31" s="604"/>
      <c r="B31" s="604"/>
      <c r="C31" s="202" t="s">
        <v>7</v>
      </c>
      <c r="D31" s="524" t="s">
        <v>201</v>
      </c>
      <c r="E31" s="522" t="s">
        <v>180</v>
      </c>
      <c r="F31" s="522" t="s">
        <v>181</v>
      </c>
      <c r="G31" s="522" t="s">
        <v>199</v>
      </c>
      <c r="H31" s="522" t="s">
        <v>182</v>
      </c>
      <c r="I31" s="535" t="s">
        <v>188</v>
      </c>
      <c r="J31" s="523"/>
    </row>
    <row r="32" spans="1:10" ht="138.75" x14ac:dyDescent="0.25">
      <c r="A32" s="604"/>
      <c r="B32" s="604"/>
      <c r="C32" s="202" t="s">
        <v>8</v>
      </c>
      <c r="D32" s="524"/>
      <c r="E32" s="522"/>
      <c r="F32" s="522"/>
      <c r="G32" s="522" t="s">
        <v>104</v>
      </c>
      <c r="H32" s="522" t="s">
        <v>182</v>
      </c>
      <c r="I32" s="535" t="s">
        <v>192</v>
      </c>
      <c r="J32" s="536"/>
    </row>
    <row r="33" spans="1:10" ht="28.5" thickBot="1" x14ac:dyDescent="0.3">
      <c r="A33" s="604"/>
      <c r="B33" s="604"/>
      <c r="C33" s="203" t="s">
        <v>10</v>
      </c>
      <c r="D33" s="537"/>
      <c r="E33" s="538"/>
      <c r="F33" s="538"/>
      <c r="G33" s="538"/>
      <c r="H33" s="538"/>
      <c r="I33" s="538"/>
      <c r="J33" s="539"/>
    </row>
    <row r="34" spans="1:10" s="13" customFormat="1" ht="58.5" customHeight="1" x14ac:dyDescent="0.25">
      <c r="A34" s="630" t="s">
        <v>12</v>
      </c>
      <c r="B34" s="629">
        <f>B29+1</f>
        <v>46305</v>
      </c>
      <c r="C34" s="222" t="s">
        <v>5</v>
      </c>
      <c r="D34" s="162"/>
      <c r="E34" s="163"/>
      <c r="F34" s="163"/>
      <c r="G34" s="163"/>
      <c r="H34" s="163"/>
      <c r="I34" s="163"/>
      <c r="J34" s="187"/>
    </row>
    <row r="35" spans="1:10" s="13" customFormat="1" ht="58.5" customHeight="1" x14ac:dyDescent="0.25">
      <c r="A35" s="630"/>
      <c r="B35" s="630"/>
      <c r="C35" s="223" t="s">
        <v>6</v>
      </c>
      <c r="D35" s="29"/>
      <c r="E35" s="30"/>
      <c r="F35" s="30"/>
      <c r="G35" s="30"/>
      <c r="H35" s="30"/>
      <c r="I35" s="30"/>
      <c r="J35" s="148"/>
    </row>
    <row r="36" spans="1:10" s="13" customFormat="1" ht="58.5" customHeight="1" x14ac:dyDescent="0.25">
      <c r="A36" s="630"/>
      <c r="B36" s="630"/>
      <c r="C36" s="223" t="s">
        <v>7</v>
      </c>
      <c r="D36" s="29"/>
      <c r="E36" s="30"/>
      <c r="F36" s="30"/>
      <c r="G36" s="30"/>
      <c r="H36" s="30"/>
      <c r="I36" s="30"/>
      <c r="J36" s="38"/>
    </row>
    <row r="37" spans="1:10" s="13" customFormat="1" ht="58.5" customHeight="1" x14ac:dyDescent="0.25">
      <c r="A37" s="630"/>
      <c r="B37" s="630"/>
      <c r="C37" s="223" t="s">
        <v>8</v>
      </c>
      <c r="D37" s="29"/>
      <c r="E37" s="30"/>
      <c r="F37" s="30"/>
      <c r="G37" s="121"/>
      <c r="H37" s="30"/>
      <c r="I37" s="121"/>
      <c r="J37" s="38"/>
    </row>
    <row r="38" spans="1:10" ht="58.5" customHeight="1" thickBot="1" x14ac:dyDescent="0.3">
      <c r="A38" s="631"/>
      <c r="B38" s="631"/>
      <c r="C38" s="224" t="s">
        <v>8</v>
      </c>
      <c r="D38" s="180"/>
      <c r="E38" s="81"/>
      <c r="F38" s="81"/>
      <c r="G38" s="32"/>
      <c r="H38" s="32"/>
      <c r="I38" s="81"/>
      <c r="J38" s="158"/>
    </row>
    <row r="39" spans="1:10" ht="27.75" x14ac:dyDescent="0.25">
      <c r="A39" s="6"/>
      <c r="B39" s="6"/>
      <c r="C39" s="6"/>
      <c r="D39" s="136" t="s">
        <v>51</v>
      </c>
      <c r="E39" s="6"/>
      <c r="F39" s="6"/>
      <c r="G39" s="6"/>
      <c r="H39" s="6"/>
      <c r="I39" s="6"/>
    </row>
    <row r="40" spans="1:10" s="226" customFormat="1" ht="26.25" x14ac:dyDescent="0.35">
      <c r="A40" s="225"/>
      <c r="B40" s="225"/>
      <c r="C40" s="26" t="str">
        <f>'01.09'!C40</f>
        <v>*Л. Основы медицинских знаний и спортивная медицина*</v>
      </c>
      <c r="D40" s="62">
        <f>'28.09'!D40+COUNTIF(D$9:D$38,$C40)</f>
        <v>7</v>
      </c>
      <c r="E40" s="62">
        <f>'28.09'!E40+COUNTIF(E$9:E$38,$C40)</f>
        <v>7</v>
      </c>
      <c r="F40" s="62">
        <f>'28.09'!F40+COUNTIF(F$9:F$38,$C40)</f>
        <v>7</v>
      </c>
      <c r="G40" s="62">
        <f>'28.09'!G40+COUNTIF(G$9:G$38,$C40)</f>
        <v>7</v>
      </c>
      <c r="H40" s="62">
        <f>'28.09'!H40+COUNTIF(H$9:H$38,$C40)</f>
        <v>7</v>
      </c>
      <c r="I40" s="62">
        <f>'28.09'!I40+COUNTIF(I$9:I$38,$C40)</f>
        <v>7</v>
      </c>
      <c r="J40" s="62">
        <f>'28.09'!J40+COUNTIF(J$9:J$38,$C40)</f>
        <v>7</v>
      </c>
    </row>
    <row r="41" spans="1:10" s="226" customFormat="1" ht="26.25" x14ac:dyDescent="0.35">
      <c r="A41" s="225"/>
      <c r="B41" s="225"/>
      <c r="C41" s="26" t="str">
        <f>'01.09'!C41</f>
        <v>*Пр. Основы медицинских знаний и спортивная медицина*</v>
      </c>
      <c r="D41" s="62">
        <f>'28.09'!D41+COUNTIF(D$9:D$38,$C41)</f>
        <v>11</v>
      </c>
      <c r="E41" s="62">
        <f>'28.09'!E41+COUNTIF(E$9:E$38,$C41)</f>
        <v>11</v>
      </c>
      <c r="F41" s="62">
        <f>'28.09'!F41+COUNTIF(F$9:F$38,$C41)</f>
        <v>11</v>
      </c>
      <c r="G41" s="62">
        <f>'28.09'!G41+COUNTIF(G$9:G$38,$C41)</f>
        <v>7</v>
      </c>
      <c r="H41" s="62">
        <f>'28.09'!H41+COUNTIF(H$9:H$38,$C41)</f>
        <v>11</v>
      </c>
      <c r="I41" s="62">
        <f>'28.09'!I41+COUNTIF(I$9:I$38,$C41)</f>
        <v>11</v>
      </c>
      <c r="J41" s="62">
        <f>'28.09'!J41+COUNTIF(J$9:J$38,$C41)</f>
        <v>11</v>
      </c>
    </row>
    <row r="42" spans="1:10" s="226" customFormat="1" ht="26.25" x14ac:dyDescent="0.35">
      <c r="A42" s="225"/>
      <c r="B42" s="225"/>
      <c r="C42" s="26" t="str">
        <f>'01.09'!C42</f>
        <v>*Л. Массаж*</v>
      </c>
      <c r="D42" s="62">
        <f>'28.09'!D42+COUNTIF(D$9:D$38,$C42)</f>
        <v>5</v>
      </c>
      <c r="E42" s="62">
        <f>'28.09'!E42+COUNTIF(E$9:E$38,$C42)</f>
        <v>5</v>
      </c>
      <c r="F42" s="62">
        <f>'28.09'!F42+COUNTIF(F$9:F$38,$C42)</f>
        <v>5</v>
      </c>
      <c r="G42" s="62">
        <f>'28.09'!G42+COUNTIF(G$9:G$38,$C42)</f>
        <v>5</v>
      </c>
      <c r="H42" s="62">
        <f>'28.09'!H42+COUNTIF(H$9:H$38,$C42)</f>
        <v>5</v>
      </c>
      <c r="I42" s="62">
        <f>'28.09'!I42+COUNTIF(I$9:I$38,$C42)</f>
        <v>5</v>
      </c>
      <c r="J42" s="62">
        <f>'28.09'!J42+COUNTIF(J$9:J$38,$C42)</f>
        <v>5</v>
      </c>
    </row>
    <row r="43" spans="1:10" s="226" customFormat="1" ht="26.25" x14ac:dyDescent="0.35">
      <c r="A43" s="225"/>
      <c r="B43" s="225"/>
      <c r="C43" s="26" t="str">
        <f>'01.09'!C43</f>
        <v>*Пр. Массаж*</v>
      </c>
      <c r="D43" s="62">
        <f>'28.09'!D43+COUNTIF(D$9:D$38,$C43)</f>
        <v>11</v>
      </c>
      <c r="E43" s="62">
        <f>'28.09'!E43+COUNTIF(E$9:E$38,$C43)</f>
        <v>10</v>
      </c>
      <c r="F43" s="62">
        <f>'28.09'!F43+COUNTIF(F$9:F$38,$C43)</f>
        <v>11</v>
      </c>
      <c r="G43" s="62">
        <f>'28.09'!G43+COUNTIF(G$9:G$38,$C43)</f>
        <v>11</v>
      </c>
      <c r="H43" s="62">
        <f>'28.09'!H43+COUNTIF(H$9:H$38,$C43)</f>
        <v>12</v>
      </c>
      <c r="I43" s="62">
        <f>'28.09'!I43+COUNTIF(I$9:I$38,$C43)</f>
        <v>11</v>
      </c>
      <c r="J43" s="62">
        <f>'28.09'!J43+COUNTIF(J$9:J$38,$C43)</f>
        <v>11</v>
      </c>
    </row>
    <row r="44" spans="1:10" s="226" customFormat="1" ht="26.25" x14ac:dyDescent="0.35">
      <c r="A44" s="225"/>
      <c r="B44" s="225"/>
      <c r="C44" s="26" t="str">
        <f>'01.09'!C44</f>
        <v>*Л. Правовые основы профессиональной деятельности*</v>
      </c>
      <c r="D44" s="62">
        <f>'28.09'!D44+COUNTIF(D$9:D$38,$C44)</f>
        <v>5</v>
      </c>
      <c r="E44" s="62">
        <f>'28.09'!E44+COUNTIF(E$9:E$38,$C44)</f>
        <v>5</v>
      </c>
      <c r="F44" s="62">
        <f>'28.09'!F44+COUNTIF(F$9:F$38,$C44)</f>
        <v>5</v>
      </c>
      <c r="G44" s="62">
        <f>'28.09'!G44+COUNTIF(G$9:G$38,$C44)</f>
        <v>5</v>
      </c>
      <c r="H44" s="62">
        <f>'28.09'!H44+COUNTIF(H$9:H$38,$C44)</f>
        <v>5</v>
      </c>
      <c r="I44" s="62">
        <f>'28.09'!I44+COUNTIF(I$9:I$38,$C44)</f>
        <v>5</v>
      </c>
      <c r="J44" s="62">
        <f>'28.09'!J44+COUNTIF(J$9:J$38,$C44)</f>
        <v>5</v>
      </c>
    </row>
    <row r="45" spans="1:10" s="226" customFormat="1" ht="26.25" x14ac:dyDescent="0.35">
      <c r="A45" s="225"/>
      <c r="B45" s="225"/>
      <c r="C45" s="26" t="str">
        <f>'01.09'!C45</f>
        <v>*Пр. Правовые основы профессиональной деятельности*</v>
      </c>
      <c r="D45" s="62">
        <f>'28.09'!D45+COUNTIF(D$9:D$38,$C45)</f>
        <v>5</v>
      </c>
      <c r="E45" s="62">
        <f>'28.09'!E45+COUNTIF(E$9:E$38,$C45)</f>
        <v>6</v>
      </c>
      <c r="F45" s="62">
        <f>'28.09'!F45+COUNTIF(F$9:F$38,$C45)</f>
        <v>6</v>
      </c>
      <c r="G45" s="62">
        <f>'28.09'!G45+COUNTIF(G$9:G$38,$C45)</f>
        <v>6</v>
      </c>
      <c r="H45" s="62">
        <f>'28.09'!H45+COUNTIF(H$9:H$38,$C45)</f>
        <v>5</v>
      </c>
      <c r="I45" s="62">
        <f>'28.09'!I45+COUNTIF(I$9:I$38,$C45)</f>
        <v>5</v>
      </c>
      <c r="J45" s="62">
        <f>'28.09'!J45+COUNTIF(J$9:J$38,$C45)</f>
        <v>6</v>
      </c>
    </row>
    <row r="46" spans="1:10" s="226" customFormat="1" ht="26.25" x14ac:dyDescent="0.35">
      <c r="A46" s="225"/>
      <c r="B46" s="225"/>
      <c r="C46" s="26" t="str">
        <f>'01.09'!C46</f>
        <v>*Л. Теория и методика*</v>
      </c>
      <c r="D46" s="62">
        <f>'28.09'!D46+COUNTIF(D$9:D$38,$C46)</f>
        <v>3</v>
      </c>
      <c r="E46" s="62">
        <f>'28.09'!E46+COUNTIF(E$9:E$38,$C46)</f>
        <v>3</v>
      </c>
      <c r="F46" s="62">
        <f>'28.09'!F46+COUNTIF(F$9:F$38,$C46)</f>
        <v>3</v>
      </c>
      <c r="G46" s="62">
        <f>'28.09'!G46+COUNTIF(G$9:G$38,$C46)</f>
        <v>4</v>
      </c>
      <c r="H46" s="62">
        <f>'28.09'!H46+COUNTIF(H$9:H$38,$C46)</f>
        <v>4</v>
      </c>
      <c r="I46" s="62">
        <f>'28.09'!I46+COUNTIF(I$9:I$38,$C46)</f>
        <v>4</v>
      </c>
      <c r="J46" s="62">
        <f>'28.09'!J46+COUNTIF(J$9:J$38,$C46)</f>
        <v>4</v>
      </c>
    </row>
    <row r="47" spans="1:10" s="226" customFormat="1" ht="26.25" x14ac:dyDescent="0.35">
      <c r="A47" s="225"/>
      <c r="B47" s="225"/>
      <c r="C47" s="26" t="str">
        <f>'01.09'!C47</f>
        <v>*Пр. Теория и методика*</v>
      </c>
      <c r="D47" s="62">
        <f>'28.09'!D47+COUNTIF(D$9:D$38,$C47)</f>
        <v>26</v>
      </c>
      <c r="E47" s="62">
        <f>'28.09'!E47+COUNTIF(E$9:E$38,$C47)</f>
        <v>26</v>
      </c>
      <c r="F47" s="62">
        <f>'28.09'!F47+COUNTIF(F$9:F$38,$C47)</f>
        <v>25</v>
      </c>
      <c r="G47" s="62">
        <f>'28.09'!G47+COUNTIF(G$9:G$38,$C47)</f>
        <v>27</v>
      </c>
      <c r="H47" s="62">
        <f>'28.09'!H47+COUNTIF(H$9:H$38,$C47)</f>
        <v>29</v>
      </c>
      <c r="I47" s="62">
        <f>'28.09'!I47+COUNTIF(I$9:I$38,$C47)</f>
        <v>29</v>
      </c>
      <c r="J47" s="62">
        <f>'28.09'!J47+COUNTIF(J$9:J$38,$C47)</f>
        <v>29</v>
      </c>
    </row>
    <row r="48" spans="1:10" s="226" customFormat="1" ht="26.25" x14ac:dyDescent="0.35">
      <c r="A48" s="225"/>
      <c r="B48" s="225"/>
      <c r="C48" s="26" t="str">
        <f>'01.09'!C48</f>
        <v>*Л. Спортивная метрология*</v>
      </c>
      <c r="D48" s="62">
        <f>'28.09'!D48+COUNTIF(D$9:D$38,$C48)</f>
        <v>5</v>
      </c>
      <c r="E48" s="62">
        <f>'28.09'!E48+COUNTIF(E$9:E$38,$C48)</f>
        <v>5</v>
      </c>
      <c r="F48" s="62">
        <f>'28.09'!F48+COUNTIF(F$9:F$38,$C48)</f>
        <v>5</v>
      </c>
      <c r="G48" s="62">
        <f>'28.09'!G48+COUNTIF(G$9:G$38,$C48)</f>
        <v>5</v>
      </c>
      <c r="H48" s="62">
        <f>'28.09'!H48+COUNTIF(H$9:H$38,$C48)</f>
        <v>5</v>
      </c>
      <c r="I48" s="62">
        <f>'28.09'!I48+COUNTIF(I$9:I$38,$C48)</f>
        <v>5</v>
      </c>
      <c r="J48" s="62">
        <f>'28.09'!J48+COUNTIF(J$9:J$38,$C48)</f>
        <v>5</v>
      </c>
    </row>
    <row r="49" spans="1:10" s="226" customFormat="1" ht="26.25" x14ac:dyDescent="0.35">
      <c r="A49" s="225"/>
      <c r="B49" s="225"/>
      <c r="C49" s="26" t="str">
        <f>'01.09'!C49</f>
        <v>*Пр. Спортивная метрология*</v>
      </c>
      <c r="D49" s="62">
        <f>'28.09'!D49+COUNTIF(D$9:D$38,$C49)</f>
        <v>6</v>
      </c>
      <c r="E49" s="62">
        <f>'28.09'!E49+COUNTIF(E$9:E$38,$C49)</f>
        <v>6</v>
      </c>
      <c r="F49" s="62">
        <f>'28.09'!F49+COUNTIF(F$9:F$38,$C49)</f>
        <v>6</v>
      </c>
      <c r="G49" s="62">
        <f>'28.09'!G49+COUNTIF(G$9:G$38,$C49)</f>
        <v>6</v>
      </c>
      <c r="H49" s="62">
        <f>'28.09'!H49+COUNTIF(H$9:H$38,$C49)</f>
        <v>6</v>
      </c>
      <c r="I49" s="62">
        <f>'28.09'!I49+COUNTIF(I$9:I$38,$C49)</f>
        <v>5</v>
      </c>
      <c r="J49" s="62">
        <f>'28.09'!J49+COUNTIF(J$9:J$38,$C49)</f>
        <v>5</v>
      </c>
    </row>
    <row r="50" spans="1:10" s="226" customFormat="1" ht="26.25" x14ac:dyDescent="0.35">
      <c r="A50" s="225"/>
      <c r="B50" s="225"/>
      <c r="C50" s="26" t="str">
        <f>'01.09'!C50</f>
        <v>*Л.  Теория и методика циклических и сложнокоординационных*</v>
      </c>
      <c r="D50" s="62">
        <f>'28.09'!D50+COUNTIF(D$9:D$38,$C50)</f>
        <v>0</v>
      </c>
      <c r="E50" s="62">
        <f>'28.09'!E50+COUNTIF(E$9:E$38,$C50)</f>
        <v>0</v>
      </c>
      <c r="F50" s="62">
        <f>'28.09'!F50+COUNTIF(F$9:F$38,$C50)</f>
        <v>0</v>
      </c>
      <c r="G50" s="62">
        <f>'28.09'!G50+COUNTIF(G$9:G$38,$C50)</f>
        <v>0</v>
      </c>
      <c r="H50" s="62">
        <f>'28.09'!H50+COUNTIF(H$9:H$38,$C50)</f>
        <v>4</v>
      </c>
      <c r="I50" s="62">
        <f>'28.09'!I50+COUNTIF(I$9:I$38,$C50)</f>
        <v>0</v>
      </c>
      <c r="J50" s="62">
        <f>'28.09'!J50+COUNTIF(J$9:J$38,$C50)</f>
        <v>0</v>
      </c>
    </row>
    <row r="51" spans="1:10" s="226" customFormat="1" ht="26.25" x14ac:dyDescent="0.35">
      <c r="A51" s="225"/>
      <c r="B51" s="225"/>
      <c r="C51" s="26" t="str">
        <f>'01.09'!C51</f>
        <v>*Пр.  Теория и методика циклических и сложнокоординационных*</v>
      </c>
      <c r="D51" s="62">
        <f>'28.09'!D51+COUNTIF(D$9:D$38,$C51)</f>
        <v>0</v>
      </c>
      <c r="E51" s="62">
        <f>'28.09'!E51+COUNTIF(E$9:E$38,$C51)</f>
        <v>0</v>
      </c>
      <c r="F51" s="62">
        <f>'28.09'!F51+COUNTIF(F$9:F$38,$C51)</f>
        <v>0</v>
      </c>
      <c r="G51" s="62">
        <f>'28.09'!G51+COUNTIF(G$9:G$38,$C51)</f>
        <v>0</v>
      </c>
      <c r="H51" s="62">
        <f>'28.09'!H51+COUNTIF(H$9:H$38,$C51)</f>
        <v>33</v>
      </c>
      <c r="I51" s="62">
        <f>'28.09'!I51+COUNTIF(I$9:I$38,$C51)</f>
        <v>0</v>
      </c>
      <c r="J51" s="62">
        <f>'28.09'!J51+COUNTIF(J$9:J$38,$C51)</f>
        <v>0</v>
      </c>
    </row>
    <row r="52" spans="1:10" s="226" customFormat="1" ht="26.25" x14ac:dyDescent="0.35">
      <c r="A52" s="225"/>
      <c r="B52" s="225"/>
      <c r="C52" s="26">
        <f>'01.09'!C52</f>
        <v>0</v>
      </c>
      <c r="D52" s="62">
        <f>'28.09'!D52+COUNTIF(D$9:D$38,$C52)</f>
        <v>0</v>
      </c>
      <c r="E52" s="62">
        <f>'28.09'!E52+COUNTIF(E$9:E$38,$C52)</f>
        <v>0</v>
      </c>
      <c r="F52" s="62">
        <f>'28.09'!F52+COUNTIF(F$9:F$38,$C52)</f>
        <v>0</v>
      </c>
      <c r="G52" s="62">
        <f>'28.09'!G52+COUNTIF(G$9:G$38,$C52)</f>
        <v>0</v>
      </c>
      <c r="H52" s="62">
        <f>'28.09'!H52+COUNTIF(H$9:H$38,$C52)</f>
        <v>0</v>
      </c>
      <c r="I52" s="62">
        <f>'28.09'!I52+COUNTIF(I$9:I$38,$C52)</f>
        <v>0</v>
      </c>
      <c r="J52" s="62">
        <f>'28.09'!J52+COUNTIF(J$9:J$38,$C52)</f>
        <v>0</v>
      </c>
    </row>
    <row r="53" spans="1:10" s="226" customFormat="1" ht="26.25" x14ac:dyDescent="0.35">
      <c r="A53" s="225"/>
      <c r="B53" s="225"/>
      <c r="C53" s="26">
        <f>'01.09'!C53</f>
        <v>0</v>
      </c>
      <c r="D53" s="62">
        <f>'28.09'!D53+COUNTIF(D$9:D$38,$C53)</f>
        <v>0</v>
      </c>
      <c r="E53" s="62">
        <f>'28.09'!E53+COUNTIF(E$9:E$38,$C53)</f>
        <v>0</v>
      </c>
      <c r="F53" s="62">
        <f>'28.09'!F53+COUNTIF(F$9:F$38,$C53)</f>
        <v>0</v>
      </c>
      <c r="G53" s="62">
        <f>'28.09'!G53+COUNTIF(G$9:G$38,$C53)</f>
        <v>0</v>
      </c>
      <c r="H53" s="62">
        <f>'28.09'!H53+COUNTIF(H$9:H$38,$C53)</f>
        <v>0</v>
      </c>
      <c r="I53" s="62">
        <f>'28.09'!I53+COUNTIF(I$9:I$38,$C53)</f>
        <v>0</v>
      </c>
      <c r="J53" s="62">
        <f>'28.09'!J53+COUNTIF(J$9:J$38,$C53)</f>
        <v>0</v>
      </c>
    </row>
    <row r="54" spans="1:10" s="226" customFormat="1" ht="26.25" x14ac:dyDescent="0.35">
      <c r="A54" s="225"/>
      <c r="B54" s="225"/>
      <c r="C54" s="26">
        <f>'01.09'!C54</f>
        <v>0</v>
      </c>
      <c r="D54" s="62">
        <f>'28.09'!D54+COUNTIF(D$9:D$38,$C54)</f>
        <v>0</v>
      </c>
      <c r="E54" s="62">
        <f>'28.09'!E54+COUNTIF(E$9:E$38,$C54)</f>
        <v>0</v>
      </c>
      <c r="F54" s="62">
        <f>'28.09'!F54+COUNTIF(F$9:F$38,$C54)</f>
        <v>0</v>
      </c>
      <c r="G54" s="62">
        <f>'28.09'!G54+COUNTIF(G$9:G$38,$C54)</f>
        <v>0</v>
      </c>
      <c r="H54" s="62">
        <f>'28.09'!H54+COUNTIF(H$9:H$38,$C54)</f>
        <v>0</v>
      </c>
      <c r="I54" s="62">
        <f>'28.09'!I54+COUNTIF(I$9:I$38,$C54)</f>
        <v>0</v>
      </c>
      <c r="J54" s="62">
        <f>'28.09'!J54+COUNTIF(J$9:J$38,$C54)</f>
        <v>0</v>
      </c>
    </row>
    <row r="55" spans="1:10" s="226" customFormat="1" ht="26.25" x14ac:dyDescent="0.35">
      <c r="A55" s="225"/>
      <c r="B55" s="225"/>
      <c r="C55" s="26">
        <f>'01.09'!C55</f>
        <v>0</v>
      </c>
      <c r="D55" s="62">
        <f>'28.09'!D55+COUNTIF(D$9:D$38,$C55)</f>
        <v>0</v>
      </c>
      <c r="E55" s="62">
        <f>'28.09'!E55+COUNTIF(E$9:E$38,$C55)</f>
        <v>0</v>
      </c>
      <c r="F55" s="62">
        <f>'28.09'!F55+COUNTIF(F$9:F$38,$C55)</f>
        <v>0</v>
      </c>
      <c r="G55" s="62">
        <f>'28.09'!G55+COUNTIF(G$9:G$38,$C55)</f>
        <v>0</v>
      </c>
      <c r="H55" s="62">
        <f>'28.09'!H55+COUNTIF(H$9:H$38,$C55)</f>
        <v>0</v>
      </c>
      <c r="I55" s="62">
        <f>'28.09'!I55+COUNTIF(I$9:I$38,$C55)</f>
        <v>0</v>
      </c>
      <c r="J55" s="62">
        <f>'28.09'!J55+COUNTIF(J$9:J$38,$C55)</f>
        <v>0</v>
      </c>
    </row>
    <row r="56" spans="1:10" s="226" customFormat="1" ht="26.25" x14ac:dyDescent="0.35">
      <c r="A56" s="225"/>
      <c r="B56" s="225"/>
      <c r="C56" s="26">
        <f>'01.09'!C56</f>
        <v>0</v>
      </c>
      <c r="D56" s="62">
        <f>'28.09'!D56+COUNTIF(D$9:D$38,$C56)</f>
        <v>0</v>
      </c>
      <c r="E56" s="62">
        <f>'28.09'!E56+COUNTIF(E$9:E$38,$C56)</f>
        <v>0</v>
      </c>
      <c r="F56" s="62">
        <f>'28.09'!F56+COUNTIF(F$9:F$38,$C56)</f>
        <v>0</v>
      </c>
      <c r="G56" s="62">
        <f>'28.09'!G56+COUNTIF(G$9:G$38,$C56)</f>
        <v>0</v>
      </c>
      <c r="H56" s="62">
        <f>'28.09'!H56+COUNTIF(H$9:H$38,$C56)</f>
        <v>0</v>
      </c>
      <c r="I56" s="62">
        <f>'28.09'!I56+COUNTIF(I$9:I$38,$C56)</f>
        <v>0</v>
      </c>
      <c r="J56" s="62">
        <f>'28.09'!J56+COUNTIF(J$9:J$38,$C56)</f>
        <v>0</v>
      </c>
    </row>
    <row r="57" spans="1:10" s="226" customFormat="1" ht="26.25" x14ac:dyDescent="0.35">
      <c r="A57" s="225"/>
      <c r="B57" s="225"/>
      <c r="C57" s="26">
        <f>'01.09'!C57</f>
        <v>0</v>
      </c>
      <c r="D57" s="62">
        <f>'28.09'!D57+COUNTIF(D$9:D$38,$C57)</f>
        <v>0</v>
      </c>
      <c r="E57" s="62">
        <f>'28.09'!E57+COUNTIF(E$9:E$38,$C57)</f>
        <v>0</v>
      </c>
      <c r="F57" s="62">
        <f>'28.09'!F57+COUNTIF(F$9:F$38,$C57)</f>
        <v>0</v>
      </c>
      <c r="G57" s="62">
        <f>'28.09'!G57+COUNTIF(G$9:G$38,$C57)</f>
        <v>0</v>
      </c>
      <c r="H57" s="62">
        <f>'28.09'!H57+COUNTIF(H$9:H$38,$C57)</f>
        <v>0</v>
      </c>
      <c r="I57" s="62">
        <f>'28.09'!I57+COUNTIF(I$9:I$38,$C57)</f>
        <v>0</v>
      </c>
      <c r="J57" s="62">
        <f>'28.09'!J57+COUNTIF(J$9:J$38,$C57)</f>
        <v>0</v>
      </c>
    </row>
    <row r="58" spans="1:10" s="226" customFormat="1" ht="26.25" x14ac:dyDescent="0.35">
      <c r="C58" s="26">
        <f>'01.09'!C58</f>
        <v>0</v>
      </c>
      <c r="D58" s="62">
        <f>'28.09'!D58+COUNTIF(D$9:D$38,$C58)</f>
        <v>0</v>
      </c>
      <c r="E58" s="62">
        <f>'28.09'!E58+COUNTIF(E$9:E$38,$C58)</f>
        <v>0</v>
      </c>
      <c r="F58" s="62">
        <f>'28.09'!F58+COUNTIF(F$9:F$38,$C58)</f>
        <v>0</v>
      </c>
      <c r="G58" s="62">
        <f>'28.09'!G58+COUNTIF(G$9:G$38,$C58)</f>
        <v>0</v>
      </c>
      <c r="H58" s="62">
        <f>'28.09'!H58+COUNTIF(H$9:H$38,$C58)</f>
        <v>0</v>
      </c>
      <c r="I58" s="62">
        <f>'28.09'!I58+COUNTIF(I$9:I$38,$C58)</f>
        <v>0</v>
      </c>
      <c r="J58" s="62">
        <f>'28.09'!J58+COUNTIF(J$9:J$38,$C58)</f>
        <v>0</v>
      </c>
    </row>
    <row r="59" spans="1:10" s="226" customFormat="1" ht="26.25" x14ac:dyDescent="0.35">
      <c r="C59" s="26">
        <f>'01.09'!C59</f>
        <v>0</v>
      </c>
      <c r="D59" s="62">
        <f>'28.09'!D59+COUNTIF(D$9:D$38,$C59)</f>
        <v>0</v>
      </c>
      <c r="E59" s="62">
        <f>'28.09'!E59+COUNTIF(E$9:E$38,$C59)</f>
        <v>0</v>
      </c>
      <c r="F59" s="62">
        <f>'28.09'!F59+COUNTIF(F$9:F$38,$C59)</f>
        <v>0</v>
      </c>
      <c r="G59" s="62">
        <f>'28.09'!G59+COUNTIF(G$9:G$38,$C59)</f>
        <v>0</v>
      </c>
      <c r="H59" s="62">
        <f>'28.09'!H59+COUNTIF(H$9:H$38,$C59)</f>
        <v>0</v>
      </c>
      <c r="I59" s="62">
        <f>'28.09'!I59+COUNTIF(I$9:I$38,$C59)</f>
        <v>0</v>
      </c>
      <c r="J59" s="62">
        <f>'28.09'!J59+COUNTIF(J$9:J$38,$C59)</f>
        <v>0</v>
      </c>
    </row>
    <row r="60" spans="1:10" s="226" customFormat="1" ht="26.25" x14ac:dyDescent="0.35">
      <c r="C60" s="26">
        <f>'01.09'!C60</f>
        <v>0</v>
      </c>
      <c r="D60" s="62">
        <f>'28.09'!D60+COUNTIF(D$9:D$38,$C60)</f>
        <v>0</v>
      </c>
      <c r="E60" s="62">
        <f>'28.09'!E60+COUNTIF(E$9:E$38,$C60)</f>
        <v>0</v>
      </c>
      <c r="F60" s="62">
        <f>'28.09'!F60+COUNTIF(F$9:F$38,$C60)</f>
        <v>0</v>
      </c>
      <c r="G60" s="62">
        <f>'28.09'!G60+COUNTIF(G$9:G$38,$C60)</f>
        <v>0</v>
      </c>
      <c r="H60" s="62">
        <f>'28.09'!H60+COUNTIF(H$9:H$38,$C60)</f>
        <v>0</v>
      </c>
      <c r="I60" s="62">
        <f>'28.09'!I60+COUNTIF(I$9:I$38,$C60)</f>
        <v>0</v>
      </c>
      <c r="J60" s="62">
        <f>'28.09'!J60+COUNTIF(J$9:J$38,$C60)</f>
        <v>0</v>
      </c>
    </row>
    <row r="61" spans="1:10" s="226" customFormat="1" ht="26.25" x14ac:dyDescent="0.35">
      <c r="C61" s="26">
        <f>'01.09'!C61</f>
        <v>0</v>
      </c>
      <c r="D61" s="62">
        <f>'28.09'!D61+COUNTIF(D$9:D$38,$C61)</f>
        <v>0</v>
      </c>
      <c r="E61" s="62">
        <f>'28.09'!E61+COUNTIF(E$9:E$38,$C61)</f>
        <v>0</v>
      </c>
      <c r="F61" s="62">
        <f>'28.09'!F61+COUNTIF(F$9:F$38,$C61)</f>
        <v>0</v>
      </c>
      <c r="G61" s="62">
        <f>'28.09'!G61+COUNTIF(G$9:G$38,$C61)</f>
        <v>0</v>
      </c>
      <c r="H61" s="62">
        <f>'28.09'!H61+COUNTIF(H$9:H$38,$C61)</f>
        <v>0</v>
      </c>
      <c r="I61" s="62">
        <f>'28.09'!I61+COUNTIF(I$9:I$38,$C61)</f>
        <v>0</v>
      </c>
      <c r="J61" s="62">
        <f>'28.09'!J61+COUNTIF(J$9:J$38,$C61)</f>
        <v>0</v>
      </c>
    </row>
    <row r="62" spans="1:10" s="226" customFormat="1" ht="26.25" x14ac:dyDescent="0.35">
      <c r="C62" s="26">
        <f>'01.09'!C62</f>
        <v>0</v>
      </c>
      <c r="D62" s="62">
        <f>'28.09'!D62+COUNTIF(D$9:D$38,$C62)</f>
        <v>0</v>
      </c>
      <c r="E62" s="62">
        <f>'28.09'!E62+COUNTIF(E$9:E$38,$C62)</f>
        <v>0</v>
      </c>
      <c r="F62" s="62">
        <f>'28.09'!F62+COUNTIF(F$9:F$38,$C62)</f>
        <v>0</v>
      </c>
      <c r="G62" s="62">
        <f>'28.09'!G62+COUNTIF(G$9:G$38,$C62)</f>
        <v>0</v>
      </c>
      <c r="H62" s="62">
        <f>'28.09'!H62+COUNTIF(H$9:H$38,$C62)</f>
        <v>0</v>
      </c>
      <c r="I62" s="62">
        <f>'28.09'!I62+COUNTIF(I$9:I$38,$C62)</f>
        <v>0</v>
      </c>
      <c r="J62" s="62">
        <f>'28.09'!J62+COUNTIF(J$9:J$38,$C62)</f>
        <v>0</v>
      </c>
    </row>
    <row r="63" spans="1:10" s="226" customFormat="1" ht="26.25" x14ac:dyDescent="0.35">
      <c r="C63" s="26">
        <f>'01.09'!C63</f>
        <v>0</v>
      </c>
      <c r="D63" s="62">
        <f>'28.09'!D63+COUNTIF(D$9:D$38,$C63)</f>
        <v>0</v>
      </c>
      <c r="E63" s="62">
        <f>'28.09'!E63+COUNTIF(E$9:E$38,$C63)</f>
        <v>0</v>
      </c>
      <c r="F63" s="62">
        <f>'28.09'!F63+COUNTIF(F$9:F$38,$C63)</f>
        <v>0</v>
      </c>
      <c r="G63" s="62">
        <f>'28.09'!G63+COUNTIF(G$9:G$38,$C63)</f>
        <v>0</v>
      </c>
      <c r="H63" s="62">
        <f>'28.09'!H63+COUNTIF(H$9:H$38,$C63)</f>
        <v>0</v>
      </c>
      <c r="I63" s="62">
        <f>'28.09'!I63+COUNTIF(I$9:I$38,$C63)</f>
        <v>0</v>
      </c>
      <c r="J63" s="62">
        <f>'28.09'!J63+COUNTIF(J$9:J$38,$C63)</f>
        <v>0</v>
      </c>
    </row>
    <row r="64" spans="1:10" s="226" customFormat="1" ht="26.25" x14ac:dyDescent="0.35">
      <c r="C64" s="26">
        <f>'01.09'!C64</f>
        <v>0</v>
      </c>
      <c r="D64" s="62">
        <f>'28.09'!D64+COUNTIF(D$9:D$38,$C64)</f>
        <v>0</v>
      </c>
      <c r="E64" s="62">
        <f>'28.09'!E64+COUNTIF(E$9:E$38,$C64)</f>
        <v>0</v>
      </c>
      <c r="F64" s="62">
        <f>'28.09'!F64+COUNTIF(F$9:F$38,$C64)</f>
        <v>0</v>
      </c>
      <c r="G64" s="62">
        <f>'28.09'!G64+COUNTIF(G$9:G$38,$C64)</f>
        <v>0</v>
      </c>
      <c r="H64" s="62">
        <f>'28.09'!H64+COUNTIF(H$9:H$38,$C64)</f>
        <v>0</v>
      </c>
      <c r="I64" s="62">
        <f>'28.09'!I64+COUNTIF(I$9:I$38,$C64)</f>
        <v>0</v>
      </c>
      <c r="J64" s="62">
        <f>'28.09'!J64+COUNTIF(J$9:J$38,$C64)</f>
        <v>0</v>
      </c>
    </row>
    <row r="65" spans="3:10" s="226" customFormat="1" ht="26.25" x14ac:dyDescent="0.35">
      <c r="C65" s="26">
        <f>'01.09'!C65</f>
        <v>0</v>
      </c>
      <c r="D65" s="62">
        <f>'28.09'!D65+COUNTIF(D$9:D$38,$C65)</f>
        <v>0</v>
      </c>
      <c r="E65" s="62">
        <f>'28.09'!E65+COUNTIF(E$9:E$38,$C65)</f>
        <v>0</v>
      </c>
      <c r="F65" s="62">
        <f>'28.09'!F65+COUNTIF(F$9:F$38,$C65)</f>
        <v>0</v>
      </c>
      <c r="G65" s="62">
        <f>'28.09'!G65+COUNTIF(G$9:G$38,$C65)</f>
        <v>0</v>
      </c>
      <c r="H65" s="62">
        <f>'28.09'!H65+COUNTIF(H$9:H$38,$C65)</f>
        <v>0</v>
      </c>
      <c r="I65" s="62">
        <f>'28.09'!I65+COUNTIF(I$9:I$38,$C65)</f>
        <v>0</v>
      </c>
      <c r="J65" s="62">
        <f>'28.09'!J65+COUNTIF(J$9:J$38,$C65)</f>
        <v>0</v>
      </c>
    </row>
    <row r="66" spans="3:10" s="226" customFormat="1" ht="26.25" x14ac:dyDescent="0.35">
      <c r="C66" s="26">
        <f>'01.09'!C66</f>
        <v>0</v>
      </c>
      <c r="D66" s="62">
        <f>'28.09'!D66+COUNTIF(D$9:D$38,$C66)</f>
        <v>0</v>
      </c>
      <c r="E66" s="62">
        <f>'28.09'!E66+COUNTIF(E$9:E$38,$C66)</f>
        <v>0</v>
      </c>
      <c r="F66" s="62">
        <f>'28.09'!F66+COUNTIF(F$9:F$38,$C66)</f>
        <v>0</v>
      </c>
      <c r="G66" s="62">
        <f>'28.09'!G66+COUNTIF(G$9:G$38,$C66)</f>
        <v>0</v>
      </c>
      <c r="H66" s="62">
        <f>'28.09'!H66+COUNTIF(H$9:H$38,$C66)</f>
        <v>0</v>
      </c>
      <c r="I66" s="62">
        <f>'28.09'!I66+COUNTIF(I$9:I$38,$C66)</f>
        <v>0</v>
      </c>
      <c r="J66" s="62">
        <f>'28.09'!J66+COUNTIF(J$9:J$38,$C66)</f>
        <v>0</v>
      </c>
    </row>
  </sheetData>
  <mergeCells count="20">
    <mergeCell ref="A7:A8"/>
    <mergeCell ref="C7:C8"/>
    <mergeCell ref="B7:B8"/>
    <mergeCell ref="B1:J1"/>
    <mergeCell ref="B2:J2"/>
    <mergeCell ref="A3:J3"/>
    <mergeCell ref="B4:J4"/>
    <mergeCell ref="B5:J5"/>
    <mergeCell ref="A34:A38"/>
    <mergeCell ref="B34:B38"/>
    <mergeCell ref="A9:A13"/>
    <mergeCell ref="A14:A18"/>
    <mergeCell ref="B9:B13"/>
    <mergeCell ref="B14:B1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2"/>
  <sheetViews>
    <sheetView tabSelected="1" view="pageBreakPreview" topLeftCell="A4" zoomScale="39" zoomScaleNormal="40" zoomScaleSheetLayoutView="39" zoomScalePageLayoutView="38" workbookViewId="0">
      <selection activeCell="D8" sqref="D8"/>
    </sheetView>
  </sheetViews>
  <sheetFormatPr defaultRowHeight="15" x14ac:dyDescent="0.25"/>
  <cols>
    <col min="1" max="2" width="4.42578125" customWidth="1"/>
    <col min="3" max="3" width="23.85546875" customWidth="1"/>
    <col min="4" max="7" width="54.28515625" customWidth="1"/>
    <col min="8" max="10" width="61.5703125" customWidth="1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.75" thickBot="1" x14ac:dyDescent="0.3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31.5" customHeight="1" thickBot="1" x14ac:dyDescent="0.3">
      <c r="A6" s="646" t="s">
        <v>16</v>
      </c>
      <c r="B6" s="646" t="s">
        <v>9</v>
      </c>
      <c r="C6" s="617" t="s">
        <v>15</v>
      </c>
      <c r="D6" s="214" t="s">
        <v>80</v>
      </c>
      <c r="E6" s="215" t="s">
        <v>43</v>
      </c>
      <c r="F6" s="215" t="s">
        <v>44</v>
      </c>
      <c r="G6" s="215" t="s">
        <v>45</v>
      </c>
      <c r="H6" s="216" t="s">
        <v>46</v>
      </c>
      <c r="I6" s="216" t="s">
        <v>47</v>
      </c>
      <c r="J6" s="217" t="s">
        <v>11</v>
      </c>
    </row>
    <row r="7" spans="1:10" ht="141.75" customHeight="1" thickBot="1" x14ac:dyDescent="0.3">
      <c r="A7" s="647"/>
      <c r="B7" s="647"/>
      <c r="C7" s="618"/>
      <c r="D7" s="218" t="s">
        <v>65</v>
      </c>
      <c r="E7" s="178" t="s">
        <v>67</v>
      </c>
      <c r="F7" s="178" t="s">
        <v>48</v>
      </c>
      <c r="G7" s="178" t="s">
        <v>63</v>
      </c>
      <c r="H7" s="178" t="s">
        <v>56</v>
      </c>
      <c r="I7" s="547" t="s">
        <v>83</v>
      </c>
      <c r="J7" s="179" t="s">
        <v>82</v>
      </c>
    </row>
    <row r="8" spans="1:10" ht="194.25" x14ac:dyDescent="0.25">
      <c r="A8" s="643" t="s">
        <v>0</v>
      </c>
      <c r="B8" s="648">
        <v>46307</v>
      </c>
      <c r="C8" s="90" t="s">
        <v>5</v>
      </c>
      <c r="D8" s="516"/>
      <c r="E8" s="517" t="s">
        <v>190</v>
      </c>
      <c r="F8" s="517"/>
      <c r="G8" s="517"/>
      <c r="H8" s="517" t="s">
        <v>188</v>
      </c>
      <c r="I8" s="504" t="s">
        <v>183</v>
      </c>
      <c r="J8" s="519" t="s">
        <v>184</v>
      </c>
    </row>
    <row r="9" spans="1:10" ht="194.25" x14ac:dyDescent="0.25">
      <c r="A9" s="644"/>
      <c r="B9" s="619"/>
      <c r="C9" s="91" t="s">
        <v>6</v>
      </c>
      <c r="D9" s="520"/>
      <c r="E9" s="521" t="s">
        <v>188</v>
      </c>
      <c r="F9" s="522" t="s">
        <v>181</v>
      </c>
      <c r="G9" s="521" t="s">
        <v>190</v>
      </c>
      <c r="H9" s="521" t="s">
        <v>203</v>
      </c>
      <c r="I9" s="522" t="s">
        <v>183</v>
      </c>
      <c r="J9" s="523" t="s">
        <v>184</v>
      </c>
    </row>
    <row r="10" spans="1:10" ht="111" x14ac:dyDescent="0.25">
      <c r="A10" s="644"/>
      <c r="B10" s="619"/>
      <c r="C10" s="91" t="s">
        <v>7</v>
      </c>
      <c r="D10" s="524" t="s">
        <v>202</v>
      </c>
      <c r="E10" s="522" t="s">
        <v>203</v>
      </c>
      <c r="F10" s="522" t="s">
        <v>181</v>
      </c>
      <c r="G10" s="522" t="s">
        <v>199</v>
      </c>
      <c r="H10" s="522"/>
      <c r="I10" s="522" t="s">
        <v>192</v>
      </c>
      <c r="J10" s="523" t="s">
        <v>196</v>
      </c>
    </row>
    <row r="11" spans="1:10" ht="111" x14ac:dyDescent="0.25">
      <c r="A11" s="644"/>
      <c r="B11" s="619"/>
      <c r="C11" s="91" t="s">
        <v>8</v>
      </c>
      <c r="D11" s="524" t="s">
        <v>203</v>
      </c>
      <c r="E11" s="522"/>
      <c r="F11" s="522"/>
      <c r="G11" s="522" t="s">
        <v>199</v>
      </c>
      <c r="H11" s="522"/>
      <c r="I11" s="237" t="s">
        <v>207</v>
      </c>
      <c r="J11" s="523" t="s">
        <v>192</v>
      </c>
    </row>
    <row r="12" spans="1:10" ht="28.5" thickBot="1" x14ac:dyDescent="0.3">
      <c r="A12" s="644"/>
      <c r="B12" s="619"/>
      <c r="C12" s="92" t="s">
        <v>10</v>
      </c>
      <c r="D12" s="540"/>
      <c r="E12" s="541"/>
      <c r="F12" s="541"/>
      <c r="G12" s="541"/>
      <c r="H12" s="541"/>
      <c r="I12" s="541"/>
      <c r="J12" s="542"/>
    </row>
    <row r="13" spans="1:10" ht="87" customHeight="1" x14ac:dyDescent="0.25">
      <c r="A13" s="643" t="s">
        <v>1</v>
      </c>
      <c r="B13" s="621">
        <f>B8+1</f>
        <v>46308</v>
      </c>
      <c r="C13" s="90" t="s">
        <v>5</v>
      </c>
      <c r="D13" s="528"/>
      <c r="E13" s="518"/>
      <c r="F13" s="518"/>
      <c r="G13" s="518"/>
      <c r="H13" s="518"/>
      <c r="I13" s="518"/>
      <c r="J13" s="519"/>
    </row>
    <row r="14" spans="1:10" ht="111" x14ac:dyDescent="0.25">
      <c r="A14" s="644"/>
      <c r="B14" s="619"/>
      <c r="C14" s="91" t="s">
        <v>6</v>
      </c>
      <c r="D14" s="524"/>
      <c r="E14" s="521"/>
      <c r="F14" s="522"/>
      <c r="G14" s="522" t="s">
        <v>229</v>
      </c>
      <c r="H14" s="522"/>
      <c r="I14" s="522"/>
      <c r="J14" s="523"/>
    </row>
    <row r="15" spans="1:10" ht="138.75" x14ac:dyDescent="0.25">
      <c r="A15" s="644"/>
      <c r="B15" s="619"/>
      <c r="C15" s="91" t="s">
        <v>7</v>
      </c>
      <c r="D15" s="524" t="s">
        <v>190</v>
      </c>
      <c r="E15" s="522" t="s">
        <v>180</v>
      </c>
      <c r="F15" s="522"/>
      <c r="G15" s="522" t="s">
        <v>199</v>
      </c>
      <c r="H15" s="522" t="s">
        <v>182</v>
      </c>
      <c r="I15" s="522" t="s">
        <v>203</v>
      </c>
      <c r="J15" s="523" t="s">
        <v>188</v>
      </c>
    </row>
    <row r="16" spans="1:10" ht="138.75" x14ac:dyDescent="0.25">
      <c r="A16" s="644"/>
      <c r="B16" s="619"/>
      <c r="C16" s="91" t="s">
        <v>8</v>
      </c>
      <c r="D16" s="529" t="s">
        <v>179</v>
      </c>
      <c r="E16" s="522" t="s">
        <v>108</v>
      </c>
      <c r="F16" s="522"/>
      <c r="G16" s="522" t="s">
        <v>199</v>
      </c>
      <c r="H16" s="522" t="s">
        <v>182</v>
      </c>
      <c r="I16" s="522" t="s">
        <v>188</v>
      </c>
      <c r="J16" s="523" t="s">
        <v>203</v>
      </c>
    </row>
    <row r="17" spans="1:10" ht="69" customHeight="1" thickBot="1" x14ac:dyDescent="0.3">
      <c r="A17" s="645"/>
      <c r="B17" s="619"/>
      <c r="C17" s="92" t="s">
        <v>10</v>
      </c>
      <c r="D17" s="530"/>
      <c r="E17" s="531"/>
      <c r="F17" s="531"/>
      <c r="G17" s="531"/>
      <c r="H17" s="531"/>
      <c r="I17" s="531"/>
      <c r="J17" s="532"/>
    </row>
    <row r="18" spans="1:10" ht="194.25" x14ac:dyDescent="0.25">
      <c r="A18" s="643" t="s">
        <v>2</v>
      </c>
      <c r="B18" s="621">
        <f>B13+1</f>
        <v>46309</v>
      </c>
      <c r="C18" s="90" t="s">
        <v>5</v>
      </c>
      <c r="D18" s="524"/>
      <c r="E18" s="522" t="s">
        <v>187</v>
      </c>
      <c r="F18" s="522" t="s">
        <v>190</v>
      </c>
      <c r="G18" s="522"/>
      <c r="H18" s="522"/>
      <c r="I18" s="504" t="s">
        <v>183</v>
      </c>
      <c r="J18" s="523" t="s">
        <v>184</v>
      </c>
    </row>
    <row r="19" spans="1:10" ht="194.25" x14ac:dyDescent="0.25">
      <c r="A19" s="644"/>
      <c r="B19" s="619"/>
      <c r="C19" s="91" t="s">
        <v>6</v>
      </c>
      <c r="D19" s="524"/>
      <c r="E19" s="522" t="s">
        <v>190</v>
      </c>
      <c r="F19" s="522" t="s">
        <v>187</v>
      </c>
      <c r="G19" s="522"/>
      <c r="H19" s="522"/>
      <c r="I19" s="522" t="s">
        <v>183</v>
      </c>
      <c r="J19" s="523" t="s">
        <v>184</v>
      </c>
    </row>
    <row r="20" spans="1:10" ht="111" x14ac:dyDescent="0.25">
      <c r="A20" s="644"/>
      <c r="B20" s="619"/>
      <c r="C20" s="91" t="s">
        <v>7</v>
      </c>
      <c r="D20" s="524" t="s">
        <v>185</v>
      </c>
      <c r="E20" s="522" t="s">
        <v>185</v>
      </c>
      <c r="F20" s="522" t="s">
        <v>185</v>
      </c>
      <c r="G20" s="522" t="s">
        <v>185</v>
      </c>
      <c r="H20" s="522" t="s">
        <v>185</v>
      </c>
      <c r="I20" s="522" t="s">
        <v>185</v>
      </c>
      <c r="J20" s="523" t="s">
        <v>185</v>
      </c>
    </row>
    <row r="21" spans="1:10" ht="27.75" x14ac:dyDescent="0.25">
      <c r="A21" s="644"/>
      <c r="B21" s="619"/>
      <c r="C21" s="91" t="s">
        <v>8</v>
      </c>
      <c r="D21" s="524"/>
      <c r="E21" s="522"/>
      <c r="F21" s="522"/>
      <c r="G21" s="522"/>
      <c r="H21" s="522"/>
      <c r="I21" s="522"/>
      <c r="J21" s="523"/>
    </row>
    <row r="22" spans="1:10" ht="28.5" thickBot="1" x14ac:dyDescent="0.3">
      <c r="A22" s="645"/>
      <c r="B22" s="619"/>
      <c r="C22" s="92" t="s">
        <v>10</v>
      </c>
      <c r="D22" s="530"/>
      <c r="E22" s="531"/>
      <c r="F22" s="531"/>
      <c r="G22" s="531"/>
      <c r="H22" s="531"/>
      <c r="I22" s="531"/>
      <c r="J22" s="532"/>
    </row>
    <row r="23" spans="1:10" ht="194.25" x14ac:dyDescent="0.25">
      <c r="A23" s="643" t="s">
        <v>3</v>
      </c>
      <c r="B23" s="621">
        <f>B18+1</f>
        <v>46310</v>
      </c>
      <c r="C23" s="90" t="s">
        <v>5</v>
      </c>
      <c r="D23" s="524" t="s">
        <v>103</v>
      </c>
      <c r="E23" s="522" t="s">
        <v>196</v>
      </c>
      <c r="F23" s="522" t="s">
        <v>127</v>
      </c>
      <c r="G23" s="522" t="s">
        <v>187</v>
      </c>
      <c r="H23" s="522" t="s">
        <v>191</v>
      </c>
      <c r="I23" s="504" t="s">
        <v>183</v>
      </c>
      <c r="J23" s="523" t="s">
        <v>184</v>
      </c>
    </row>
    <row r="24" spans="1:10" ht="194.25" x14ac:dyDescent="0.25">
      <c r="A24" s="649"/>
      <c r="B24" s="619"/>
      <c r="C24" s="91" t="s">
        <v>6</v>
      </c>
      <c r="D24" s="529" t="s">
        <v>179</v>
      </c>
      <c r="E24" s="522" t="s">
        <v>180</v>
      </c>
      <c r="F24" s="522" t="s">
        <v>190</v>
      </c>
      <c r="G24" s="522" t="s">
        <v>196</v>
      </c>
      <c r="H24" s="522" t="s">
        <v>187</v>
      </c>
      <c r="I24" s="522" t="s">
        <v>183</v>
      </c>
      <c r="J24" s="523" t="s">
        <v>184</v>
      </c>
    </row>
    <row r="25" spans="1:10" ht="154.5" customHeight="1" x14ac:dyDescent="0.25">
      <c r="A25" s="649"/>
      <c r="B25" s="619"/>
      <c r="C25" s="91" t="s">
        <v>7</v>
      </c>
      <c r="D25" s="524" t="s">
        <v>186</v>
      </c>
      <c r="E25" s="522"/>
      <c r="F25" s="522" t="s">
        <v>194</v>
      </c>
      <c r="G25" s="522" t="s">
        <v>190</v>
      </c>
      <c r="H25" s="522" t="s">
        <v>182</v>
      </c>
      <c r="I25" s="522"/>
      <c r="J25" s="523"/>
    </row>
    <row r="26" spans="1:10" ht="154.5" customHeight="1" x14ac:dyDescent="0.25">
      <c r="A26" s="649"/>
      <c r="B26" s="619"/>
      <c r="C26" s="91" t="s">
        <v>8</v>
      </c>
      <c r="D26" s="524" t="s">
        <v>190</v>
      </c>
      <c r="E26" s="522"/>
      <c r="F26" s="522" t="s">
        <v>186</v>
      </c>
      <c r="G26" s="522"/>
      <c r="H26" s="522" t="s">
        <v>182</v>
      </c>
      <c r="I26" s="522"/>
      <c r="J26" s="523"/>
    </row>
    <row r="27" spans="1:10" ht="50.25" customHeight="1" thickBot="1" x14ac:dyDescent="0.3">
      <c r="A27" s="650"/>
      <c r="B27" s="619"/>
      <c r="C27" s="92" t="s">
        <v>10</v>
      </c>
      <c r="D27" s="533"/>
      <c r="E27" s="534"/>
      <c r="F27" s="531"/>
      <c r="G27" s="531"/>
      <c r="H27" s="531"/>
      <c r="I27" s="531"/>
      <c r="J27" s="532"/>
    </row>
    <row r="28" spans="1:10" ht="83.25" x14ac:dyDescent="0.25">
      <c r="A28" s="643" t="s">
        <v>4</v>
      </c>
      <c r="B28" s="621">
        <f>B23+1</f>
        <v>46311</v>
      </c>
      <c r="C28" s="90" t="s">
        <v>5</v>
      </c>
      <c r="D28" s="524" t="s">
        <v>179</v>
      </c>
      <c r="E28" s="522"/>
      <c r="F28" s="522" t="s">
        <v>196</v>
      </c>
      <c r="G28" s="522"/>
      <c r="H28" s="522" t="s">
        <v>191</v>
      </c>
      <c r="I28" s="522"/>
      <c r="J28" s="523" t="s">
        <v>187</v>
      </c>
    </row>
    <row r="29" spans="1:10" ht="138.75" x14ac:dyDescent="0.25">
      <c r="A29" s="644"/>
      <c r="B29" s="619"/>
      <c r="C29" s="91" t="s">
        <v>6</v>
      </c>
      <c r="D29" s="529" t="s">
        <v>179</v>
      </c>
      <c r="E29" s="522" t="s">
        <v>180</v>
      </c>
      <c r="F29" s="522" t="s">
        <v>181</v>
      </c>
      <c r="G29" s="535" t="s">
        <v>194</v>
      </c>
      <c r="H29" s="237" t="s">
        <v>207</v>
      </c>
      <c r="I29" s="522"/>
      <c r="J29" s="523" t="s">
        <v>192</v>
      </c>
    </row>
    <row r="30" spans="1:10" ht="138.75" x14ac:dyDescent="0.25">
      <c r="A30" s="644"/>
      <c r="B30" s="619"/>
      <c r="C30" s="91" t="s">
        <v>7</v>
      </c>
      <c r="D30" s="524" t="s">
        <v>201</v>
      </c>
      <c r="E30" s="522" t="s">
        <v>180</v>
      </c>
      <c r="F30" s="522" t="s">
        <v>181</v>
      </c>
      <c r="G30" s="522" t="s">
        <v>199</v>
      </c>
      <c r="H30" s="522" t="s">
        <v>182</v>
      </c>
      <c r="I30" s="535" t="s">
        <v>188</v>
      </c>
      <c r="J30" s="523"/>
    </row>
    <row r="31" spans="1:10" ht="138.75" x14ac:dyDescent="0.25">
      <c r="A31" s="644"/>
      <c r="B31" s="619"/>
      <c r="C31" s="91" t="s">
        <v>8</v>
      </c>
      <c r="D31" s="524"/>
      <c r="E31" s="522"/>
      <c r="F31" s="522"/>
      <c r="G31" s="522" t="s">
        <v>199</v>
      </c>
      <c r="H31" s="522" t="s">
        <v>182</v>
      </c>
      <c r="I31" s="535" t="s">
        <v>192</v>
      </c>
      <c r="J31" s="536"/>
    </row>
    <row r="32" spans="1:10" ht="28.5" thickBot="1" x14ac:dyDescent="0.3">
      <c r="A32" s="645"/>
      <c r="B32" s="619"/>
      <c r="C32" s="92" t="s">
        <v>10</v>
      </c>
      <c r="D32" s="537"/>
      <c r="E32" s="538"/>
      <c r="F32" s="538"/>
      <c r="G32" s="538"/>
      <c r="H32" s="538"/>
      <c r="I32" s="538"/>
      <c r="J32" s="539"/>
    </row>
    <row r="33" spans="1:10" ht="27.75" x14ac:dyDescent="0.25">
      <c r="A33" s="619" t="s">
        <v>12</v>
      </c>
      <c r="B33" s="621">
        <f>B28+1</f>
        <v>46312</v>
      </c>
      <c r="C33" s="46" t="s">
        <v>5</v>
      </c>
      <c r="D33" s="162"/>
      <c r="E33" s="163"/>
      <c r="F33" s="163"/>
      <c r="G33" s="163"/>
      <c r="H33" s="163"/>
      <c r="I33" s="163"/>
      <c r="J33" s="187"/>
    </row>
    <row r="34" spans="1:10" ht="27.75" x14ac:dyDescent="0.25">
      <c r="A34" s="619"/>
      <c r="B34" s="619"/>
      <c r="C34" s="47" t="s">
        <v>6</v>
      </c>
      <c r="D34" s="29"/>
      <c r="E34" s="30"/>
      <c r="F34" s="30"/>
      <c r="G34" s="30"/>
      <c r="H34" s="30"/>
      <c r="I34" s="30"/>
      <c r="J34" s="148"/>
    </row>
    <row r="35" spans="1:10" ht="26.25" x14ac:dyDescent="0.25">
      <c r="A35" s="619"/>
      <c r="B35" s="619"/>
      <c r="C35" s="47" t="s">
        <v>7</v>
      </c>
      <c r="D35" s="29"/>
      <c r="E35" s="30"/>
      <c r="F35" s="30"/>
      <c r="G35" s="30"/>
      <c r="H35" s="30"/>
      <c r="I35" s="30"/>
      <c r="J35" s="38"/>
    </row>
    <row r="36" spans="1:10" ht="26.25" x14ac:dyDescent="0.25">
      <c r="A36" s="619"/>
      <c r="B36" s="619"/>
      <c r="C36" s="47" t="s">
        <v>8</v>
      </c>
      <c r="D36" s="29"/>
      <c r="E36" s="30"/>
      <c r="F36" s="30"/>
      <c r="G36" s="121"/>
      <c r="H36" s="30"/>
      <c r="I36" s="121"/>
      <c r="J36" s="38"/>
    </row>
    <row r="37" spans="1:10" ht="27" thickBot="1" x14ac:dyDescent="0.3">
      <c r="A37" s="620"/>
      <c r="B37" s="620"/>
      <c r="C37" s="48" t="s">
        <v>10</v>
      </c>
      <c r="D37" s="180"/>
      <c r="E37" s="81"/>
      <c r="F37" s="81"/>
      <c r="G37" s="32"/>
      <c r="H37" s="32"/>
      <c r="I37" s="81"/>
      <c r="J37" s="158"/>
    </row>
    <row r="38" spans="1:10" ht="27.75" x14ac:dyDescent="0.25">
      <c r="A38" s="1"/>
      <c r="B38" s="1"/>
      <c r="C38" s="1"/>
      <c r="D38" s="136" t="s">
        <v>51</v>
      </c>
      <c r="E38" s="1"/>
      <c r="F38" s="1"/>
      <c r="G38" s="1"/>
      <c r="H38" s="1"/>
      <c r="I38" s="1"/>
    </row>
    <row r="39" spans="1:10" ht="26.25" x14ac:dyDescent="0.4">
      <c r="A39" s="1"/>
      <c r="B39" s="1"/>
      <c r="C39" s="55" t="str">
        <f>'01.09'!C40</f>
        <v>*Л. Основы медицинских знаний и спортивная медицина*</v>
      </c>
      <c r="D39" s="56">
        <f>'05.10'!D40+COUNTIF(D$8:D$37,$C39)</f>
        <v>8</v>
      </c>
      <c r="E39" s="56">
        <f>'05.10'!E40+COUNTIF(E$8:E$37,$C39)</f>
        <v>8</v>
      </c>
      <c r="F39" s="56">
        <f>'05.10'!F40+COUNTIF(F$8:F$37,$C39)</f>
        <v>8</v>
      </c>
      <c r="G39" s="56">
        <f>'05.10'!G40+COUNTIF(G$8:G$37,$C39)</f>
        <v>8</v>
      </c>
      <c r="H39" s="56">
        <f>'05.10'!H40+COUNTIF(H$8:H$37,$C39)</f>
        <v>8</v>
      </c>
      <c r="I39" s="56">
        <f>'05.10'!I40+COUNTIF(I$8:I$37,$C39)</f>
        <v>8</v>
      </c>
      <c r="J39" s="56">
        <f>'05.10'!J40+COUNTIF(J$8:J$37,$C39)</f>
        <v>8</v>
      </c>
    </row>
    <row r="40" spans="1:10" ht="26.25" x14ac:dyDescent="0.4">
      <c r="A40" s="1"/>
      <c r="B40" s="1"/>
      <c r="C40" s="55" t="str">
        <f>'01.09'!C41</f>
        <v>*Пр. Основы медицинских знаний и спортивная медицина*</v>
      </c>
      <c r="D40" s="56">
        <f>'05.10'!D41+COUNTIF(D$8:D$37,$C40)</f>
        <v>13</v>
      </c>
      <c r="E40" s="56">
        <f>'05.10'!E41+COUNTIF(E$8:E$37,$C40)</f>
        <v>13</v>
      </c>
      <c r="F40" s="56">
        <f>'05.10'!F41+COUNTIF(F$8:F$37,$C40)</f>
        <v>13</v>
      </c>
      <c r="G40" s="56">
        <f>'05.10'!G41+COUNTIF(G$8:G$37,$C40)</f>
        <v>9</v>
      </c>
      <c r="H40" s="56">
        <f>'05.10'!H41+COUNTIF(H$8:H$37,$C40)</f>
        <v>13</v>
      </c>
      <c r="I40" s="56">
        <f>'05.10'!I41+COUNTIF(I$8:I$37,$C40)</f>
        <v>13</v>
      </c>
      <c r="J40" s="56">
        <f>'05.10'!J41+COUNTIF(J$8:J$37,$C40)</f>
        <v>13</v>
      </c>
    </row>
    <row r="41" spans="1:10" ht="26.25" x14ac:dyDescent="0.4">
      <c r="A41" s="1"/>
      <c r="B41" s="1"/>
      <c r="C41" s="55" t="str">
        <f>'01.09'!C42</f>
        <v>*Л. Массаж*</v>
      </c>
      <c r="D41" s="56">
        <f>'05.10'!D42+COUNTIF(D$8:D$37,$C41)</f>
        <v>5</v>
      </c>
      <c r="E41" s="56">
        <f>'05.10'!E42+COUNTIF(E$8:E$37,$C41)</f>
        <v>5</v>
      </c>
      <c r="F41" s="56">
        <f>'05.10'!F42+COUNTIF(F$8:F$37,$C41)</f>
        <v>5</v>
      </c>
      <c r="G41" s="56">
        <f>'05.10'!G42+COUNTIF(G$8:G$37,$C41)</f>
        <v>5</v>
      </c>
      <c r="H41" s="56">
        <f>'05.10'!H42+COUNTIF(H$8:H$37,$C41)</f>
        <v>5</v>
      </c>
      <c r="I41" s="56">
        <f>'05.10'!I42+COUNTIF(I$8:I$37,$C41)</f>
        <v>5</v>
      </c>
      <c r="J41" s="56">
        <f>'05.10'!J42+COUNTIF(J$8:J$37,$C41)</f>
        <v>5</v>
      </c>
    </row>
    <row r="42" spans="1:10" ht="26.25" x14ac:dyDescent="0.4">
      <c r="A42" s="1"/>
      <c r="B42" s="1"/>
      <c r="C42" s="55" t="str">
        <f>'01.09'!C43</f>
        <v>*Пр. Массаж*</v>
      </c>
      <c r="D42" s="56">
        <f>'05.10'!D43+COUNTIF(D$8:D$37,$C42)</f>
        <v>13</v>
      </c>
      <c r="E42" s="56">
        <f>'05.10'!E43+COUNTIF(E$8:E$37,$C42)</f>
        <v>12</v>
      </c>
      <c r="F42" s="56">
        <f>'05.10'!F43+COUNTIF(F$8:F$37,$C42)</f>
        <v>13</v>
      </c>
      <c r="G42" s="56">
        <f>'05.10'!G43+COUNTIF(G$8:G$37,$C42)</f>
        <v>13</v>
      </c>
      <c r="H42" s="56">
        <f>'05.10'!H43+COUNTIF(H$8:H$37,$C42)</f>
        <v>14</v>
      </c>
      <c r="I42" s="56">
        <f>'05.10'!I43+COUNTIF(I$8:I$37,$C42)</f>
        <v>13</v>
      </c>
      <c r="J42" s="56">
        <f>'05.10'!J43+COUNTIF(J$8:J$37,$C42)</f>
        <v>13</v>
      </c>
    </row>
    <row r="43" spans="1:10" ht="26.25" x14ac:dyDescent="0.4">
      <c r="A43" s="1"/>
      <c r="B43" s="1"/>
      <c r="C43" s="55" t="str">
        <f>'01.09'!C44</f>
        <v>*Л. Правовые основы профессиональной деятельности*</v>
      </c>
      <c r="D43" s="56">
        <f>'05.10'!D44+COUNTIF(D$8:D$37,$C43)</f>
        <v>5</v>
      </c>
      <c r="E43" s="56">
        <f>'05.10'!E44+COUNTIF(E$8:E$37,$C43)</f>
        <v>5</v>
      </c>
      <c r="F43" s="56">
        <f>'05.10'!F44+COUNTIF(F$8:F$37,$C43)</f>
        <v>5</v>
      </c>
      <c r="G43" s="56">
        <f>'05.10'!G44+COUNTIF(G$8:G$37,$C43)</f>
        <v>5</v>
      </c>
      <c r="H43" s="56">
        <f>'05.10'!H44+COUNTIF(H$8:H$37,$C43)</f>
        <v>5</v>
      </c>
      <c r="I43" s="56">
        <f>'05.10'!I44+COUNTIF(I$8:I$37,$C43)</f>
        <v>5</v>
      </c>
      <c r="J43" s="56">
        <f>'05.10'!J44+COUNTIF(J$8:J$37,$C43)</f>
        <v>5</v>
      </c>
    </row>
    <row r="44" spans="1:10" ht="26.25" x14ac:dyDescent="0.4">
      <c r="A44" s="1"/>
      <c r="B44" s="1"/>
      <c r="C44" s="55" t="str">
        <f>'01.09'!C45</f>
        <v>*Пр. Правовые основы профессиональной деятельности*</v>
      </c>
      <c r="D44" s="56">
        <f>'05.10'!D45+COUNTIF(D$8:D$37,$C44)</f>
        <v>6</v>
      </c>
      <c r="E44" s="56">
        <f>'05.10'!E45+COUNTIF(E$8:E$37,$C44)</f>
        <v>7</v>
      </c>
      <c r="F44" s="56">
        <f>'05.10'!F45+COUNTIF(F$8:F$37,$C44)</f>
        <v>7</v>
      </c>
      <c r="G44" s="56">
        <f>'05.10'!G45+COUNTIF(G$8:G$37,$C44)</f>
        <v>7</v>
      </c>
      <c r="H44" s="56">
        <f>'05.10'!H45+COUNTIF(H$8:H$37,$C44)</f>
        <v>6</v>
      </c>
      <c r="I44" s="56">
        <f>'05.10'!I45+COUNTIF(I$8:I$37,$C44)</f>
        <v>6</v>
      </c>
      <c r="J44" s="56">
        <f>'05.10'!J45+COUNTIF(J$8:J$37,$C44)</f>
        <v>7</v>
      </c>
    </row>
    <row r="45" spans="1:10" ht="26.25" x14ac:dyDescent="0.4">
      <c r="A45" s="1"/>
      <c r="B45" s="1"/>
      <c r="C45" s="55" t="str">
        <f>'01.09'!C46</f>
        <v>*Л. Теория и методика*</v>
      </c>
      <c r="D45" s="56">
        <f>'05.10'!D46+COUNTIF(D$8:D$37,$C45)</f>
        <v>4</v>
      </c>
      <c r="E45" s="56">
        <f>'05.10'!E46+COUNTIF(E$8:E$37,$C45)</f>
        <v>4</v>
      </c>
      <c r="F45" s="56">
        <f>'05.10'!F46+COUNTIF(F$8:F$37,$C45)</f>
        <v>4</v>
      </c>
      <c r="G45" s="56">
        <f>'05.10'!G46+COUNTIF(G$8:G$37,$C45)</f>
        <v>4</v>
      </c>
      <c r="H45" s="56">
        <f>'05.10'!H46+COUNTIF(H$8:H$37,$C45)</f>
        <v>4</v>
      </c>
      <c r="I45" s="56">
        <f>'05.10'!I46+COUNTIF(I$8:I$37,$C45)</f>
        <v>4</v>
      </c>
      <c r="J45" s="56">
        <f>'05.10'!J46+COUNTIF(J$8:J$37,$C45)</f>
        <v>4</v>
      </c>
    </row>
    <row r="46" spans="1:10" ht="26.25" x14ac:dyDescent="0.4">
      <c r="A46" s="1"/>
      <c r="B46" s="1"/>
      <c r="C46" s="55" t="str">
        <f>'01.09'!C47</f>
        <v>*Пр. Теория и методика*</v>
      </c>
      <c r="D46" s="56">
        <f>'05.10'!D47+COUNTIF(D$8:D$37,$C46)</f>
        <v>30</v>
      </c>
      <c r="E46" s="56">
        <f>'05.10'!E47+COUNTIF(E$8:E$37,$C46)</f>
        <v>30</v>
      </c>
      <c r="F46" s="56">
        <f>'05.10'!F47+COUNTIF(F$8:F$37,$C46)</f>
        <v>29</v>
      </c>
      <c r="G46" s="56">
        <f>'05.10'!G47+COUNTIF(G$8:G$37,$C46)</f>
        <v>33</v>
      </c>
      <c r="H46" s="56">
        <f>'05.10'!H47+COUNTIF(H$8:H$37,$C46)</f>
        <v>35</v>
      </c>
      <c r="I46" s="56">
        <f>'05.10'!I47+COUNTIF(I$8:I$37,$C46)</f>
        <v>35</v>
      </c>
      <c r="J46" s="56">
        <f>'05.10'!J47+COUNTIF(J$8:J$37,$C46)</f>
        <v>35</v>
      </c>
    </row>
    <row r="47" spans="1:10" ht="26.25" x14ac:dyDescent="0.4">
      <c r="A47" s="1"/>
      <c r="B47" s="1"/>
      <c r="C47" s="55" t="str">
        <f>'01.09'!C48</f>
        <v>*Л. Спортивная метрология*</v>
      </c>
      <c r="D47" s="56">
        <f>'05.10'!D48+COUNTIF(D$8:D$37,$C47)</f>
        <v>5</v>
      </c>
      <c r="E47" s="56">
        <f>'05.10'!E48+COUNTIF(E$8:E$37,$C47)</f>
        <v>5</v>
      </c>
      <c r="F47" s="56">
        <f>'05.10'!F48+COUNTIF(F$8:F$37,$C47)</f>
        <v>5</v>
      </c>
      <c r="G47" s="56">
        <f>'05.10'!G48+COUNTIF(G$8:G$37,$C47)</f>
        <v>5</v>
      </c>
      <c r="H47" s="56">
        <f>'05.10'!H48+COUNTIF(H$8:H$37,$C47)</f>
        <v>5</v>
      </c>
      <c r="I47" s="56">
        <f>'05.10'!I48+COUNTIF(I$8:I$37,$C47)</f>
        <v>5</v>
      </c>
      <c r="J47" s="56">
        <f>'05.10'!J48+COUNTIF(J$8:J$37,$C47)</f>
        <v>5</v>
      </c>
    </row>
    <row r="48" spans="1:10" ht="26.25" x14ac:dyDescent="0.4">
      <c r="A48" s="1"/>
      <c r="B48" s="1"/>
      <c r="C48" s="55" t="str">
        <f>'01.09'!C49</f>
        <v>*Пр. Спортивная метрология*</v>
      </c>
      <c r="D48" s="56">
        <f>'05.10'!D49+COUNTIF(D$8:D$37,$C48)</f>
        <v>7</v>
      </c>
      <c r="E48" s="56">
        <f>'05.10'!E49+COUNTIF(E$8:E$37,$C48)</f>
        <v>7</v>
      </c>
      <c r="F48" s="56">
        <f>'05.10'!F49+COUNTIF(F$8:F$37,$C48)</f>
        <v>7</v>
      </c>
      <c r="G48" s="56">
        <f>'05.10'!G49+COUNTIF(G$8:G$37,$C48)</f>
        <v>7</v>
      </c>
      <c r="H48" s="56">
        <f>'05.10'!H49+COUNTIF(H$8:H$37,$C48)</f>
        <v>7</v>
      </c>
      <c r="I48" s="56">
        <f>'05.10'!I49+COUNTIF(I$8:I$37,$C48)</f>
        <v>6</v>
      </c>
      <c r="J48" s="56">
        <f>'05.10'!J49+COUNTIF(J$8:J$37,$C48)</f>
        <v>6</v>
      </c>
    </row>
    <row r="49" spans="1:10" ht="26.25" x14ac:dyDescent="0.4">
      <c r="A49" s="1"/>
      <c r="B49" s="1"/>
      <c r="C49" s="55" t="str">
        <f>'01.09'!C50</f>
        <v>*Л.  Теория и методика циклических и сложнокоординационных*</v>
      </c>
      <c r="D49" s="56">
        <f>'05.10'!D50+COUNTIF(D$8:D$37,$C49)</f>
        <v>0</v>
      </c>
      <c r="E49" s="56">
        <f>'05.10'!E50+COUNTIF(E$8:E$37,$C49)</f>
        <v>0</v>
      </c>
      <c r="F49" s="56">
        <f>'05.10'!F50+COUNTIF(F$8:F$37,$C49)</f>
        <v>0</v>
      </c>
      <c r="G49" s="56">
        <f>'05.10'!G50+COUNTIF(G$8:G$37,$C49)</f>
        <v>0</v>
      </c>
      <c r="H49" s="56">
        <f>'05.10'!H50+COUNTIF(H$8:H$37,$C49)</f>
        <v>4</v>
      </c>
      <c r="I49" s="56">
        <f>'05.10'!I50+COUNTIF(I$8:I$37,$C49)</f>
        <v>0</v>
      </c>
      <c r="J49" s="56">
        <f>'05.10'!J50+COUNTIF(J$8:J$37,$C49)</f>
        <v>0</v>
      </c>
    </row>
    <row r="50" spans="1:10" ht="26.25" x14ac:dyDescent="0.4">
      <c r="A50" s="1"/>
      <c r="B50" s="1"/>
      <c r="C50" s="55" t="str">
        <f>'01.09'!C51</f>
        <v>*Пр.  Теория и методика циклических и сложнокоординационных*</v>
      </c>
      <c r="D50" s="56">
        <f>'05.10'!D51+COUNTIF(D$8:D$37,$C50)</f>
        <v>0</v>
      </c>
      <c r="E50" s="56">
        <f>'05.10'!E51+COUNTIF(E$8:E$37,$C50)</f>
        <v>0</v>
      </c>
      <c r="F50" s="56">
        <f>'05.10'!F51+COUNTIF(F$8:F$37,$C50)</f>
        <v>0</v>
      </c>
      <c r="G50" s="56">
        <f>'05.10'!G51+COUNTIF(G$8:G$37,$C50)</f>
        <v>0</v>
      </c>
      <c r="H50" s="56">
        <f>'05.10'!H51+COUNTIF(H$8:H$37,$C50)</f>
        <v>39</v>
      </c>
      <c r="I50" s="56">
        <f>'05.10'!I51+COUNTIF(I$8:I$37,$C50)</f>
        <v>0</v>
      </c>
      <c r="J50" s="56">
        <f>'05.10'!J51+COUNTIF(J$8:J$37,$C50)</f>
        <v>0</v>
      </c>
    </row>
    <row r="51" spans="1:10" ht="26.25" x14ac:dyDescent="0.4">
      <c r="A51" s="1"/>
      <c r="B51" s="1"/>
      <c r="C51" s="55">
        <f>'01.09'!C52</f>
        <v>0</v>
      </c>
      <c r="D51" s="56">
        <f>'05.10'!D52+COUNTIF(D$8:D$37,$C51)</f>
        <v>0</v>
      </c>
      <c r="E51" s="56">
        <f>'05.10'!E52+COUNTIF(E$8:E$37,$C51)</f>
        <v>0</v>
      </c>
      <c r="F51" s="56">
        <f>'05.10'!F52+COUNTIF(F$8:F$37,$C51)</f>
        <v>0</v>
      </c>
      <c r="G51" s="56">
        <f>'05.10'!G52+COUNTIF(G$8:G$37,$C51)</f>
        <v>0</v>
      </c>
      <c r="H51" s="56">
        <f>'05.10'!H52+COUNTIF(H$8:H$37,$C51)</f>
        <v>0</v>
      </c>
      <c r="I51" s="56">
        <f>'05.10'!I52+COUNTIF(I$8:I$37,$C51)</f>
        <v>0</v>
      </c>
      <c r="J51" s="56">
        <f>'05.10'!J52+COUNTIF(J$8:J$37,$C51)</f>
        <v>0</v>
      </c>
    </row>
    <row r="52" spans="1:10" ht="26.25" x14ac:dyDescent="0.4">
      <c r="A52" s="1"/>
      <c r="B52" s="1"/>
      <c r="C52" s="55">
        <f>'01.09'!C53</f>
        <v>0</v>
      </c>
      <c r="D52" s="56">
        <f>'05.10'!D53+COUNTIF(D$8:D$37,$C52)</f>
        <v>0</v>
      </c>
      <c r="E52" s="56">
        <f>'05.10'!E53+COUNTIF(E$8:E$37,$C52)</f>
        <v>0</v>
      </c>
      <c r="F52" s="56">
        <f>'05.10'!F53+COUNTIF(F$8:F$37,$C52)</f>
        <v>0</v>
      </c>
      <c r="G52" s="56">
        <f>'05.10'!G53+COUNTIF(G$8:G$37,$C52)</f>
        <v>0</v>
      </c>
      <c r="H52" s="56">
        <f>'05.10'!H53+COUNTIF(H$8:H$37,$C52)</f>
        <v>0</v>
      </c>
      <c r="I52" s="56">
        <f>'05.10'!I53+COUNTIF(I$8:I$37,$C52)</f>
        <v>0</v>
      </c>
      <c r="J52" s="56">
        <f>'05.10'!J53+COUNTIF(J$8:J$37,$C52)</f>
        <v>0</v>
      </c>
    </row>
    <row r="53" spans="1:10" ht="26.25" x14ac:dyDescent="0.4">
      <c r="A53" s="1"/>
      <c r="B53" s="1"/>
      <c r="C53" s="55">
        <f>'01.09'!C54</f>
        <v>0</v>
      </c>
      <c r="D53" s="56">
        <f>'05.10'!D54+COUNTIF(D$8:D$37,$C53)</f>
        <v>0</v>
      </c>
      <c r="E53" s="56">
        <f>'05.10'!E54+COUNTIF(E$8:E$37,$C53)</f>
        <v>0</v>
      </c>
      <c r="F53" s="56">
        <f>'05.10'!F54+COUNTIF(F$8:F$37,$C53)</f>
        <v>0</v>
      </c>
      <c r="G53" s="56">
        <f>'05.10'!G54+COUNTIF(G$8:G$37,$C53)</f>
        <v>0</v>
      </c>
      <c r="H53" s="56">
        <f>'05.10'!H54+COUNTIF(H$8:H$37,$C53)</f>
        <v>0</v>
      </c>
      <c r="I53" s="56">
        <f>'05.10'!I54+COUNTIF(I$8:I$37,$C53)</f>
        <v>0</v>
      </c>
      <c r="J53" s="56">
        <f>'05.10'!J54+COUNTIF(J$8:J$37,$C53)</f>
        <v>0</v>
      </c>
    </row>
    <row r="54" spans="1:10" ht="26.25" x14ac:dyDescent="0.4">
      <c r="A54" s="1"/>
      <c r="B54" s="1"/>
      <c r="C54" s="55">
        <f>'01.09'!C55</f>
        <v>0</v>
      </c>
      <c r="D54" s="56">
        <f>'05.10'!D55+COUNTIF(D$8:D$37,$C54)</f>
        <v>0</v>
      </c>
      <c r="E54" s="56">
        <f>'05.10'!E55+COUNTIF(E$8:E$37,$C54)</f>
        <v>0</v>
      </c>
      <c r="F54" s="56">
        <f>'05.10'!F55+COUNTIF(F$8:F$37,$C54)</f>
        <v>0</v>
      </c>
      <c r="G54" s="56">
        <f>'05.10'!G55+COUNTIF(G$8:G$37,$C54)</f>
        <v>0</v>
      </c>
      <c r="H54" s="56">
        <f>'05.10'!H55+COUNTIF(H$8:H$37,$C54)</f>
        <v>0</v>
      </c>
      <c r="I54" s="56">
        <f>'05.10'!I55+COUNTIF(I$8:I$37,$C54)</f>
        <v>0</v>
      </c>
      <c r="J54" s="56">
        <f>'05.10'!J55+COUNTIF(J$8:J$37,$C54)</f>
        <v>0</v>
      </c>
    </row>
    <row r="55" spans="1:10" ht="26.25" x14ac:dyDescent="0.4">
      <c r="A55" s="1"/>
      <c r="B55" s="1"/>
      <c r="C55" s="55">
        <f>'01.09'!C56</f>
        <v>0</v>
      </c>
      <c r="D55" s="56">
        <f>'05.10'!D56+COUNTIF(D$8:D$37,$C55)</f>
        <v>0</v>
      </c>
      <c r="E55" s="56">
        <f>'05.10'!E56+COUNTIF(E$8:E$37,$C55)</f>
        <v>0</v>
      </c>
      <c r="F55" s="56">
        <f>'05.10'!F56+COUNTIF(F$8:F$37,$C55)</f>
        <v>0</v>
      </c>
      <c r="G55" s="56">
        <f>'05.10'!G56+COUNTIF(G$8:G$37,$C55)</f>
        <v>0</v>
      </c>
      <c r="H55" s="56">
        <f>'05.10'!H56+COUNTIF(H$8:H$37,$C55)</f>
        <v>0</v>
      </c>
      <c r="I55" s="56">
        <f>'05.10'!I56+COUNTIF(I$8:I$37,$C55)</f>
        <v>0</v>
      </c>
      <c r="J55" s="56">
        <f>'05.10'!J56+COUNTIF(J$8:J$37,$C55)</f>
        <v>0</v>
      </c>
    </row>
    <row r="56" spans="1:10" ht="26.25" x14ac:dyDescent="0.4">
      <c r="A56" s="1"/>
      <c r="B56" s="1"/>
      <c r="C56" s="55">
        <f>'01.09'!C57</f>
        <v>0</v>
      </c>
      <c r="D56" s="56">
        <f>'05.10'!D57+COUNTIF(D$8:D$37,$C56)</f>
        <v>0</v>
      </c>
      <c r="E56" s="56">
        <f>'05.10'!E57+COUNTIF(E$8:E$37,$C56)</f>
        <v>0</v>
      </c>
      <c r="F56" s="56">
        <f>'05.10'!F57+COUNTIF(F$8:F$37,$C56)</f>
        <v>0</v>
      </c>
      <c r="G56" s="56">
        <f>'05.10'!G57+COUNTIF(G$8:G$37,$C56)</f>
        <v>0</v>
      </c>
      <c r="H56" s="56">
        <f>'05.10'!H57+COUNTIF(H$8:H$37,$C56)</f>
        <v>0</v>
      </c>
      <c r="I56" s="56">
        <f>'05.10'!I57+COUNTIF(I$8:I$37,$C56)</f>
        <v>0</v>
      </c>
      <c r="J56" s="56">
        <f>'05.10'!J57+COUNTIF(J$8:J$37,$C56)</f>
        <v>0</v>
      </c>
    </row>
    <row r="57" spans="1:10" ht="26.25" x14ac:dyDescent="0.4">
      <c r="A57" s="1"/>
      <c r="B57" s="1"/>
      <c r="C57" s="55">
        <f>'01.09'!C58</f>
        <v>0</v>
      </c>
      <c r="D57" s="56">
        <f>'05.10'!D58+COUNTIF(D$8:D$37,$C57)</f>
        <v>0</v>
      </c>
      <c r="E57" s="56">
        <f>'05.10'!E58+COUNTIF(E$8:E$37,$C57)</f>
        <v>0</v>
      </c>
      <c r="F57" s="56">
        <f>'05.10'!F58+COUNTIF(F$8:F$37,$C57)</f>
        <v>0</v>
      </c>
      <c r="G57" s="56">
        <f>'05.10'!G58+COUNTIF(G$8:G$37,$C57)</f>
        <v>0</v>
      </c>
      <c r="H57" s="56">
        <f>'05.10'!H58+COUNTIF(H$8:H$37,$C57)</f>
        <v>0</v>
      </c>
      <c r="I57" s="56">
        <f>'05.10'!I58+COUNTIF(I$8:I$37,$C57)</f>
        <v>0</v>
      </c>
      <c r="J57" s="56">
        <f>'05.10'!J58+COUNTIF(J$8:J$37,$C57)</f>
        <v>0</v>
      </c>
    </row>
    <row r="58" spans="1:10" ht="26.25" x14ac:dyDescent="0.4">
      <c r="A58" s="1"/>
      <c r="B58" s="1"/>
      <c r="C58" s="55">
        <f>'01.09'!C59</f>
        <v>0</v>
      </c>
      <c r="D58" s="56">
        <f>'05.10'!D59+COUNTIF(D$8:D$37,$C58)</f>
        <v>0</v>
      </c>
      <c r="E58" s="56">
        <f>'05.10'!E59+COUNTIF(E$8:E$37,$C58)</f>
        <v>0</v>
      </c>
      <c r="F58" s="56">
        <f>'05.10'!F59+COUNTIF(F$8:F$37,$C58)</f>
        <v>0</v>
      </c>
      <c r="G58" s="56">
        <f>'05.10'!G59+COUNTIF(G$8:G$37,$C58)</f>
        <v>0</v>
      </c>
      <c r="H58" s="56">
        <f>'05.10'!H59+COUNTIF(H$8:H$37,$C58)</f>
        <v>0</v>
      </c>
      <c r="I58" s="56">
        <f>'05.10'!I59+COUNTIF(I$8:I$37,$C58)</f>
        <v>0</v>
      </c>
      <c r="J58" s="56">
        <f>'05.10'!J59+COUNTIF(J$8:J$37,$C58)</f>
        <v>0</v>
      </c>
    </row>
    <row r="59" spans="1:10" ht="26.25" x14ac:dyDescent="0.4">
      <c r="A59" s="1"/>
      <c r="B59" s="1"/>
      <c r="C59" s="55">
        <f>'01.09'!C60</f>
        <v>0</v>
      </c>
      <c r="D59" s="56">
        <f>'05.10'!D60+COUNTIF(D$8:D$37,$C59)</f>
        <v>0</v>
      </c>
      <c r="E59" s="56">
        <f>'05.10'!E60+COUNTIF(E$8:E$37,$C59)</f>
        <v>0</v>
      </c>
      <c r="F59" s="56">
        <f>'05.10'!F60+COUNTIF(F$8:F$37,$C59)</f>
        <v>0</v>
      </c>
      <c r="G59" s="56">
        <f>'05.10'!G60+COUNTIF(G$8:G$37,$C59)</f>
        <v>0</v>
      </c>
      <c r="H59" s="56">
        <f>'05.10'!H60+COUNTIF(H$8:H$37,$C59)</f>
        <v>0</v>
      </c>
      <c r="I59" s="56">
        <f>'05.10'!I60+COUNTIF(I$8:I$37,$C59)</f>
        <v>0</v>
      </c>
      <c r="J59" s="56">
        <f>'05.10'!J60+COUNTIF(J$8:J$37,$C59)</f>
        <v>0</v>
      </c>
    </row>
    <row r="60" spans="1:10" ht="26.25" x14ac:dyDescent="0.4">
      <c r="A60" s="1"/>
      <c r="B60" s="1"/>
      <c r="C60" s="55">
        <f>'01.09'!C61</f>
        <v>0</v>
      </c>
      <c r="D60" s="56">
        <f>'05.10'!D61+COUNTIF(D$8:D$37,$C60)</f>
        <v>0</v>
      </c>
      <c r="E60" s="56">
        <f>'05.10'!E61+COUNTIF(E$8:E$37,$C60)</f>
        <v>0</v>
      </c>
      <c r="F60" s="56">
        <f>'05.10'!F61+COUNTIF(F$8:F$37,$C60)</f>
        <v>0</v>
      </c>
      <c r="G60" s="56">
        <f>'05.10'!G61+COUNTIF(G$8:G$37,$C60)</f>
        <v>0</v>
      </c>
      <c r="H60" s="56">
        <f>'05.10'!H61+COUNTIF(H$8:H$37,$C60)</f>
        <v>0</v>
      </c>
      <c r="I60" s="56">
        <f>'05.10'!I61+COUNTIF(I$8:I$37,$C60)</f>
        <v>0</v>
      </c>
      <c r="J60" s="56">
        <f>'05.10'!J61+COUNTIF(J$8:J$37,$C60)</f>
        <v>0</v>
      </c>
    </row>
    <row r="61" spans="1:10" ht="26.25" x14ac:dyDescent="0.4">
      <c r="A61" s="1"/>
      <c r="B61" s="1"/>
      <c r="C61" s="55">
        <f>'01.09'!C62</f>
        <v>0</v>
      </c>
      <c r="D61" s="56">
        <f>'05.10'!D62+COUNTIF(D$8:D$37,$C61)</f>
        <v>0</v>
      </c>
      <c r="E61" s="56">
        <f>'05.10'!E62+COUNTIF(E$8:E$37,$C61)</f>
        <v>0</v>
      </c>
      <c r="F61" s="56">
        <f>'05.10'!F62+COUNTIF(F$8:F$37,$C61)</f>
        <v>0</v>
      </c>
      <c r="G61" s="56">
        <f>'05.10'!G62+COUNTIF(G$8:G$37,$C61)</f>
        <v>0</v>
      </c>
      <c r="H61" s="56">
        <f>'05.10'!H62+COUNTIF(H$8:H$37,$C61)</f>
        <v>0</v>
      </c>
      <c r="I61" s="56">
        <f>'05.10'!I62+COUNTIF(I$8:I$37,$C61)</f>
        <v>0</v>
      </c>
      <c r="J61" s="56">
        <f>'05.10'!J62+COUNTIF(J$8:J$37,$C61)</f>
        <v>0</v>
      </c>
    </row>
    <row r="62" spans="1:10" ht="26.25" x14ac:dyDescent="0.4">
      <c r="A62" s="1"/>
      <c r="B62" s="1"/>
      <c r="C62" s="55">
        <f>'01.09'!C63</f>
        <v>0</v>
      </c>
      <c r="D62" s="56">
        <f>'05.10'!D63+COUNTIF(D$8:D$37,$C62)</f>
        <v>0</v>
      </c>
      <c r="E62" s="56">
        <f>'05.10'!E63+COUNTIF(E$8:E$37,$C62)</f>
        <v>0</v>
      </c>
      <c r="F62" s="56">
        <f>'05.10'!F63+COUNTIF(F$8:F$37,$C62)</f>
        <v>0</v>
      </c>
      <c r="G62" s="56">
        <f>'05.10'!G63+COUNTIF(G$8:G$37,$C62)</f>
        <v>0</v>
      </c>
      <c r="H62" s="56">
        <f>'05.10'!H63+COUNTIF(H$8:H$37,$C62)</f>
        <v>0</v>
      </c>
      <c r="I62" s="56">
        <f>'05.10'!I63+COUNTIF(I$8:I$37,$C62)</f>
        <v>0</v>
      </c>
      <c r="J62" s="56">
        <f>'05.10'!J63+COUNTIF(J$8:J$37,$C62)</f>
        <v>0</v>
      </c>
    </row>
    <row r="63" spans="1:10" ht="26.25" x14ac:dyDescent="0.4">
      <c r="A63" s="1"/>
      <c r="B63" s="1"/>
      <c r="C63" s="55">
        <f>'01.09'!C64</f>
        <v>0</v>
      </c>
      <c r="D63" s="56">
        <f>'05.10'!D64+COUNTIF(D$8:D$37,$C63)</f>
        <v>0</v>
      </c>
      <c r="E63" s="56">
        <f>'05.10'!E64+COUNTIF(E$8:E$37,$C63)</f>
        <v>0</v>
      </c>
      <c r="F63" s="56">
        <f>'05.10'!F64+COUNTIF(F$8:F$37,$C63)</f>
        <v>0</v>
      </c>
      <c r="G63" s="56">
        <f>'05.10'!G64+COUNTIF(G$8:G$37,$C63)</f>
        <v>0</v>
      </c>
      <c r="H63" s="56">
        <f>'05.10'!H64+COUNTIF(H$8:H$37,$C63)</f>
        <v>0</v>
      </c>
      <c r="I63" s="56">
        <f>'05.10'!I64+COUNTIF(I$8:I$37,$C63)</f>
        <v>0</v>
      </c>
      <c r="J63" s="56">
        <f>'05.10'!J64+COUNTIF(J$8:J$37,$C63)</f>
        <v>0</v>
      </c>
    </row>
    <row r="64" spans="1:10" ht="26.25" x14ac:dyDescent="0.4">
      <c r="A64" s="1"/>
      <c r="B64" s="1"/>
      <c r="C64" s="55">
        <f>'01.09'!C65</f>
        <v>0</v>
      </c>
      <c r="D64" s="56">
        <f>'05.10'!D65+COUNTIF(D$8:D$37,$C64)</f>
        <v>0</v>
      </c>
      <c r="E64" s="56">
        <f>'05.10'!E65+COUNTIF(E$8:E$37,$C64)</f>
        <v>0</v>
      </c>
      <c r="F64" s="56">
        <f>'05.10'!F65+COUNTIF(F$8:F$37,$C64)</f>
        <v>0</v>
      </c>
      <c r="G64" s="56">
        <f>'05.10'!G65+COUNTIF(G$8:G$37,$C64)</f>
        <v>0</v>
      </c>
      <c r="H64" s="56">
        <f>'05.10'!H65+COUNTIF(H$8:H$37,$C64)</f>
        <v>0</v>
      </c>
      <c r="I64" s="56">
        <f>'05.10'!I65+COUNTIF(I$8:I$37,$C64)</f>
        <v>0</v>
      </c>
      <c r="J64" s="56">
        <f>'05.10'!J65+COUNTIF(J$8:J$37,$C64)</f>
        <v>0</v>
      </c>
    </row>
    <row r="65" spans="1:10" ht="26.25" x14ac:dyDescent="0.4">
      <c r="A65" s="1"/>
      <c r="B65" s="1"/>
      <c r="C65" s="55">
        <f>'01.09'!C66</f>
        <v>0</v>
      </c>
      <c r="D65" s="56">
        <f>'05.10'!D66+COUNTIF(D$8:D$37,$C65)</f>
        <v>0</v>
      </c>
      <c r="E65" s="56">
        <f>'05.10'!E66+COUNTIF(E$8:E$37,$C65)</f>
        <v>0</v>
      </c>
      <c r="F65" s="56">
        <f>'05.10'!F66+COUNTIF(F$8:F$37,$C65)</f>
        <v>0</v>
      </c>
      <c r="G65" s="56">
        <f>'05.10'!G66+COUNTIF(G$8:G$37,$C65)</f>
        <v>0</v>
      </c>
      <c r="H65" s="56">
        <f>'05.10'!H66+COUNTIF(H$8:H$37,$C65)</f>
        <v>0</v>
      </c>
      <c r="I65" s="56">
        <f>'05.10'!I66+COUNTIF(I$8:I$37,$C65)</f>
        <v>0</v>
      </c>
      <c r="J65" s="56">
        <f>'05.10'!J66+COUNTIF(J$8:J$37,$C65)</f>
        <v>0</v>
      </c>
    </row>
    <row r="66" spans="1:10" ht="26.25" x14ac:dyDescent="0.4">
      <c r="A66" s="1"/>
      <c r="B66" s="1"/>
      <c r="C66" s="55">
        <f>'01.09'!C67</f>
        <v>0</v>
      </c>
      <c r="D66" s="56">
        <f>'05.10'!D67+COUNTIF(D$8:D$37,$C66)</f>
        <v>0</v>
      </c>
      <c r="E66" s="56">
        <f>'05.10'!E67+COUNTIF(E$8:E$37,$C66)</f>
        <v>0</v>
      </c>
      <c r="F66" s="56">
        <f>'05.10'!F67+COUNTIF(F$8:F$37,$C66)</f>
        <v>0</v>
      </c>
      <c r="G66" s="56">
        <f>'05.10'!G67+COUNTIF(G$8:G$37,$C66)</f>
        <v>0</v>
      </c>
      <c r="H66" s="56">
        <f>'05.10'!H67+COUNTIF(H$8:H$37,$C66)</f>
        <v>0</v>
      </c>
      <c r="I66" s="56">
        <f>'05.10'!I67+COUNTIF(I$8:I$37,$C66)</f>
        <v>0</v>
      </c>
      <c r="J66" s="56">
        <f>'05.10'!J67+COUNTIF(J$8:J$37,$C66)</f>
        <v>0</v>
      </c>
    </row>
    <row r="67" spans="1:10" ht="26.25" x14ac:dyDescent="0.4">
      <c r="A67" s="1"/>
      <c r="B67" s="1"/>
      <c r="C67" s="55">
        <f>'01.09'!C68</f>
        <v>0</v>
      </c>
      <c r="D67" s="56">
        <f>'05.10'!D68+COUNTIF(D$8:D$37,$C67)</f>
        <v>0</v>
      </c>
      <c r="E67" s="56">
        <f>'05.10'!E68+COUNTIF(E$8:E$37,$C67)</f>
        <v>0</v>
      </c>
      <c r="F67" s="56">
        <f>'05.10'!F68+COUNTIF(F$8:F$37,$C67)</f>
        <v>0</v>
      </c>
      <c r="G67" s="56">
        <f>'05.10'!G68+COUNTIF(G$8:G$37,$C67)</f>
        <v>0</v>
      </c>
      <c r="H67" s="56">
        <f>'05.10'!H68+COUNTIF(H$8:H$37,$C67)</f>
        <v>0</v>
      </c>
      <c r="I67" s="56">
        <f>'05.10'!I68+COUNTIF(I$8:I$37,$C67)</f>
        <v>0</v>
      </c>
      <c r="J67" s="56">
        <f>'05.10'!J68+COUNTIF(J$8:J$37,$C67)</f>
        <v>0</v>
      </c>
    </row>
    <row r="68" spans="1:10" ht="26.25" x14ac:dyDescent="0.4">
      <c r="A68" s="1"/>
      <c r="B68" s="1"/>
      <c r="C68" s="55">
        <f>'01.09'!C69</f>
        <v>0</v>
      </c>
      <c r="D68" s="56">
        <f>'05.10'!D69+COUNTIF(D$8:D$37,$C68)</f>
        <v>0</v>
      </c>
      <c r="E68" s="56">
        <f>'05.10'!E69+COUNTIF(E$8:E$37,$C68)</f>
        <v>0</v>
      </c>
      <c r="F68" s="56">
        <f>'05.10'!F69+COUNTIF(F$8:F$37,$C68)</f>
        <v>0</v>
      </c>
      <c r="G68" s="56">
        <f>'05.10'!G69+COUNTIF(G$8:G$37,$C68)</f>
        <v>0</v>
      </c>
      <c r="H68" s="56">
        <f>'05.10'!H69+COUNTIF(H$8:H$37,$C68)</f>
        <v>0</v>
      </c>
      <c r="I68" s="56">
        <f>'05.10'!I69+COUNTIF(I$8:I$37,$C68)</f>
        <v>0</v>
      </c>
      <c r="J68" s="56">
        <f>'05.10'!J69+COUNTIF(J$8:J$37,$C68)</f>
        <v>0</v>
      </c>
    </row>
    <row r="69" spans="1:10" ht="26.25" x14ac:dyDescent="0.4">
      <c r="A69" s="1"/>
      <c r="B69" s="1"/>
      <c r="C69" s="55">
        <f>'01.09'!C70</f>
        <v>0</v>
      </c>
      <c r="D69" s="56">
        <f>'05.10'!D70+COUNTIF(D$8:D$37,$C69)</f>
        <v>0</v>
      </c>
      <c r="E69" s="56">
        <f>'05.10'!E70+COUNTIF(E$8:E$37,$C69)</f>
        <v>0</v>
      </c>
      <c r="F69" s="56">
        <f>'05.10'!F70+COUNTIF(F$8:F$37,$C69)</f>
        <v>0</v>
      </c>
      <c r="G69" s="56">
        <f>'05.10'!G70+COUNTIF(G$8:G$37,$C69)</f>
        <v>0</v>
      </c>
      <c r="H69" s="56">
        <f>'05.10'!H70+COUNTIF(H$8:H$37,$C69)</f>
        <v>0</v>
      </c>
      <c r="I69" s="56">
        <f>'05.10'!I70+COUNTIF(I$8:I$37,$C69)</f>
        <v>0</v>
      </c>
      <c r="J69" s="56">
        <f>'05.10'!J70+COUNTIF(J$8:J$37,$C69)</f>
        <v>0</v>
      </c>
    </row>
    <row r="70" spans="1:10" ht="26.25" x14ac:dyDescent="0.4">
      <c r="A70" s="1"/>
      <c r="B70" s="1"/>
      <c r="C70" s="55">
        <f>'01.09'!C71</f>
        <v>0</v>
      </c>
      <c r="D70" s="56">
        <f>'05.10'!D71+COUNTIF(D$8:D$37,$C70)</f>
        <v>0</v>
      </c>
      <c r="E70" s="56">
        <f>'05.10'!E71+COUNTIF(E$8:E$37,$C70)</f>
        <v>0</v>
      </c>
      <c r="F70" s="56">
        <f>'05.10'!F71+COUNTIF(F$8:F$37,$C70)</f>
        <v>0</v>
      </c>
      <c r="G70" s="56">
        <f>'05.10'!G71+COUNTIF(G$8:G$37,$C70)</f>
        <v>0</v>
      </c>
      <c r="H70" s="56">
        <f>'05.10'!H71+COUNTIF(H$8:H$37,$C70)</f>
        <v>0</v>
      </c>
      <c r="I70" s="56">
        <f>'05.10'!I71+COUNTIF(I$8:I$37,$C70)</f>
        <v>0</v>
      </c>
      <c r="J70" s="56">
        <f>'05.10'!J71+COUNTIF(J$8:J$37,$C70)</f>
        <v>0</v>
      </c>
    </row>
    <row r="71" spans="1:10" ht="26.25" x14ac:dyDescent="0.4">
      <c r="A71" s="1"/>
      <c r="B71" s="1"/>
      <c r="C71" s="55">
        <f>'01.09'!C72</f>
        <v>0</v>
      </c>
      <c r="D71" s="56">
        <f>'05.10'!D72+COUNTIF(D$8:D$37,$C71)</f>
        <v>0</v>
      </c>
      <c r="E71" s="56">
        <f>'05.10'!E72+COUNTIF(E$8:E$37,$C71)</f>
        <v>0</v>
      </c>
      <c r="F71" s="56">
        <f>'05.10'!F72+COUNTIF(F$8:F$37,$C71)</f>
        <v>0</v>
      </c>
      <c r="G71" s="56">
        <f>'05.10'!G72+COUNTIF(G$8:G$37,$C71)</f>
        <v>0</v>
      </c>
      <c r="H71" s="56">
        <f>'05.10'!H72+COUNTIF(H$8:H$37,$C71)</f>
        <v>0</v>
      </c>
      <c r="I71" s="56">
        <f>'05.10'!I72+COUNTIF(I$8:I$37,$C71)</f>
        <v>0</v>
      </c>
      <c r="J71" s="56">
        <f>'05.10'!J72+COUNTIF(J$8:J$37,$C71)</f>
        <v>0</v>
      </c>
    </row>
    <row r="72" spans="1:10" ht="26.25" x14ac:dyDescent="0.4">
      <c r="C72" s="55">
        <f>'01.09'!C73</f>
        <v>0</v>
      </c>
      <c r="D72" s="56">
        <f>'05.10'!D73+COUNTIF(D$8:D$37,$C72)</f>
        <v>0</v>
      </c>
      <c r="E72" s="56">
        <f>'05.10'!E73+COUNTIF(E$8:E$37,$C72)</f>
        <v>0</v>
      </c>
      <c r="F72" s="56">
        <f>'05.10'!F73+COUNTIF(F$8:F$37,$C72)</f>
        <v>0</v>
      </c>
      <c r="G72" s="56">
        <f>'05.10'!G73+COUNTIF(G$8:G$37,$C72)</f>
        <v>0</v>
      </c>
      <c r="H72" s="56">
        <f>'05.10'!H73+COUNTIF(H$8:H$37,$C72)</f>
        <v>0</v>
      </c>
      <c r="I72" s="56">
        <f>'05.10'!I73+COUNTIF(I$8:I$37,$C72)</f>
        <v>0</v>
      </c>
      <c r="J72" s="56">
        <f>'05.10'!J73+COUNTIF(J$8:J$37,$C72)</f>
        <v>0</v>
      </c>
    </row>
  </sheetData>
  <mergeCells count="20">
    <mergeCell ref="A33:A37"/>
    <mergeCell ref="B33:B37"/>
    <mergeCell ref="A23:A27"/>
    <mergeCell ref="A28:A32"/>
    <mergeCell ref="B18:B22"/>
    <mergeCell ref="B23:B27"/>
    <mergeCell ref="B28:B32"/>
    <mergeCell ref="A18:A22"/>
    <mergeCell ref="A8:A12"/>
    <mergeCell ref="A13:A17"/>
    <mergeCell ref="A6:A7"/>
    <mergeCell ref="C6:C7"/>
    <mergeCell ref="B1:J1"/>
    <mergeCell ref="B2:J2"/>
    <mergeCell ref="A3:J3"/>
    <mergeCell ref="B4:J4"/>
    <mergeCell ref="B5:J5"/>
    <mergeCell ref="B8:B12"/>
    <mergeCell ref="B13:B17"/>
    <mergeCell ref="B6:B7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2"/>
  <sheetViews>
    <sheetView view="pageBreakPreview" zoomScale="39" zoomScaleNormal="40" zoomScaleSheetLayoutView="39" zoomScalePageLayoutView="40" workbookViewId="0">
      <selection activeCell="I11" sqref="I11"/>
    </sheetView>
  </sheetViews>
  <sheetFormatPr defaultColWidth="9.140625" defaultRowHeight="15" x14ac:dyDescent="0.25"/>
  <cols>
    <col min="1" max="2" width="4.42578125" style="5" customWidth="1"/>
    <col min="3" max="3" width="25.28515625" style="5" customWidth="1"/>
    <col min="4" max="6" width="54.7109375" style="5" customWidth="1"/>
    <col min="7" max="7" width="54.7109375" style="13" customWidth="1"/>
    <col min="8" max="10" width="54.7109375" style="5" customWidth="1"/>
    <col min="11" max="16384" width="9.140625" style="5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2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54.5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194.25" x14ac:dyDescent="0.25">
      <c r="A9" s="643" t="s">
        <v>0</v>
      </c>
      <c r="B9" s="648">
        <v>46314</v>
      </c>
      <c r="C9" s="90" t="s">
        <v>5</v>
      </c>
      <c r="D9" s="516"/>
      <c r="E9" s="517" t="s">
        <v>190</v>
      </c>
      <c r="F9" s="517"/>
      <c r="G9" s="517"/>
      <c r="H9" s="517" t="s">
        <v>188</v>
      </c>
      <c r="I9" s="518" t="s">
        <v>183</v>
      </c>
      <c r="J9" s="519" t="s">
        <v>184</v>
      </c>
    </row>
    <row r="10" spans="1:10" ht="194.25" x14ac:dyDescent="0.25">
      <c r="A10" s="644"/>
      <c r="B10" s="619"/>
      <c r="C10" s="91" t="s">
        <v>6</v>
      </c>
      <c r="D10" s="520"/>
      <c r="E10" s="521" t="s">
        <v>188</v>
      </c>
      <c r="F10" s="522" t="s">
        <v>181</v>
      </c>
      <c r="G10" s="521" t="s">
        <v>190</v>
      </c>
      <c r="H10" s="521" t="s">
        <v>203</v>
      </c>
      <c r="I10" s="522" t="s">
        <v>183</v>
      </c>
      <c r="J10" s="523" t="s">
        <v>184</v>
      </c>
    </row>
    <row r="11" spans="1:10" ht="111" x14ac:dyDescent="0.25">
      <c r="A11" s="644"/>
      <c r="B11" s="619"/>
      <c r="C11" s="91" t="s">
        <v>7</v>
      </c>
      <c r="D11" s="524" t="s">
        <v>202</v>
      </c>
      <c r="E11" s="522" t="s">
        <v>203</v>
      </c>
      <c r="F11" s="522" t="s">
        <v>181</v>
      </c>
      <c r="G11" s="522" t="s">
        <v>199</v>
      </c>
      <c r="H11" s="522"/>
      <c r="I11" s="522" t="s">
        <v>192</v>
      </c>
      <c r="J11" s="523" t="s">
        <v>196</v>
      </c>
    </row>
    <row r="12" spans="1:10" ht="111" x14ac:dyDescent="0.25">
      <c r="A12" s="644"/>
      <c r="B12" s="619"/>
      <c r="C12" s="91" t="s">
        <v>8</v>
      </c>
      <c r="D12" s="524" t="s">
        <v>203</v>
      </c>
      <c r="E12" s="522"/>
      <c r="F12" s="522"/>
      <c r="G12" s="522" t="s">
        <v>199</v>
      </c>
      <c r="H12" s="522"/>
      <c r="I12" s="237" t="s">
        <v>207</v>
      </c>
      <c r="J12" s="523" t="s">
        <v>192</v>
      </c>
    </row>
    <row r="13" spans="1:10" ht="28.5" thickBot="1" x14ac:dyDescent="0.3">
      <c r="A13" s="644"/>
      <c r="B13" s="655"/>
      <c r="C13" s="54" t="s">
        <v>10</v>
      </c>
      <c r="D13" s="540"/>
      <c r="E13" s="541"/>
      <c r="F13" s="541"/>
      <c r="G13" s="541"/>
      <c r="H13" s="541"/>
      <c r="I13" s="541"/>
      <c r="J13" s="542"/>
    </row>
    <row r="14" spans="1:10" ht="68.25" customHeight="1" x14ac:dyDescent="0.25">
      <c r="A14" s="643" t="s">
        <v>1</v>
      </c>
      <c r="B14" s="656">
        <f>B9+1</f>
        <v>46315</v>
      </c>
      <c r="C14" s="46" t="s">
        <v>5</v>
      </c>
      <c r="D14" s="462"/>
      <c r="E14" s="446"/>
      <c r="F14" s="446"/>
      <c r="G14" s="446"/>
      <c r="H14" s="446"/>
      <c r="I14" s="446"/>
      <c r="J14" s="447"/>
    </row>
    <row r="15" spans="1:10" ht="68.25" customHeight="1" x14ac:dyDescent="0.25">
      <c r="A15" s="644"/>
      <c r="B15" s="619"/>
      <c r="C15" s="47" t="s">
        <v>6</v>
      </c>
      <c r="D15" s="463"/>
      <c r="E15" s="448"/>
      <c r="F15" s="400"/>
      <c r="G15" s="400"/>
      <c r="H15" s="400"/>
      <c r="I15" s="400"/>
      <c r="J15" s="403"/>
    </row>
    <row r="16" spans="1:10" ht="68.25" customHeight="1" x14ac:dyDescent="0.25">
      <c r="A16" s="644"/>
      <c r="B16" s="619"/>
      <c r="C16" s="47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0" ht="68.25" customHeight="1" x14ac:dyDescent="0.25">
      <c r="A17" s="644"/>
      <c r="B17" s="619"/>
      <c r="C17" s="47" t="s">
        <v>8</v>
      </c>
      <c r="D17" s="465"/>
      <c r="E17" s="466"/>
      <c r="F17" s="466"/>
      <c r="G17" s="466"/>
      <c r="H17" s="466"/>
      <c r="I17" s="466"/>
      <c r="J17" s="467"/>
    </row>
    <row r="18" spans="1:10" ht="68.25" customHeight="1" thickBot="1" x14ac:dyDescent="0.3">
      <c r="A18" s="645"/>
      <c r="B18" s="620"/>
      <c r="C18" s="48" t="s">
        <v>10</v>
      </c>
      <c r="D18" s="468"/>
      <c r="E18" s="411"/>
      <c r="F18" s="411"/>
      <c r="G18" s="469"/>
      <c r="H18" s="411"/>
      <c r="I18" s="469"/>
      <c r="J18" s="470"/>
    </row>
    <row r="19" spans="1:10" ht="68.25" customHeight="1" x14ac:dyDescent="0.25">
      <c r="A19" s="644" t="s">
        <v>2</v>
      </c>
      <c r="B19" s="648">
        <f>B14+1</f>
        <v>46316</v>
      </c>
      <c r="C19" s="53" t="s">
        <v>5</v>
      </c>
      <c r="D19" s="462"/>
      <c r="E19" s="446"/>
      <c r="F19" s="446"/>
      <c r="G19" s="446"/>
      <c r="H19" s="446"/>
      <c r="I19" s="446"/>
      <c r="J19" s="447"/>
    </row>
    <row r="20" spans="1:10" ht="68.25" customHeight="1" x14ac:dyDescent="0.25">
      <c r="A20" s="644"/>
      <c r="B20" s="619"/>
      <c r="C20" s="47" t="s">
        <v>6</v>
      </c>
      <c r="D20" s="463"/>
      <c r="E20" s="448"/>
      <c r="F20" s="400"/>
      <c r="G20" s="400"/>
      <c r="H20" s="400"/>
      <c r="I20" s="400"/>
      <c r="J20" s="403"/>
    </row>
    <row r="21" spans="1:10" ht="68.25" customHeight="1" x14ac:dyDescent="0.25">
      <c r="A21" s="644"/>
      <c r="B21" s="619"/>
      <c r="C21" s="47" t="s">
        <v>7</v>
      </c>
      <c r="D21" s="651" t="s">
        <v>137</v>
      </c>
      <c r="E21" s="652"/>
      <c r="F21" s="652"/>
      <c r="G21" s="652"/>
      <c r="H21" s="652"/>
      <c r="I21" s="652"/>
      <c r="J21" s="653"/>
    </row>
    <row r="22" spans="1:10" ht="68.25" customHeight="1" x14ac:dyDescent="0.25">
      <c r="A22" s="644"/>
      <c r="B22" s="619"/>
      <c r="C22" s="47" t="s">
        <v>8</v>
      </c>
      <c r="D22" s="465"/>
      <c r="E22" s="466"/>
      <c r="F22" s="466"/>
      <c r="G22" s="466"/>
      <c r="H22" s="466"/>
      <c r="I22" s="466"/>
      <c r="J22" s="467"/>
    </row>
    <row r="23" spans="1:10" ht="68.25" customHeight="1" thickBot="1" x14ac:dyDescent="0.3">
      <c r="A23" s="645"/>
      <c r="B23" s="619"/>
      <c r="C23" s="48" t="s">
        <v>10</v>
      </c>
      <c r="D23" s="468"/>
      <c r="E23" s="411"/>
      <c r="F23" s="411"/>
      <c r="G23" s="469"/>
      <c r="H23" s="411"/>
      <c r="I23" s="469"/>
      <c r="J23" s="470"/>
    </row>
    <row r="24" spans="1:10" ht="68.25" customHeight="1" x14ac:dyDescent="0.25">
      <c r="A24" s="643" t="s">
        <v>3</v>
      </c>
      <c r="B24" s="621">
        <f>B19+1</f>
        <v>46317</v>
      </c>
      <c r="C24" s="50" t="s">
        <v>5</v>
      </c>
      <c r="D24" s="462"/>
      <c r="E24" s="446"/>
      <c r="F24" s="446"/>
      <c r="G24" s="446"/>
      <c r="H24" s="446"/>
      <c r="I24" s="446"/>
      <c r="J24" s="447"/>
    </row>
    <row r="25" spans="1:10" ht="68.25" customHeight="1" x14ac:dyDescent="0.25">
      <c r="A25" s="649"/>
      <c r="B25" s="619"/>
      <c r="C25" s="51" t="s">
        <v>6</v>
      </c>
      <c r="D25" s="463"/>
      <c r="E25" s="448"/>
      <c r="F25" s="400"/>
      <c r="G25" s="400"/>
      <c r="H25" s="400"/>
      <c r="I25" s="400"/>
      <c r="J25" s="403"/>
    </row>
    <row r="26" spans="1:10" ht="68.25" customHeight="1" x14ac:dyDescent="0.25">
      <c r="A26" s="649"/>
      <c r="B26" s="619"/>
      <c r="C26" s="51" t="s">
        <v>7</v>
      </c>
      <c r="D26" s="651" t="s">
        <v>137</v>
      </c>
      <c r="E26" s="652"/>
      <c r="F26" s="652"/>
      <c r="G26" s="652"/>
      <c r="H26" s="652"/>
      <c r="I26" s="652"/>
      <c r="J26" s="653"/>
    </row>
    <row r="27" spans="1:10" ht="68.25" customHeight="1" x14ac:dyDescent="0.25">
      <c r="A27" s="649"/>
      <c r="B27" s="619"/>
      <c r="C27" s="51" t="s">
        <v>8</v>
      </c>
      <c r="D27" s="465"/>
      <c r="E27" s="466"/>
      <c r="F27" s="466"/>
      <c r="G27" s="466"/>
      <c r="H27" s="466"/>
      <c r="I27" s="466"/>
      <c r="J27" s="467"/>
    </row>
    <row r="28" spans="1:10" ht="68.25" customHeight="1" thickBot="1" x14ac:dyDescent="0.3">
      <c r="A28" s="649"/>
      <c r="B28" s="655"/>
      <c r="C28" s="54" t="s">
        <v>10</v>
      </c>
      <c r="D28" s="468"/>
      <c r="E28" s="411"/>
      <c r="F28" s="411"/>
      <c r="G28" s="469"/>
      <c r="H28" s="411"/>
      <c r="I28" s="469"/>
      <c r="J28" s="470"/>
    </row>
    <row r="29" spans="1:10" ht="68.25" customHeight="1" x14ac:dyDescent="0.25">
      <c r="A29" s="643" t="s">
        <v>4</v>
      </c>
      <c r="B29" s="656">
        <f>B24+1</f>
        <v>46318</v>
      </c>
      <c r="C29" s="50" t="s">
        <v>5</v>
      </c>
      <c r="D29" s="462"/>
      <c r="E29" s="446"/>
      <c r="F29" s="446"/>
      <c r="G29" s="446"/>
      <c r="H29" s="446"/>
      <c r="I29" s="446"/>
      <c r="J29" s="447"/>
    </row>
    <row r="30" spans="1:10" ht="68.25" customHeight="1" x14ac:dyDescent="0.25">
      <c r="A30" s="644"/>
      <c r="B30" s="619"/>
      <c r="C30" s="51" t="s">
        <v>6</v>
      </c>
      <c r="D30" s="463"/>
      <c r="E30" s="448"/>
      <c r="F30" s="400"/>
      <c r="G30" s="400"/>
      <c r="H30" s="400"/>
      <c r="I30" s="400"/>
      <c r="J30" s="403"/>
    </row>
    <row r="31" spans="1:10" ht="68.25" customHeight="1" x14ac:dyDescent="0.25">
      <c r="A31" s="644"/>
      <c r="B31" s="619"/>
      <c r="C31" s="51" t="s">
        <v>7</v>
      </c>
      <c r="D31" s="651" t="s">
        <v>137</v>
      </c>
      <c r="E31" s="652"/>
      <c r="F31" s="652"/>
      <c r="G31" s="652"/>
      <c r="H31" s="652"/>
      <c r="I31" s="652"/>
      <c r="J31" s="653"/>
    </row>
    <row r="32" spans="1:10" ht="68.25" customHeight="1" x14ac:dyDescent="0.25">
      <c r="A32" s="644"/>
      <c r="B32" s="619"/>
      <c r="C32" s="51" t="s">
        <v>8</v>
      </c>
      <c r="D32" s="465"/>
      <c r="E32" s="466"/>
      <c r="F32" s="466"/>
      <c r="G32" s="466"/>
      <c r="H32" s="466"/>
      <c r="I32" s="466"/>
      <c r="J32" s="467"/>
    </row>
    <row r="33" spans="1:10" ht="68.25" customHeight="1" thickBot="1" x14ac:dyDescent="0.3">
      <c r="A33" s="645"/>
      <c r="B33" s="620"/>
      <c r="C33" s="52" t="s">
        <v>10</v>
      </c>
      <c r="D33" s="468"/>
      <c r="E33" s="411"/>
      <c r="F33" s="411"/>
      <c r="G33" s="469"/>
      <c r="H33" s="411"/>
      <c r="I33" s="469"/>
      <c r="J33" s="470"/>
    </row>
    <row r="34" spans="1:10" s="13" customFormat="1" ht="68.25" customHeight="1" x14ac:dyDescent="0.25">
      <c r="A34" s="654" t="s">
        <v>12</v>
      </c>
      <c r="B34" s="607">
        <f>B29+1</f>
        <v>46319</v>
      </c>
      <c r="C34" s="128" t="s">
        <v>5</v>
      </c>
      <c r="D34" s="462"/>
      <c r="E34" s="446"/>
      <c r="F34" s="446"/>
      <c r="G34" s="446"/>
      <c r="H34" s="446"/>
      <c r="I34" s="446"/>
      <c r="J34" s="447"/>
    </row>
    <row r="35" spans="1:10" s="13" customFormat="1" ht="68.25" customHeight="1" x14ac:dyDescent="0.25">
      <c r="A35" s="619"/>
      <c r="B35" s="604"/>
      <c r="C35" s="35" t="s">
        <v>6</v>
      </c>
      <c r="D35" s="463"/>
      <c r="E35" s="448"/>
      <c r="F35" s="400"/>
      <c r="G35" s="400"/>
      <c r="H35" s="400"/>
      <c r="I35" s="400"/>
      <c r="J35" s="403"/>
    </row>
    <row r="36" spans="1:10" s="13" customFormat="1" ht="68.25" customHeight="1" x14ac:dyDescent="0.25">
      <c r="A36" s="619"/>
      <c r="B36" s="604"/>
      <c r="C36" s="35" t="s">
        <v>7</v>
      </c>
      <c r="D36" s="651" t="s">
        <v>137</v>
      </c>
      <c r="E36" s="652"/>
      <c r="F36" s="652"/>
      <c r="G36" s="652"/>
      <c r="H36" s="652"/>
      <c r="I36" s="652"/>
      <c r="J36" s="653"/>
    </row>
    <row r="37" spans="1:10" s="13" customFormat="1" ht="68.25" customHeight="1" x14ac:dyDescent="0.25">
      <c r="A37" s="619"/>
      <c r="B37" s="604"/>
      <c r="C37" s="35" t="s">
        <v>8</v>
      </c>
      <c r="D37" s="465"/>
      <c r="E37" s="466"/>
      <c r="F37" s="466"/>
      <c r="G37" s="466"/>
      <c r="H37" s="466"/>
      <c r="I37" s="466"/>
      <c r="J37" s="467"/>
    </row>
    <row r="38" spans="1:10" s="13" customFormat="1" ht="68.25" customHeight="1" thickBot="1" x14ac:dyDescent="0.3">
      <c r="A38" s="620"/>
      <c r="B38" s="608"/>
      <c r="C38" s="36" t="s">
        <v>10</v>
      </c>
      <c r="D38" s="468"/>
      <c r="E38" s="411"/>
      <c r="F38" s="411"/>
      <c r="G38" s="469"/>
      <c r="H38" s="411"/>
      <c r="I38" s="469"/>
      <c r="J38" s="470"/>
    </row>
    <row r="39" spans="1:10" ht="27.75" x14ac:dyDescent="0.25">
      <c r="A39" s="6"/>
      <c r="B39" s="6"/>
      <c r="C39" s="6"/>
      <c r="D39" s="136" t="s">
        <v>51</v>
      </c>
      <c r="E39" s="6"/>
      <c r="F39" s="6"/>
      <c r="G39" s="6"/>
      <c r="H39" s="6"/>
      <c r="I39" s="6"/>
    </row>
    <row r="40" spans="1:10" ht="23.25" x14ac:dyDescent="0.35">
      <c r="A40" s="6"/>
      <c r="B40" s="6"/>
      <c r="C40" s="26" t="str">
        <f>'01.09'!C40</f>
        <v>*Л. Основы медицинских знаний и спортивная медицина*</v>
      </c>
      <c r="D40" s="27">
        <f>'12.10'!D39+COUNTIF(D$9:D$38,$C40)</f>
        <v>8</v>
      </c>
      <c r="E40" s="27">
        <f>'12.10'!E39+COUNTIF(E$9:E$38,$C40)</f>
        <v>8</v>
      </c>
      <c r="F40" s="27">
        <f>'12.10'!F39+COUNTIF(F$9:F$38,$C40)</f>
        <v>8</v>
      </c>
      <c r="G40" s="27">
        <f>'12.10'!G39+COUNTIF(G$9:G$38,$C40)</f>
        <v>8</v>
      </c>
      <c r="H40" s="27">
        <f>'12.10'!H39+COUNTIF(H$9:H$38,$C40)</f>
        <v>8</v>
      </c>
      <c r="I40" s="27">
        <f>'12.10'!I39+COUNTIF(I$9:I$38,$C40)</f>
        <v>8</v>
      </c>
      <c r="J40" s="27">
        <f>'12.10'!J39+COUNTIF(J$9:J$38,$C40)</f>
        <v>8</v>
      </c>
    </row>
    <row r="41" spans="1:10" s="13" customFormat="1" ht="23.25" x14ac:dyDescent="0.35">
      <c r="A41" s="6"/>
      <c r="B41" s="6"/>
      <c r="C41" s="26" t="str">
        <f>'01.09'!C41</f>
        <v>*Пр. Основы медицинских знаний и спортивная медицина*</v>
      </c>
      <c r="D41" s="27">
        <f>'12.10'!D40+COUNTIF(D$9:D$38,$C41)</f>
        <v>14</v>
      </c>
      <c r="E41" s="27">
        <f>'12.10'!E40+COUNTIF(E$9:E$38,$C41)</f>
        <v>14</v>
      </c>
      <c r="F41" s="27">
        <f>'12.10'!F40+COUNTIF(F$9:F$38,$C41)</f>
        <v>13</v>
      </c>
      <c r="G41" s="27">
        <f>'12.10'!G40+COUNTIF(G$9:G$38,$C41)</f>
        <v>9</v>
      </c>
      <c r="H41" s="27">
        <f>'12.10'!H40+COUNTIF(H$9:H$38,$C41)</f>
        <v>14</v>
      </c>
      <c r="I41" s="27">
        <f>'12.10'!I40+COUNTIF(I$9:I$38,$C41)</f>
        <v>13</v>
      </c>
      <c r="J41" s="27">
        <f>'12.10'!J40+COUNTIF(J$9:J$38,$C41)</f>
        <v>13</v>
      </c>
    </row>
    <row r="42" spans="1:10" ht="23.25" x14ac:dyDescent="0.35">
      <c r="A42" s="6"/>
      <c r="B42" s="6"/>
      <c r="C42" s="26" t="str">
        <f>'01.09'!C42</f>
        <v>*Л. Массаж*</v>
      </c>
      <c r="D42" s="27">
        <f>'12.10'!D41+COUNTIF(D$9:D$38,$C42)</f>
        <v>5</v>
      </c>
      <c r="E42" s="27">
        <f>'12.10'!E41+COUNTIF(E$9:E$38,$C42)</f>
        <v>5</v>
      </c>
      <c r="F42" s="27">
        <f>'12.10'!F41+COUNTIF(F$9:F$38,$C42)</f>
        <v>5</v>
      </c>
      <c r="G42" s="27">
        <f>'12.10'!G41+COUNTIF(G$9:G$38,$C42)</f>
        <v>5</v>
      </c>
      <c r="H42" s="27">
        <f>'12.10'!H41+COUNTIF(H$9:H$38,$C42)</f>
        <v>5</v>
      </c>
      <c r="I42" s="27">
        <f>'12.10'!I41+COUNTIF(I$9:I$38,$C42)</f>
        <v>5</v>
      </c>
      <c r="J42" s="27">
        <f>'12.10'!J41+COUNTIF(J$9:J$38,$C42)</f>
        <v>5</v>
      </c>
    </row>
    <row r="43" spans="1:10" s="13" customFormat="1" ht="23.25" x14ac:dyDescent="0.35">
      <c r="A43" s="6"/>
      <c r="B43" s="6"/>
      <c r="C43" s="26" t="str">
        <f>'01.09'!C43</f>
        <v>*Пр. Массаж*</v>
      </c>
      <c r="D43" s="27">
        <f>'12.10'!D42+COUNTIF(D$9:D$38,$C43)</f>
        <v>13</v>
      </c>
      <c r="E43" s="27">
        <f>'12.10'!E42+COUNTIF(E$9:E$38,$C43)</f>
        <v>13</v>
      </c>
      <c r="F43" s="27">
        <f>'12.10'!F42+COUNTIF(F$9:F$38,$C43)</f>
        <v>13</v>
      </c>
      <c r="G43" s="27">
        <f>'12.10'!G42+COUNTIF(G$9:G$38,$C43)</f>
        <v>14</v>
      </c>
      <c r="H43" s="27">
        <f>'12.10'!H42+COUNTIF(H$9:H$38,$C43)</f>
        <v>14</v>
      </c>
      <c r="I43" s="27">
        <f>'12.10'!I42+COUNTIF(I$9:I$38,$C43)</f>
        <v>14</v>
      </c>
      <c r="J43" s="27">
        <f>'12.10'!J42+COUNTIF(J$9:J$38,$C43)</f>
        <v>14</v>
      </c>
    </row>
    <row r="44" spans="1:10" ht="23.25" x14ac:dyDescent="0.35">
      <c r="A44" s="6"/>
      <c r="B44" s="6"/>
      <c r="C44" s="26" t="str">
        <f>'01.09'!C44</f>
        <v>*Л. Правовые основы профессиональной деятельности*</v>
      </c>
      <c r="D44" s="27">
        <f>'12.10'!D43+COUNTIF(D$9:D$38,$C44)</f>
        <v>5</v>
      </c>
      <c r="E44" s="27">
        <f>'12.10'!E43+COUNTIF(E$9:E$38,$C44)</f>
        <v>5</v>
      </c>
      <c r="F44" s="27">
        <f>'12.10'!F43+COUNTIF(F$9:F$38,$C44)</f>
        <v>5</v>
      </c>
      <c r="G44" s="27">
        <f>'12.10'!G43+COUNTIF(G$9:G$38,$C44)</f>
        <v>5</v>
      </c>
      <c r="H44" s="27">
        <f>'12.10'!H43+COUNTIF(H$9:H$38,$C44)</f>
        <v>5</v>
      </c>
      <c r="I44" s="27">
        <f>'12.10'!I43+COUNTIF(I$9:I$38,$C44)</f>
        <v>5</v>
      </c>
      <c r="J44" s="27">
        <f>'12.10'!J43+COUNTIF(J$9:J$38,$C44)</f>
        <v>5</v>
      </c>
    </row>
    <row r="45" spans="1:10" s="13" customFormat="1" ht="23.25" x14ac:dyDescent="0.35">
      <c r="A45" s="6"/>
      <c r="B45" s="6"/>
      <c r="C45" s="26" t="str">
        <f>'01.09'!C45</f>
        <v>*Пр. Правовые основы профессиональной деятельности*</v>
      </c>
      <c r="D45" s="27">
        <f>'12.10'!D44+COUNTIF(D$9:D$38,$C45)</f>
        <v>7</v>
      </c>
      <c r="E45" s="27">
        <f>'12.10'!E44+COUNTIF(E$9:E$38,$C45)</f>
        <v>8</v>
      </c>
      <c r="F45" s="27">
        <f>'12.10'!F44+COUNTIF(F$9:F$38,$C45)</f>
        <v>7</v>
      </c>
      <c r="G45" s="27">
        <f>'12.10'!G44+COUNTIF(G$9:G$38,$C45)</f>
        <v>7</v>
      </c>
      <c r="H45" s="27">
        <f>'12.10'!H44+COUNTIF(H$9:H$38,$C45)</f>
        <v>7</v>
      </c>
      <c r="I45" s="27">
        <f>'12.10'!I44+COUNTIF(I$9:I$38,$C45)</f>
        <v>6</v>
      </c>
      <c r="J45" s="27">
        <f>'12.10'!J44+COUNTIF(J$9:J$38,$C45)</f>
        <v>7</v>
      </c>
    </row>
    <row r="46" spans="1:10" ht="23.25" x14ac:dyDescent="0.35">
      <c r="A46" s="6"/>
      <c r="B46" s="6"/>
      <c r="C46" s="26" t="str">
        <f>'01.09'!C46</f>
        <v>*Л. Теория и методика*</v>
      </c>
      <c r="D46" s="27">
        <f>'12.10'!D45+COUNTIF(D$9:D$38,$C46)</f>
        <v>4</v>
      </c>
      <c r="E46" s="27">
        <f>'12.10'!E45+COUNTIF(E$9:E$38,$C46)</f>
        <v>4</v>
      </c>
      <c r="F46" s="27">
        <f>'12.10'!F45+COUNTIF(F$9:F$38,$C46)</f>
        <v>4</v>
      </c>
      <c r="G46" s="27">
        <f>'12.10'!G45+COUNTIF(G$9:G$38,$C46)</f>
        <v>4</v>
      </c>
      <c r="H46" s="27">
        <f>'12.10'!H45+COUNTIF(H$9:H$38,$C46)</f>
        <v>4</v>
      </c>
      <c r="I46" s="27">
        <f>'12.10'!I45+COUNTIF(I$9:I$38,$C46)</f>
        <v>4</v>
      </c>
      <c r="J46" s="27">
        <f>'12.10'!J45+COUNTIF(J$9:J$38,$C46)</f>
        <v>4</v>
      </c>
    </row>
    <row r="47" spans="1:10" s="13" customFormat="1" ht="23.25" x14ac:dyDescent="0.35">
      <c r="A47" s="6"/>
      <c r="B47" s="6"/>
      <c r="C47" s="26" t="str">
        <f>'01.09'!C47</f>
        <v>*Пр. Теория и методика*</v>
      </c>
      <c r="D47" s="27">
        <f>'12.10'!D46+COUNTIF(D$9:D$38,$C47)</f>
        <v>30</v>
      </c>
      <c r="E47" s="27">
        <f>'12.10'!E46+COUNTIF(E$9:E$38,$C47)</f>
        <v>30</v>
      </c>
      <c r="F47" s="27">
        <f>'12.10'!F46+COUNTIF(F$9:F$38,$C47)</f>
        <v>31</v>
      </c>
      <c r="G47" s="27">
        <f>'12.10'!G46+COUNTIF(G$9:G$38,$C47)</f>
        <v>35</v>
      </c>
      <c r="H47" s="27">
        <f>'12.10'!H46+COUNTIF(H$9:H$38,$C47)</f>
        <v>35</v>
      </c>
      <c r="I47" s="27">
        <f>'12.10'!I46+COUNTIF(I$9:I$38,$C47)</f>
        <v>37</v>
      </c>
      <c r="J47" s="27">
        <f>'12.10'!J46+COUNTIF(J$9:J$38,$C47)</f>
        <v>37</v>
      </c>
    </row>
    <row r="48" spans="1:10" ht="23.25" x14ac:dyDescent="0.35">
      <c r="A48" s="6"/>
      <c r="B48" s="6"/>
      <c r="C48" s="26" t="str">
        <f>'01.09'!C48</f>
        <v>*Л. Спортивная метрология*</v>
      </c>
      <c r="D48" s="27">
        <f>'12.10'!D47+COUNTIF(D$9:D$38,$C48)</f>
        <v>5</v>
      </c>
      <c r="E48" s="27">
        <f>'12.10'!E47+COUNTIF(E$9:E$38,$C48)</f>
        <v>5</v>
      </c>
      <c r="F48" s="27">
        <f>'12.10'!F47+COUNTIF(F$9:F$38,$C48)</f>
        <v>5</v>
      </c>
      <c r="G48" s="27">
        <f>'12.10'!G47+COUNTIF(G$9:G$38,$C48)</f>
        <v>5</v>
      </c>
      <c r="H48" s="27">
        <f>'12.10'!H47+COUNTIF(H$9:H$38,$C48)</f>
        <v>5</v>
      </c>
      <c r="I48" s="27">
        <f>'12.10'!I47+COUNTIF(I$9:I$38,$C48)</f>
        <v>5</v>
      </c>
      <c r="J48" s="27">
        <f>'12.10'!J47+COUNTIF(J$9:J$38,$C48)</f>
        <v>5</v>
      </c>
    </row>
    <row r="49" spans="1:10" s="13" customFormat="1" ht="23.25" x14ac:dyDescent="0.35">
      <c r="A49" s="6"/>
      <c r="B49" s="6"/>
      <c r="C49" s="26" t="str">
        <f>'01.09'!C49</f>
        <v>*Пр. Спортивная метрология*</v>
      </c>
      <c r="D49" s="27">
        <f>'12.10'!D48+COUNTIF(D$9:D$38,$C49)</f>
        <v>7</v>
      </c>
      <c r="E49" s="27">
        <f>'12.10'!E48+COUNTIF(E$9:E$38,$C49)</f>
        <v>7</v>
      </c>
      <c r="F49" s="27">
        <f>'12.10'!F48+COUNTIF(F$9:F$38,$C49)</f>
        <v>7</v>
      </c>
      <c r="G49" s="27">
        <f>'12.10'!G48+COUNTIF(G$9:G$38,$C49)</f>
        <v>7</v>
      </c>
      <c r="H49" s="27">
        <f>'12.10'!H48+COUNTIF(H$9:H$38,$C49)</f>
        <v>7</v>
      </c>
      <c r="I49" s="27">
        <f>'12.10'!I48+COUNTIF(I$9:I$38,$C49)</f>
        <v>7</v>
      </c>
      <c r="J49" s="27">
        <f>'12.10'!J48+COUNTIF(J$9:J$38,$C49)</f>
        <v>7</v>
      </c>
    </row>
    <row r="50" spans="1:10" ht="23.25" x14ac:dyDescent="0.35">
      <c r="A50" s="6"/>
      <c r="B50" s="6"/>
      <c r="C50" s="26" t="str">
        <f>'01.09'!C50</f>
        <v>*Л.  Теория и методика циклических и сложнокоординационных*</v>
      </c>
      <c r="D50" s="27">
        <f>'12.10'!D49+COUNTIF(D$9:D$38,$C50)</f>
        <v>0</v>
      </c>
      <c r="E50" s="27">
        <f>'12.10'!E49+COUNTIF(E$9:E$38,$C50)</f>
        <v>0</v>
      </c>
      <c r="F50" s="27">
        <f>'12.10'!F49+COUNTIF(F$9:F$38,$C50)</f>
        <v>0</v>
      </c>
      <c r="G50" s="27">
        <f>'12.10'!G49+COUNTIF(G$9:G$38,$C50)</f>
        <v>0</v>
      </c>
      <c r="H50" s="27">
        <f>'12.10'!H49+COUNTIF(H$9:H$38,$C50)</f>
        <v>4</v>
      </c>
      <c r="I50" s="27">
        <f>'12.10'!I49+COUNTIF(I$9:I$38,$C50)</f>
        <v>0</v>
      </c>
      <c r="J50" s="27">
        <f>'12.10'!J49+COUNTIF(J$9:J$38,$C50)</f>
        <v>0</v>
      </c>
    </row>
    <row r="51" spans="1:10" s="13" customFormat="1" ht="23.25" x14ac:dyDescent="0.35">
      <c r="A51" s="6"/>
      <c r="B51" s="6"/>
      <c r="C51" s="26" t="str">
        <f>'01.09'!C51</f>
        <v>*Пр.  Теория и методика циклических и сложнокоординационных*</v>
      </c>
      <c r="D51" s="27">
        <f>'12.10'!D50+COUNTIF(D$9:D$38,$C51)</f>
        <v>0</v>
      </c>
      <c r="E51" s="27">
        <f>'12.10'!E50+COUNTIF(E$9:E$38,$C51)</f>
        <v>0</v>
      </c>
      <c r="F51" s="27">
        <f>'12.10'!F50+COUNTIF(F$9:F$38,$C51)</f>
        <v>0</v>
      </c>
      <c r="G51" s="27">
        <f>'12.10'!G50+COUNTIF(G$9:G$38,$C51)</f>
        <v>0</v>
      </c>
      <c r="H51" s="27">
        <f>'12.10'!H50+COUNTIF(H$9:H$38,$C51)</f>
        <v>39</v>
      </c>
      <c r="I51" s="27">
        <f>'12.10'!I50+COUNTIF(I$9:I$38,$C51)</f>
        <v>0</v>
      </c>
      <c r="J51" s="27">
        <f>'12.10'!J50+COUNTIF(J$9:J$38,$C51)</f>
        <v>0</v>
      </c>
    </row>
    <row r="52" spans="1:10" ht="23.25" x14ac:dyDescent="0.35">
      <c r="A52" s="6"/>
      <c r="B52" s="6"/>
      <c r="C52" s="26">
        <f>'01.09'!C52</f>
        <v>0</v>
      </c>
      <c r="D52" s="27">
        <f>'12.10'!D51+COUNTIF(D$9:D$38,$C52)</f>
        <v>0</v>
      </c>
      <c r="E52" s="27">
        <f>'12.10'!E51+COUNTIF(E$9:E$38,$C52)</f>
        <v>0</v>
      </c>
      <c r="F52" s="27">
        <f>'12.10'!F51+COUNTIF(F$9:F$38,$C52)</f>
        <v>0</v>
      </c>
      <c r="G52" s="27">
        <f>'12.10'!G51+COUNTIF(G$9:G$38,$C52)</f>
        <v>0</v>
      </c>
      <c r="H52" s="27">
        <f>'12.10'!H51+COUNTIF(H$9:H$38,$C52)</f>
        <v>0</v>
      </c>
      <c r="I52" s="27">
        <f>'12.10'!I51+COUNTIF(I$9:I$38,$C52)</f>
        <v>0</v>
      </c>
      <c r="J52" s="27">
        <f>'12.10'!J51+COUNTIF(J$9:J$38,$C52)</f>
        <v>0</v>
      </c>
    </row>
    <row r="53" spans="1:10" s="13" customFormat="1" ht="23.25" x14ac:dyDescent="0.35">
      <c r="A53" s="6"/>
      <c r="B53" s="6"/>
      <c r="C53" s="26">
        <f>'01.09'!C53</f>
        <v>0</v>
      </c>
      <c r="D53" s="27">
        <f>'12.10'!D52+COUNTIF(D$9:D$38,$C53)</f>
        <v>0</v>
      </c>
      <c r="E53" s="27">
        <f>'12.10'!E52+COUNTIF(E$9:E$38,$C53)</f>
        <v>0</v>
      </c>
      <c r="F53" s="27">
        <f>'12.10'!F52+COUNTIF(F$9:F$38,$C53)</f>
        <v>0</v>
      </c>
      <c r="G53" s="27">
        <f>'12.10'!G52+COUNTIF(G$9:G$38,$C53)</f>
        <v>0</v>
      </c>
      <c r="H53" s="27">
        <f>'12.10'!H52+COUNTIF(H$9:H$38,$C53)</f>
        <v>0</v>
      </c>
      <c r="I53" s="27">
        <f>'12.10'!I52+COUNTIF(I$9:I$38,$C53)</f>
        <v>0</v>
      </c>
      <c r="J53" s="27">
        <f>'12.10'!J52+COUNTIF(J$9:J$38,$C53)</f>
        <v>0</v>
      </c>
    </row>
    <row r="54" spans="1:10" ht="23.25" x14ac:dyDescent="0.35">
      <c r="A54" s="6"/>
      <c r="B54" s="6"/>
      <c r="C54" s="26">
        <f>'01.09'!C54</f>
        <v>0</v>
      </c>
      <c r="D54" s="27">
        <f>'12.10'!D53+COUNTIF(D$9:D$38,$C54)</f>
        <v>0</v>
      </c>
      <c r="E54" s="27">
        <f>'12.10'!E53+COUNTIF(E$9:E$38,$C54)</f>
        <v>0</v>
      </c>
      <c r="F54" s="27">
        <f>'12.10'!F53+COUNTIF(F$9:F$38,$C54)</f>
        <v>0</v>
      </c>
      <c r="G54" s="27">
        <f>'12.10'!G53+COUNTIF(G$9:G$38,$C54)</f>
        <v>0</v>
      </c>
      <c r="H54" s="27">
        <f>'12.10'!H53+COUNTIF(H$9:H$38,$C54)</f>
        <v>0</v>
      </c>
      <c r="I54" s="27">
        <f>'12.10'!I53+COUNTIF(I$9:I$38,$C54)</f>
        <v>0</v>
      </c>
      <c r="J54" s="27">
        <f>'12.10'!J53+COUNTIF(J$9:J$38,$C54)</f>
        <v>0</v>
      </c>
    </row>
    <row r="55" spans="1:10" s="13" customFormat="1" ht="23.25" x14ac:dyDescent="0.35">
      <c r="A55" s="6"/>
      <c r="B55" s="6"/>
      <c r="C55" s="26">
        <f>'01.09'!C55</f>
        <v>0</v>
      </c>
      <c r="D55" s="27">
        <f>'12.10'!D54+COUNTIF(D$9:D$38,$C55)</f>
        <v>0</v>
      </c>
      <c r="E55" s="27">
        <f>'12.10'!E54+COUNTIF(E$9:E$38,$C55)</f>
        <v>0</v>
      </c>
      <c r="F55" s="27">
        <f>'12.10'!F54+COUNTIF(F$9:F$38,$C55)</f>
        <v>0</v>
      </c>
      <c r="G55" s="27">
        <f>'12.10'!G54+COUNTIF(G$9:G$38,$C55)</f>
        <v>0</v>
      </c>
      <c r="H55" s="27">
        <f>'12.10'!H54+COUNTIF(H$9:H$38,$C55)</f>
        <v>0</v>
      </c>
      <c r="I55" s="27">
        <f>'12.10'!I54+COUNTIF(I$9:I$38,$C55)</f>
        <v>0</v>
      </c>
      <c r="J55" s="27">
        <f>'12.10'!J54+COUNTIF(J$9:J$38,$C55)</f>
        <v>0</v>
      </c>
    </row>
    <row r="56" spans="1:10" ht="23.25" x14ac:dyDescent="0.35">
      <c r="A56" s="6"/>
      <c r="B56" s="6"/>
      <c r="C56" s="26">
        <f>'01.09'!C56</f>
        <v>0</v>
      </c>
      <c r="D56" s="27">
        <f>'12.10'!D55+COUNTIF(D$9:D$38,$C56)</f>
        <v>0</v>
      </c>
      <c r="E56" s="27">
        <f>'12.10'!E55+COUNTIF(E$9:E$38,$C56)</f>
        <v>0</v>
      </c>
      <c r="F56" s="27">
        <f>'12.10'!F55+COUNTIF(F$9:F$38,$C56)</f>
        <v>0</v>
      </c>
      <c r="G56" s="27">
        <f>'12.10'!G55+COUNTIF(G$9:G$38,$C56)</f>
        <v>0</v>
      </c>
      <c r="H56" s="27">
        <f>'12.10'!H55+COUNTIF(H$9:H$38,$C56)</f>
        <v>0</v>
      </c>
      <c r="I56" s="27">
        <f>'12.10'!I55+COUNTIF(I$9:I$38,$C56)</f>
        <v>0</v>
      </c>
      <c r="J56" s="27">
        <f>'12.10'!J55+COUNTIF(J$9:J$38,$C56)</f>
        <v>0</v>
      </c>
    </row>
    <row r="57" spans="1:10" s="13" customFormat="1" ht="23.25" x14ac:dyDescent="0.35">
      <c r="A57" s="6"/>
      <c r="B57" s="6"/>
      <c r="C57" s="26">
        <f>'01.09'!C57</f>
        <v>0</v>
      </c>
      <c r="D57" s="27">
        <f>'12.10'!D56+COUNTIF(D$9:D$38,$C57)</f>
        <v>0</v>
      </c>
      <c r="E57" s="27">
        <f>'12.10'!E56+COUNTIF(E$9:E$38,$C57)</f>
        <v>0</v>
      </c>
      <c r="F57" s="27">
        <f>'12.10'!F56+COUNTIF(F$9:F$38,$C57)</f>
        <v>0</v>
      </c>
      <c r="G57" s="27">
        <f>'12.10'!G56+COUNTIF(G$9:G$38,$C57)</f>
        <v>0</v>
      </c>
      <c r="H57" s="27">
        <f>'12.10'!H56+COUNTIF(H$9:H$38,$C57)</f>
        <v>0</v>
      </c>
      <c r="I57" s="27">
        <f>'12.10'!I56+COUNTIF(I$9:I$38,$C57)</f>
        <v>0</v>
      </c>
      <c r="J57" s="27">
        <f>'12.10'!J56+COUNTIF(J$9:J$38,$C57)</f>
        <v>0</v>
      </c>
    </row>
    <row r="58" spans="1:10" ht="23.25" x14ac:dyDescent="0.35">
      <c r="A58" s="6"/>
      <c r="B58" s="6"/>
      <c r="C58" s="26">
        <f>'01.09'!C58</f>
        <v>0</v>
      </c>
      <c r="D58" s="27">
        <f>'12.10'!D57+COUNTIF(D$9:D$38,$C58)</f>
        <v>0</v>
      </c>
      <c r="E58" s="27">
        <f>'12.10'!E57+COUNTIF(E$9:E$38,$C58)</f>
        <v>0</v>
      </c>
      <c r="F58" s="27">
        <f>'12.10'!F57+COUNTIF(F$9:F$38,$C58)</f>
        <v>0</v>
      </c>
      <c r="G58" s="27">
        <f>'12.10'!G57+COUNTIF(G$9:G$38,$C58)</f>
        <v>0</v>
      </c>
      <c r="H58" s="27">
        <f>'12.10'!H57+COUNTIF(H$9:H$38,$C58)</f>
        <v>0</v>
      </c>
      <c r="I58" s="27">
        <f>'12.10'!I57+COUNTIF(I$9:I$38,$C58)</f>
        <v>0</v>
      </c>
      <c r="J58" s="27">
        <f>'12.10'!J57+COUNTIF(J$9:J$38,$C58)</f>
        <v>0</v>
      </c>
    </row>
    <row r="59" spans="1:10" s="13" customFormat="1" ht="23.25" x14ac:dyDescent="0.35">
      <c r="A59" s="6"/>
      <c r="B59" s="6"/>
      <c r="C59" s="26">
        <f>'01.09'!C59</f>
        <v>0</v>
      </c>
      <c r="D59" s="27">
        <f>'12.10'!D58+COUNTIF(D$9:D$38,$C59)</f>
        <v>0</v>
      </c>
      <c r="E59" s="27">
        <f>'12.10'!E58+COUNTIF(E$9:E$38,$C59)</f>
        <v>0</v>
      </c>
      <c r="F59" s="27">
        <f>'12.10'!F58+COUNTIF(F$9:F$38,$C59)</f>
        <v>0</v>
      </c>
      <c r="G59" s="27">
        <f>'12.10'!G58+COUNTIF(G$9:G$38,$C59)</f>
        <v>0</v>
      </c>
      <c r="H59" s="27">
        <f>'12.10'!H58+COUNTIF(H$9:H$38,$C59)</f>
        <v>0</v>
      </c>
      <c r="I59" s="27">
        <f>'12.10'!I58+COUNTIF(I$9:I$38,$C59)</f>
        <v>0</v>
      </c>
      <c r="J59" s="27">
        <f>'12.10'!J58+COUNTIF(J$9:J$38,$C59)</f>
        <v>0</v>
      </c>
    </row>
    <row r="60" spans="1:10" ht="23.25" x14ac:dyDescent="0.35">
      <c r="A60" s="6"/>
      <c r="B60" s="6"/>
      <c r="C60" s="26">
        <f>'01.09'!C60</f>
        <v>0</v>
      </c>
      <c r="D60" s="27">
        <f>'12.10'!D59+COUNTIF(D$9:D$38,$C60)</f>
        <v>0</v>
      </c>
      <c r="E60" s="27">
        <f>'12.10'!E59+COUNTIF(E$9:E$38,$C60)</f>
        <v>0</v>
      </c>
      <c r="F60" s="27">
        <f>'12.10'!F59+COUNTIF(F$9:F$38,$C60)</f>
        <v>0</v>
      </c>
      <c r="G60" s="27">
        <f>'12.10'!G59+COUNTIF(G$9:G$38,$C60)</f>
        <v>0</v>
      </c>
      <c r="H60" s="27">
        <f>'12.10'!H59+COUNTIF(H$9:H$38,$C60)</f>
        <v>0</v>
      </c>
      <c r="I60" s="27">
        <f>'12.10'!I59+COUNTIF(I$9:I$38,$C60)</f>
        <v>0</v>
      </c>
      <c r="J60" s="27">
        <f>'12.10'!J59+COUNTIF(J$9:J$38,$C60)</f>
        <v>0</v>
      </c>
    </row>
    <row r="61" spans="1:10" ht="23.25" x14ac:dyDescent="0.35">
      <c r="A61" s="6"/>
      <c r="B61" s="6"/>
      <c r="C61" s="26">
        <f>'01.09'!C61</f>
        <v>0</v>
      </c>
      <c r="D61" s="27">
        <f>'12.10'!D60+COUNTIF(D$9:D$38,$C61)</f>
        <v>0</v>
      </c>
      <c r="E61" s="27">
        <f>'12.10'!E60+COUNTIF(E$9:E$38,$C61)</f>
        <v>0</v>
      </c>
      <c r="F61" s="27">
        <f>'12.10'!F60+COUNTIF(F$9:F$38,$C61)</f>
        <v>0</v>
      </c>
      <c r="G61" s="27">
        <f>'12.10'!G60+COUNTIF(G$9:G$38,$C61)</f>
        <v>0</v>
      </c>
      <c r="H61" s="27">
        <f>'12.10'!H60+COUNTIF(H$9:H$38,$C61)</f>
        <v>0</v>
      </c>
      <c r="I61" s="27">
        <f>'12.10'!I60+COUNTIF(I$9:I$38,$C61)</f>
        <v>0</v>
      </c>
      <c r="J61" s="27">
        <f>'12.10'!J60+COUNTIF(J$9:J$38,$C61)</f>
        <v>0</v>
      </c>
    </row>
    <row r="62" spans="1:10" ht="23.25" x14ac:dyDescent="0.35">
      <c r="A62" s="6"/>
      <c r="B62" s="6"/>
      <c r="C62" s="26">
        <f>'01.09'!C62</f>
        <v>0</v>
      </c>
      <c r="D62" s="27">
        <f>'12.10'!D61+COUNTIF(D$9:D$38,$C62)</f>
        <v>0</v>
      </c>
      <c r="E62" s="27">
        <f>'12.10'!E61+COUNTIF(E$9:E$38,$C62)</f>
        <v>0</v>
      </c>
      <c r="F62" s="27">
        <f>'12.10'!F61+COUNTIF(F$9:F$38,$C62)</f>
        <v>0</v>
      </c>
      <c r="G62" s="27">
        <f>'12.10'!G61+COUNTIF(G$9:G$38,$C62)</f>
        <v>0</v>
      </c>
      <c r="H62" s="27">
        <f>'12.10'!H61+COUNTIF(H$9:H$38,$C62)</f>
        <v>0</v>
      </c>
      <c r="I62" s="27">
        <f>'12.10'!I61+COUNTIF(I$9:I$38,$C62)</f>
        <v>0</v>
      </c>
      <c r="J62" s="27">
        <f>'12.10'!J61+COUNTIF(J$9:J$38,$C62)</f>
        <v>0</v>
      </c>
    </row>
    <row r="63" spans="1:10" ht="23.25" x14ac:dyDescent="0.35">
      <c r="A63" s="6"/>
      <c r="B63" s="6"/>
      <c r="C63" s="26">
        <f>'01.09'!C63</f>
        <v>0</v>
      </c>
      <c r="D63" s="27">
        <f>'12.10'!D62+COUNTIF(D$9:D$38,$C63)</f>
        <v>0</v>
      </c>
      <c r="E63" s="27">
        <f>'12.10'!E62+COUNTIF(E$9:E$38,$C63)</f>
        <v>0</v>
      </c>
      <c r="F63" s="27">
        <f>'12.10'!F62+COUNTIF(F$9:F$38,$C63)</f>
        <v>0</v>
      </c>
      <c r="G63" s="27">
        <f>'12.10'!G62+COUNTIF(G$9:G$38,$C63)</f>
        <v>0</v>
      </c>
      <c r="H63" s="27">
        <f>'12.10'!H62+COUNTIF(H$9:H$38,$C63)</f>
        <v>0</v>
      </c>
      <c r="I63" s="27">
        <f>'12.10'!I62+COUNTIF(I$9:I$38,$C63)</f>
        <v>0</v>
      </c>
      <c r="J63" s="27">
        <f>'12.10'!J62+COUNTIF(J$9:J$38,$C63)</f>
        <v>0</v>
      </c>
    </row>
    <row r="64" spans="1:10" ht="23.25" x14ac:dyDescent="0.35">
      <c r="A64" s="6"/>
      <c r="B64" s="6"/>
      <c r="C64" s="26">
        <f>'01.09'!C64</f>
        <v>0</v>
      </c>
      <c r="D64" s="27">
        <f>'12.10'!D63+COUNTIF(D$9:D$38,$C64)</f>
        <v>0</v>
      </c>
      <c r="E64" s="27">
        <f>'12.10'!E63+COUNTIF(E$9:E$38,$C64)</f>
        <v>0</v>
      </c>
      <c r="F64" s="27">
        <f>'12.10'!F63+COUNTIF(F$9:F$38,$C64)</f>
        <v>0</v>
      </c>
      <c r="G64" s="27">
        <f>'12.10'!G63+COUNTIF(G$9:G$38,$C64)</f>
        <v>0</v>
      </c>
      <c r="H64" s="27">
        <f>'12.10'!H63+COUNTIF(H$9:H$38,$C64)</f>
        <v>0</v>
      </c>
      <c r="I64" s="27">
        <f>'12.10'!I63+COUNTIF(I$9:I$38,$C64)</f>
        <v>0</v>
      </c>
      <c r="J64" s="27">
        <f>'12.10'!J63+COUNTIF(J$9:J$38,$C64)</f>
        <v>0</v>
      </c>
    </row>
    <row r="65" spans="1:10" ht="23.25" x14ac:dyDescent="0.35">
      <c r="A65" s="6"/>
      <c r="B65" s="6"/>
      <c r="C65" s="26">
        <f>'01.09'!C65</f>
        <v>0</v>
      </c>
      <c r="D65" s="27">
        <f>'12.10'!D64+COUNTIF(D$9:D$38,$C65)</f>
        <v>0</v>
      </c>
      <c r="E65" s="27">
        <f>'12.10'!E64+COUNTIF(E$9:E$38,$C65)</f>
        <v>0</v>
      </c>
      <c r="F65" s="27">
        <f>'12.10'!F64+COUNTIF(F$9:F$38,$C65)</f>
        <v>0</v>
      </c>
      <c r="G65" s="27">
        <f>'12.10'!G64+COUNTIF(G$9:G$38,$C65)</f>
        <v>0</v>
      </c>
      <c r="H65" s="27">
        <f>'12.10'!H64+COUNTIF(H$9:H$38,$C65)</f>
        <v>0</v>
      </c>
      <c r="I65" s="27">
        <f>'12.10'!I64+COUNTIF(I$9:I$38,$C65)</f>
        <v>0</v>
      </c>
      <c r="J65" s="27">
        <f>'12.10'!J64+COUNTIF(J$9:J$38,$C65)</f>
        <v>0</v>
      </c>
    </row>
    <row r="66" spans="1:10" ht="23.25" x14ac:dyDescent="0.35">
      <c r="A66" s="6"/>
      <c r="B66" s="6"/>
      <c r="C66" s="26">
        <f>'01.09'!C66</f>
        <v>0</v>
      </c>
      <c r="D66" s="27">
        <f>'12.10'!D65+COUNTIF(D$9:D$38,$C66)</f>
        <v>0</v>
      </c>
      <c r="E66" s="27">
        <f>'12.10'!E65+COUNTIF(E$9:E$38,$C66)</f>
        <v>0</v>
      </c>
      <c r="F66" s="27">
        <f>'12.10'!F65+COUNTIF(F$9:F$38,$C66)</f>
        <v>0</v>
      </c>
      <c r="G66" s="27">
        <f>'12.10'!G65+COUNTIF(G$9:G$38,$C66)</f>
        <v>0</v>
      </c>
      <c r="H66" s="27">
        <f>'12.10'!H65+COUNTIF(H$9:H$38,$C66)</f>
        <v>0</v>
      </c>
      <c r="I66" s="27">
        <f>'12.10'!I65+COUNTIF(I$9:I$38,$C66)</f>
        <v>0</v>
      </c>
      <c r="J66" s="27">
        <f>'12.10'!J65+COUNTIF(J$9:J$38,$C66)</f>
        <v>0</v>
      </c>
    </row>
    <row r="67" spans="1:10" ht="23.25" x14ac:dyDescent="0.35">
      <c r="A67" s="6"/>
      <c r="B67" s="6"/>
      <c r="C67" s="26">
        <f>'01.09'!C67</f>
        <v>0</v>
      </c>
      <c r="D67" s="27">
        <f>'12.10'!D66+COUNTIF(D$9:D$38,$C67)</f>
        <v>0</v>
      </c>
      <c r="E67" s="27">
        <f>'12.10'!E66+COUNTIF(E$9:E$38,$C67)</f>
        <v>0</v>
      </c>
      <c r="F67" s="27">
        <f>'12.10'!F66+COUNTIF(F$9:F$38,$C67)</f>
        <v>0</v>
      </c>
      <c r="G67" s="27">
        <f>'12.10'!G66+COUNTIF(G$9:G$38,$C67)</f>
        <v>0</v>
      </c>
      <c r="H67" s="27">
        <f>'12.10'!H66+COUNTIF(H$9:H$38,$C67)</f>
        <v>0</v>
      </c>
      <c r="I67" s="27">
        <f>'12.10'!I66+COUNTIF(I$9:I$38,$C67)</f>
        <v>0</v>
      </c>
      <c r="J67" s="27">
        <f>'12.10'!J66+COUNTIF(J$9:J$38,$C67)</f>
        <v>0</v>
      </c>
    </row>
    <row r="68" spans="1:10" ht="23.25" x14ac:dyDescent="0.35">
      <c r="A68" s="6"/>
      <c r="B68" s="6"/>
      <c r="C68" s="26">
        <f>'01.09'!C68</f>
        <v>0</v>
      </c>
      <c r="D68" s="27">
        <f>'12.10'!D67+COUNTIF(D$9:D$38,$C68)</f>
        <v>0</v>
      </c>
      <c r="E68" s="27">
        <f>'12.10'!E67+COUNTIF(E$9:E$38,$C68)</f>
        <v>0</v>
      </c>
      <c r="F68" s="27">
        <f>'12.10'!F67+COUNTIF(F$9:F$38,$C68)</f>
        <v>0</v>
      </c>
      <c r="G68" s="27">
        <f>'12.10'!G67+COUNTIF(G$9:G$38,$C68)</f>
        <v>0</v>
      </c>
      <c r="H68" s="27">
        <f>'12.10'!H67+COUNTIF(H$9:H$38,$C68)</f>
        <v>0</v>
      </c>
      <c r="I68" s="27">
        <f>'12.10'!I67+COUNTIF(I$9:I$38,$C68)</f>
        <v>0</v>
      </c>
      <c r="J68" s="27">
        <f>'12.10'!J67+COUNTIF(J$9:J$38,$C68)</f>
        <v>0</v>
      </c>
    </row>
    <row r="69" spans="1:10" ht="23.25" x14ac:dyDescent="0.35">
      <c r="A69" s="6"/>
      <c r="B69" s="6"/>
      <c r="C69" s="26">
        <f>'01.09'!C69</f>
        <v>0</v>
      </c>
      <c r="D69" s="27">
        <f>'12.10'!D68+COUNTIF(D$9:D$38,$C69)</f>
        <v>0</v>
      </c>
      <c r="E69" s="27">
        <f>'12.10'!E68+COUNTIF(E$9:E$38,$C69)</f>
        <v>0</v>
      </c>
      <c r="F69" s="27">
        <f>'12.10'!F68+COUNTIF(F$9:F$38,$C69)</f>
        <v>0</v>
      </c>
      <c r="G69" s="27">
        <f>'12.10'!G68+COUNTIF(G$9:G$38,$C69)</f>
        <v>0</v>
      </c>
      <c r="H69" s="27">
        <f>'12.10'!H68+COUNTIF(H$9:H$38,$C69)</f>
        <v>0</v>
      </c>
      <c r="I69" s="27">
        <f>'12.10'!I68+COUNTIF(I$9:I$38,$C69)</f>
        <v>0</v>
      </c>
      <c r="J69" s="27">
        <f>'12.10'!J68+COUNTIF(J$9:J$38,$C69)</f>
        <v>0</v>
      </c>
    </row>
    <row r="70" spans="1:10" ht="23.25" x14ac:dyDescent="0.35">
      <c r="A70" s="6"/>
      <c r="B70" s="6"/>
      <c r="C70" s="26">
        <f>'01.09'!C70</f>
        <v>0</v>
      </c>
      <c r="D70" s="27">
        <f>'12.10'!D69+COUNTIF(D$9:D$38,$C70)</f>
        <v>0</v>
      </c>
      <c r="E70" s="27">
        <f>'12.10'!E69+COUNTIF(E$9:E$38,$C70)</f>
        <v>0</v>
      </c>
      <c r="F70" s="27">
        <f>'12.10'!F69+COUNTIF(F$9:F$38,$C70)</f>
        <v>0</v>
      </c>
      <c r="G70" s="27">
        <f>'12.10'!G69+COUNTIF(G$9:G$38,$C70)</f>
        <v>0</v>
      </c>
      <c r="H70" s="27">
        <f>'12.10'!H69+COUNTIF(H$9:H$38,$C70)</f>
        <v>0</v>
      </c>
      <c r="I70" s="27">
        <f>'12.10'!I69+COUNTIF(I$9:I$38,$C70)</f>
        <v>0</v>
      </c>
      <c r="J70" s="27">
        <f>'12.10'!J69+COUNTIF(J$9:J$38,$C70)</f>
        <v>0</v>
      </c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5">
    <mergeCell ref="C7:C8"/>
    <mergeCell ref="B1:J1"/>
    <mergeCell ref="B2:J2"/>
    <mergeCell ref="A3:J3"/>
    <mergeCell ref="B4:J4"/>
    <mergeCell ref="B5:J5"/>
    <mergeCell ref="B9:B13"/>
    <mergeCell ref="B14:B18"/>
    <mergeCell ref="A9:A13"/>
    <mergeCell ref="A14:A18"/>
    <mergeCell ref="A7:A8"/>
    <mergeCell ref="B7:B8"/>
    <mergeCell ref="D16:J16"/>
    <mergeCell ref="A34:A38"/>
    <mergeCell ref="B34:B38"/>
    <mergeCell ref="A24:A28"/>
    <mergeCell ref="A29:A33"/>
    <mergeCell ref="B19:B23"/>
    <mergeCell ref="B24:B28"/>
    <mergeCell ref="B29:B33"/>
    <mergeCell ref="A19:A23"/>
    <mergeCell ref="D21:J21"/>
    <mergeCell ref="D26:J26"/>
    <mergeCell ref="D31:J31"/>
    <mergeCell ref="D36:J36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4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J72"/>
  <sheetViews>
    <sheetView view="pageBreakPreview" zoomScale="40" zoomScaleNormal="40" zoomScaleSheetLayoutView="40" zoomScalePageLayoutView="40" workbookViewId="0">
      <selection activeCell="I8" sqref="I8"/>
    </sheetView>
  </sheetViews>
  <sheetFormatPr defaultColWidth="9.140625" defaultRowHeight="15" x14ac:dyDescent="0.25"/>
  <cols>
    <col min="1" max="2" width="4.42578125" style="5" customWidth="1"/>
    <col min="3" max="3" width="25.42578125" style="5" customWidth="1"/>
    <col min="4" max="6" width="56.7109375" style="5" customWidth="1"/>
    <col min="7" max="7" width="56.7109375" style="13" customWidth="1"/>
    <col min="8" max="10" width="56.7109375" style="5" customWidth="1"/>
    <col min="11" max="16384" width="9.140625" style="5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5.5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13" customFormat="1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2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26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104.25" customHeight="1" x14ac:dyDescent="0.25">
      <c r="A9" s="643" t="s">
        <v>0</v>
      </c>
      <c r="B9" s="648">
        <v>46321</v>
      </c>
      <c r="C9" s="90" t="s">
        <v>5</v>
      </c>
      <c r="D9" s="462"/>
      <c r="E9" s="446"/>
      <c r="F9" s="446"/>
      <c r="G9" s="446"/>
      <c r="H9" s="446"/>
      <c r="I9" s="446"/>
      <c r="J9" s="447"/>
    </row>
    <row r="10" spans="1:10" ht="104.25" customHeight="1" x14ac:dyDescent="0.25">
      <c r="A10" s="644"/>
      <c r="B10" s="619"/>
      <c r="C10" s="91" t="s">
        <v>6</v>
      </c>
      <c r="D10" s="463"/>
      <c r="E10" s="448"/>
      <c r="F10" s="400"/>
      <c r="G10" s="400"/>
      <c r="H10" s="400"/>
      <c r="I10" s="400"/>
      <c r="J10" s="403"/>
    </row>
    <row r="11" spans="1:10" ht="104.25" customHeight="1" x14ac:dyDescent="0.25">
      <c r="A11" s="644"/>
      <c r="B11" s="619"/>
      <c r="C11" s="91" t="s">
        <v>7</v>
      </c>
      <c r="D11" s="651" t="s">
        <v>137</v>
      </c>
      <c r="E11" s="652"/>
      <c r="F11" s="652"/>
      <c r="G11" s="652"/>
      <c r="H11" s="652"/>
      <c r="I11" s="652"/>
      <c r="J11" s="653"/>
    </row>
    <row r="12" spans="1:10" ht="104.25" customHeight="1" x14ac:dyDescent="0.25">
      <c r="A12" s="644"/>
      <c r="B12" s="619"/>
      <c r="C12" s="91" t="s">
        <v>8</v>
      </c>
      <c r="D12" s="465"/>
      <c r="E12" s="466"/>
      <c r="F12" s="466"/>
      <c r="G12" s="466"/>
      <c r="H12" s="466"/>
      <c r="I12" s="466"/>
      <c r="J12" s="467"/>
    </row>
    <row r="13" spans="1:10" ht="104.25" customHeight="1" thickBot="1" x14ac:dyDescent="0.3">
      <c r="A13" s="644"/>
      <c r="B13" s="619"/>
      <c r="C13" s="92" t="s">
        <v>10</v>
      </c>
      <c r="D13" s="468"/>
      <c r="E13" s="411"/>
      <c r="F13" s="411"/>
      <c r="G13" s="469"/>
      <c r="H13" s="411"/>
      <c r="I13" s="469"/>
      <c r="J13" s="470"/>
    </row>
    <row r="14" spans="1:10" ht="104.25" customHeight="1" x14ac:dyDescent="0.25">
      <c r="A14" s="643" t="s">
        <v>1</v>
      </c>
      <c r="B14" s="621">
        <f>B9+1</f>
        <v>46322</v>
      </c>
      <c r="C14" s="50" t="s">
        <v>5</v>
      </c>
      <c r="D14" s="462"/>
      <c r="E14" s="446"/>
      <c r="F14" s="446"/>
      <c r="G14" s="446"/>
      <c r="H14" s="446"/>
      <c r="I14" s="446"/>
      <c r="J14" s="447"/>
    </row>
    <row r="15" spans="1:10" ht="104.25" customHeight="1" x14ac:dyDescent="0.25">
      <c r="A15" s="644"/>
      <c r="B15" s="619"/>
      <c r="C15" s="51" t="s">
        <v>6</v>
      </c>
      <c r="D15" s="463"/>
      <c r="E15" s="448"/>
      <c r="F15" s="400"/>
      <c r="G15" s="400"/>
      <c r="H15" s="400"/>
      <c r="I15" s="400"/>
      <c r="J15" s="403"/>
    </row>
    <row r="16" spans="1:10" ht="104.25" customHeight="1" x14ac:dyDescent="0.25">
      <c r="A16" s="644"/>
      <c r="B16" s="619"/>
      <c r="C16" s="51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0" ht="104.25" customHeight="1" x14ac:dyDescent="0.25">
      <c r="A17" s="644"/>
      <c r="B17" s="619"/>
      <c r="C17" s="51" t="s">
        <v>8</v>
      </c>
      <c r="D17" s="465"/>
      <c r="E17" s="466"/>
      <c r="F17" s="466"/>
      <c r="G17" s="466"/>
      <c r="H17" s="466"/>
      <c r="I17" s="466"/>
      <c r="J17" s="467"/>
    </row>
    <row r="18" spans="1:10" ht="104.25" customHeight="1" thickBot="1" x14ac:dyDescent="0.3">
      <c r="A18" s="645"/>
      <c r="B18" s="619"/>
      <c r="C18" s="52" t="s">
        <v>10</v>
      </c>
      <c r="D18" s="468"/>
      <c r="E18" s="411"/>
      <c r="F18" s="411"/>
      <c r="G18" s="469"/>
      <c r="H18" s="411"/>
      <c r="I18" s="469"/>
      <c r="J18" s="470"/>
    </row>
    <row r="19" spans="1:10" ht="104.25" customHeight="1" x14ac:dyDescent="0.25">
      <c r="A19" s="643" t="s">
        <v>2</v>
      </c>
      <c r="B19" s="621">
        <f>B14+1</f>
        <v>46323</v>
      </c>
      <c r="C19" s="90" t="s">
        <v>5</v>
      </c>
      <c r="D19" s="462"/>
      <c r="E19" s="446"/>
      <c r="F19" s="446"/>
      <c r="G19" s="446"/>
      <c r="H19" s="446"/>
      <c r="I19" s="446"/>
      <c r="J19" s="447"/>
    </row>
    <row r="20" spans="1:10" ht="104.25" customHeight="1" x14ac:dyDescent="0.25">
      <c r="A20" s="644"/>
      <c r="B20" s="619"/>
      <c r="C20" s="91" t="s">
        <v>6</v>
      </c>
      <c r="D20" s="463"/>
      <c r="E20" s="448"/>
      <c r="F20" s="400"/>
      <c r="G20" s="400"/>
      <c r="H20" s="400"/>
      <c r="I20" s="400"/>
      <c r="J20" s="403"/>
    </row>
    <row r="21" spans="1:10" ht="104.25" customHeight="1" x14ac:dyDescent="0.25">
      <c r="A21" s="644"/>
      <c r="B21" s="619"/>
      <c r="C21" s="91" t="s">
        <v>7</v>
      </c>
      <c r="D21" s="651" t="s">
        <v>137</v>
      </c>
      <c r="E21" s="652"/>
      <c r="F21" s="652"/>
      <c r="G21" s="652"/>
      <c r="H21" s="652"/>
      <c r="I21" s="652"/>
      <c r="J21" s="653"/>
    </row>
    <row r="22" spans="1:10" ht="104.25" customHeight="1" x14ac:dyDescent="0.25">
      <c r="A22" s="644"/>
      <c r="B22" s="619"/>
      <c r="C22" s="91" t="s">
        <v>8</v>
      </c>
      <c r="D22" s="465"/>
      <c r="E22" s="466"/>
      <c r="F22" s="466"/>
      <c r="G22" s="466"/>
      <c r="H22" s="466"/>
      <c r="I22" s="466"/>
      <c r="J22" s="467"/>
    </row>
    <row r="23" spans="1:10" ht="104.25" customHeight="1" thickBot="1" x14ac:dyDescent="0.3">
      <c r="A23" s="645"/>
      <c r="B23" s="619"/>
      <c r="C23" s="92" t="s">
        <v>10</v>
      </c>
      <c r="D23" s="468"/>
      <c r="E23" s="411"/>
      <c r="F23" s="411"/>
      <c r="G23" s="469"/>
      <c r="H23" s="411"/>
      <c r="I23" s="469"/>
      <c r="J23" s="470"/>
    </row>
    <row r="24" spans="1:10" ht="104.25" customHeight="1" x14ac:dyDescent="0.25">
      <c r="A24" s="657" t="s">
        <v>3</v>
      </c>
      <c r="B24" s="626">
        <f>B19+1</f>
        <v>46324</v>
      </c>
      <c r="C24" s="67" t="s">
        <v>5</v>
      </c>
      <c r="D24" s="462"/>
      <c r="E24" s="446"/>
      <c r="F24" s="446"/>
      <c r="G24" s="446"/>
      <c r="H24" s="446"/>
      <c r="I24" s="446"/>
      <c r="J24" s="447"/>
    </row>
    <row r="25" spans="1:10" ht="104.25" customHeight="1" x14ac:dyDescent="0.25">
      <c r="A25" s="658"/>
      <c r="B25" s="624"/>
      <c r="C25" s="68" t="s">
        <v>6</v>
      </c>
      <c r="D25" s="463"/>
      <c r="E25" s="448"/>
      <c r="F25" s="400"/>
      <c r="G25" s="400"/>
      <c r="H25" s="400"/>
      <c r="I25" s="400"/>
      <c r="J25" s="403"/>
    </row>
    <row r="26" spans="1:10" ht="104.25" customHeight="1" x14ac:dyDescent="0.25">
      <c r="A26" s="658"/>
      <c r="B26" s="624"/>
      <c r="C26" s="68" t="s">
        <v>7</v>
      </c>
      <c r="D26" s="651" t="s">
        <v>137</v>
      </c>
      <c r="E26" s="652"/>
      <c r="F26" s="652"/>
      <c r="G26" s="652"/>
      <c r="H26" s="652"/>
      <c r="I26" s="652"/>
      <c r="J26" s="653"/>
    </row>
    <row r="27" spans="1:10" ht="104.25" customHeight="1" x14ac:dyDescent="0.25">
      <c r="A27" s="658"/>
      <c r="B27" s="624"/>
      <c r="C27" s="68" t="s">
        <v>8</v>
      </c>
      <c r="D27" s="465"/>
      <c r="E27" s="466"/>
      <c r="F27" s="466"/>
      <c r="G27" s="466"/>
      <c r="H27" s="466"/>
      <c r="I27" s="466"/>
      <c r="J27" s="467"/>
    </row>
    <row r="28" spans="1:10" ht="104.25" customHeight="1" thickBot="1" x14ac:dyDescent="0.3">
      <c r="A28" s="659"/>
      <c r="B28" s="624"/>
      <c r="C28" s="177" t="s">
        <v>106</v>
      </c>
      <c r="D28" s="468"/>
      <c r="E28" s="411"/>
      <c r="F28" s="411"/>
      <c r="G28" s="469"/>
      <c r="H28" s="411"/>
      <c r="I28" s="469"/>
      <c r="J28" s="470"/>
    </row>
    <row r="29" spans="1:10" ht="104.25" customHeight="1" x14ac:dyDescent="0.25">
      <c r="A29" s="657" t="s">
        <v>4</v>
      </c>
      <c r="B29" s="626">
        <f>B24+1</f>
        <v>46325</v>
      </c>
      <c r="C29" s="67" t="s">
        <v>5</v>
      </c>
      <c r="D29" s="462"/>
      <c r="E29" s="446"/>
      <c r="F29" s="446"/>
      <c r="G29" s="446"/>
      <c r="H29" s="446"/>
      <c r="I29" s="446"/>
      <c r="J29" s="447"/>
    </row>
    <row r="30" spans="1:10" ht="104.25" customHeight="1" x14ac:dyDescent="0.25">
      <c r="A30" s="661"/>
      <c r="B30" s="624"/>
      <c r="C30" s="68" t="s">
        <v>6</v>
      </c>
      <c r="D30" s="463"/>
      <c r="E30" s="448"/>
      <c r="F30" s="400"/>
      <c r="G30" s="400"/>
      <c r="H30" s="400"/>
      <c r="I30" s="400"/>
      <c r="J30" s="403"/>
    </row>
    <row r="31" spans="1:10" ht="104.25" customHeight="1" x14ac:dyDescent="0.25">
      <c r="A31" s="661"/>
      <c r="B31" s="624"/>
      <c r="C31" s="68" t="s">
        <v>7</v>
      </c>
      <c r="D31" s="651" t="s">
        <v>137</v>
      </c>
      <c r="E31" s="652"/>
      <c r="F31" s="652"/>
      <c r="G31" s="652"/>
      <c r="H31" s="652"/>
      <c r="I31" s="652"/>
      <c r="J31" s="653"/>
    </row>
    <row r="32" spans="1:10" ht="104.25" customHeight="1" x14ac:dyDescent="0.25">
      <c r="A32" s="661"/>
      <c r="B32" s="624"/>
      <c r="C32" s="68" t="s">
        <v>8</v>
      </c>
      <c r="D32" s="465"/>
      <c r="E32" s="466"/>
      <c r="F32" s="466"/>
      <c r="G32" s="466"/>
      <c r="H32" s="466"/>
      <c r="I32" s="466"/>
      <c r="J32" s="467"/>
    </row>
    <row r="33" spans="1:10" ht="104.25" customHeight="1" thickBot="1" x14ac:dyDescent="0.3">
      <c r="A33" s="662"/>
      <c r="B33" s="624"/>
      <c r="C33" s="69" t="s">
        <v>10</v>
      </c>
      <c r="D33" s="468"/>
      <c r="E33" s="411"/>
      <c r="F33" s="411"/>
      <c r="G33" s="469"/>
      <c r="H33" s="411"/>
      <c r="I33" s="469"/>
      <c r="J33" s="470"/>
    </row>
    <row r="34" spans="1:10" s="13" customFormat="1" ht="104.25" customHeight="1" x14ac:dyDescent="0.25">
      <c r="A34" s="624" t="s">
        <v>12</v>
      </c>
      <c r="B34" s="626">
        <f>B29+1</f>
        <v>46326</v>
      </c>
      <c r="C34" s="292" t="s">
        <v>5</v>
      </c>
      <c r="D34" s="462"/>
      <c r="E34" s="446"/>
      <c r="F34" s="446"/>
      <c r="G34" s="446"/>
      <c r="H34" s="446"/>
      <c r="I34" s="446"/>
      <c r="J34" s="447"/>
    </row>
    <row r="35" spans="1:10" s="13" customFormat="1" ht="104.25" customHeight="1" x14ac:dyDescent="0.25">
      <c r="A35" s="624"/>
      <c r="B35" s="624"/>
      <c r="C35" s="290" t="s">
        <v>6</v>
      </c>
      <c r="D35" s="463"/>
      <c r="E35" s="448"/>
      <c r="F35" s="400"/>
      <c r="G35" s="400"/>
      <c r="H35" s="400"/>
      <c r="I35" s="400"/>
      <c r="J35" s="403"/>
    </row>
    <row r="36" spans="1:10" s="13" customFormat="1" ht="104.25" customHeight="1" x14ac:dyDescent="0.25">
      <c r="A36" s="624"/>
      <c r="B36" s="624"/>
      <c r="C36" s="290" t="s">
        <v>7</v>
      </c>
      <c r="D36" s="651" t="s">
        <v>137</v>
      </c>
      <c r="E36" s="652"/>
      <c r="F36" s="652"/>
      <c r="G36" s="652"/>
      <c r="H36" s="652"/>
      <c r="I36" s="652"/>
      <c r="J36" s="653"/>
    </row>
    <row r="37" spans="1:10" s="13" customFormat="1" ht="104.25" customHeight="1" x14ac:dyDescent="0.25">
      <c r="A37" s="624"/>
      <c r="B37" s="624"/>
      <c r="C37" s="290" t="s">
        <v>8</v>
      </c>
      <c r="D37" s="465"/>
      <c r="E37" s="466"/>
      <c r="F37" s="466"/>
      <c r="G37" s="466"/>
      <c r="H37" s="466"/>
      <c r="I37" s="466"/>
      <c r="J37" s="467"/>
    </row>
    <row r="38" spans="1:10" s="13" customFormat="1" ht="104.25" customHeight="1" thickBot="1" x14ac:dyDescent="0.3">
      <c r="A38" s="660"/>
      <c r="B38" s="660"/>
      <c r="C38" s="291" t="s">
        <v>10</v>
      </c>
      <c r="D38" s="468"/>
      <c r="E38" s="411"/>
      <c r="F38" s="411"/>
      <c r="G38" s="469"/>
      <c r="H38" s="411"/>
      <c r="I38" s="469"/>
      <c r="J38" s="470"/>
    </row>
    <row r="39" spans="1:10" ht="27.75" x14ac:dyDescent="0.25">
      <c r="A39" s="6"/>
      <c r="B39" s="6"/>
      <c r="C39" s="6"/>
      <c r="D39" s="136" t="s">
        <v>51</v>
      </c>
      <c r="E39" s="6"/>
      <c r="F39" s="6"/>
      <c r="G39" s="6"/>
      <c r="H39" s="6"/>
      <c r="I39" s="6"/>
    </row>
    <row r="40" spans="1:10" ht="26.25" x14ac:dyDescent="0.4">
      <c r="A40" s="6"/>
      <c r="B40" s="6"/>
      <c r="C40" s="55" t="str">
        <f>'01.09'!C40</f>
        <v>*Л. Основы медицинских знаний и спортивная медицина*</v>
      </c>
      <c r="D40" s="56">
        <f>'19.10'!D40+COUNTIF(D$9:D$38,$C40)</f>
        <v>8</v>
      </c>
      <c r="E40" s="56">
        <f>'19.10'!E40+COUNTIF(E$9:E$38,$C40)</f>
        <v>8</v>
      </c>
      <c r="F40" s="56">
        <f>'19.10'!F40+COUNTIF(F$9:F$38,$C40)</f>
        <v>8</v>
      </c>
      <c r="G40" s="56">
        <f>'19.10'!G40+COUNTIF(G$9:G$38,$C40)</f>
        <v>8</v>
      </c>
      <c r="H40" s="56">
        <f>'19.10'!H40+COUNTIF(H$9:H$38,$C40)</f>
        <v>8</v>
      </c>
      <c r="I40" s="56">
        <f>'19.10'!I40+COUNTIF(I$9:I$38,$C40)</f>
        <v>8</v>
      </c>
      <c r="J40" s="56">
        <f>'19.10'!J40+COUNTIF(J$9:J$38,$C40)</f>
        <v>8</v>
      </c>
    </row>
    <row r="41" spans="1:10" s="13" customFormat="1" ht="26.25" x14ac:dyDescent="0.4">
      <c r="A41" s="6"/>
      <c r="B41" s="6"/>
      <c r="C41" s="55" t="str">
        <f>'01.09'!C41</f>
        <v>*Пр. Основы медицинских знаний и спортивная медицина*</v>
      </c>
      <c r="D41" s="56">
        <f>'19.10'!D41+COUNTIF(D$9:D$38,$C41)</f>
        <v>14</v>
      </c>
      <c r="E41" s="56">
        <f>'19.10'!E41+COUNTIF(E$9:E$38,$C41)</f>
        <v>14</v>
      </c>
      <c r="F41" s="56">
        <f>'19.10'!F41+COUNTIF(F$9:F$38,$C41)</f>
        <v>13</v>
      </c>
      <c r="G41" s="56">
        <f>'19.10'!G41+COUNTIF(G$9:G$38,$C41)</f>
        <v>9</v>
      </c>
      <c r="H41" s="56">
        <f>'19.10'!H41+COUNTIF(H$9:H$38,$C41)</f>
        <v>14</v>
      </c>
      <c r="I41" s="56">
        <f>'19.10'!I41+COUNTIF(I$9:I$38,$C41)</f>
        <v>13</v>
      </c>
      <c r="J41" s="56">
        <f>'19.10'!J41+COUNTIF(J$9:J$38,$C41)</f>
        <v>13</v>
      </c>
    </row>
    <row r="42" spans="1:10" ht="26.25" x14ac:dyDescent="0.4">
      <c r="A42" s="6"/>
      <c r="B42" s="6"/>
      <c r="C42" s="55" t="str">
        <f>'01.09'!C42</f>
        <v>*Л. Массаж*</v>
      </c>
      <c r="D42" s="56">
        <f>'19.10'!D42+COUNTIF(D$9:D$38,$C42)</f>
        <v>5</v>
      </c>
      <c r="E42" s="56">
        <f>'19.10'!E42+COUNTIF(E$9:E$38,$C42)</f>
        <v>5</v>
      </c>
      <c r="F42" s="56">
        <f>'19.10'!F42+COUNTIF(F$9:F$38,$C42)</f>
        <v>5</v>
      </c>
      <c r="G42" s="56">
        <f>'19.10'!G42+COUNTIF(G$9:G$38,$C42)</f>
        <v>5</v>
      </c>
      <c r="H42" s="56">
        <f>'19.10'!H42+COUNTIF(H$9:H$38,$C42)</f>
        <v>5</v>
      </c>
      <c r="I42" s="56">
        <f>'19.10'!I42+COUNTIF(I$9:I$38,$C42)</f>
        <v>5</v>
      </c>
      <c r="J42" s="56">
        <f>'19.10'!J42+COUNTIF(J$9:J$38,$C42)</f>
        <v>5</v>
      </c>
    </row>
    <row r="43" spans="1:10" s="13" customFormat="1" ht="26.25" x14ac:dyDescent="0.4">
      <c r="A43" s="6"/>
      <c r="B43" s="6"/>
      <c r="C43" s="55" t="str">
        <f>'01.09'!C43</f>
        <v>*Пр. Массаж*</v>
      </c>
      <c r="D43" s="56">
        <f>'19.10'!D43+COUNTIF(D$9:D$38,$C43)</f>
        <v>13</v>
      </c>
      <c r="E43" s="56">
        <f>'19.10'!E43+COUNTIF(E$9:E$38,$C43)</f>
        <v>13</v>
      </c>
      <c r="F43" s="56">
        <f>'19.10'!F43+COUNTIF(F$9:F$38,$C43)</f>
        <v>13</v>
      </c>
      <c r="G43" s="56">
        <f>'19.10'!G43+COUNTIF(G$9:G$38,$C43)</f>
        <v>14</v>
      </c>
      <c r="H43" s="56">
        <f>'19.10'!H43+COUNTIF(H$9:H$38,$C43)</f>
        <v>14</v>
      </c>
      <c r="I43" s="56">
        <f>'19.10'!I43+COUNTIF(I$9:I$38,$C43)</f>
        <v>14</v>
      </c>
      <c r="J43" s="56">
        <f>'19.10'!J43+COUNTIF(J$9:J$38,$C43)</f>
        <v>14</v>
      </c>
    </row>
    <row r="44" spans="1:10" ht="26.25" x14ac:dyDescent="0.4">
      <c r="A44" s="6"/>
      <c r="B44" s="6"/>
      <c r="C44" s="55" t="str">
        <f>'01.09'!C44</f>
        <v>*Л. Правовые основы профессиональной деятельности*</v>
      </c>
      <c r="D44" s="56">
        <f>'19.10'!D44+COUNTIF(D$9:D$38,$C44)</f>
        <v>5</v>
      </c>
      <c r="E44" s="56">
        <f>'19.10'!E44+COUNTIF(E$9:E$38,$C44)</f>
        <v>5</v>
      </c>
      <c r="F44" s="56">
        <f>'19.10'!F44+COUNTIF(F$9:F$38,$C44)</f>
        <v>5</v>
      </c>
      <c r="G44" s="56">
        <f>'19.10'!G44+COUNTIF(G$9:G$38,$C44)</f>
        <v>5</v>
      </c>
      <c r="H44" s="56">
        <f>'19.10'!H44+COUNTIF(H$9:H$38,$C44)</f>
        <v>5</v>
      </c>
      <c r="I44" s="56">
        <f>'19.10'!I44+COUNTIF(I$9:I$38,$C44)</f>
        <v>5</v>
      </c>
      <c r="J44" s="56">
        <f>'19.10'!J44+COUNTIF(J$9:J$38,$C44)</f>
        <v>5</v>
      </c>
    </row>
    <row r="45" spans="1:10" s="13" customFormat="1" ht="26.25" x14ac:dyDescent="0.4">
      <c r="A45" s="6"/>
      <c r="B45" s="6"/>
      <c r="C45" s="55" t="str">
        <f>'01.09'!C45</f>
        <v>*Пр. Правовые основы профессиональной деятельности*</v>
      </c>
      <c r="D45" s="56">
        <f>'19.10'!D45+COUNTIF(D$9:D$38,$C45)</f>
        <v>7</v>
      </c>
      <c r="E45" s="56">
        <f>'19.10'!E45+COUNTIF(E$9:E$38,$C45)</f>
        <v>8</v>
      </c>
      <c r="F45" s="56">
        <f>'19.10'!F45+COUNTIF(F$9:F$38,$C45)</f>
        <v>7</v>
      </c>
      <c r="G45" s="56">
        <f>'19.10'!G45+COUNTIF(G$9:G$38,$C45)</f>
        <v>7</v>
      </c>
      <c r="H45" s="56">
        <f>'19.10'!H45+COUNTIF(H$9:H$38,$C45)</f>
        <v>7</v>
      </c>
      <c r="I45" s="56">
        <f>'19.10'!I45+COUNTIF(I$9:I$38,$C45)</f>
        <v>6</v>
      </c>
      <c r="J45" s="56">
        <f>'19.10'!J45+COUNTIF(J$9:J$38,$C45)</f>
        <v>7</v>
      </c>
    </row>
    <row r="46" spans="1:10" ht="26.25" x14ac:dyDescent="0.4">
      <c r="A46" s="6"/>
      <c r="B46" s="6"/>
      <c r="C46" s="55" t="str">
        <f>'01.09'!C46</f>
        <v>*Л. Теория и методика*</v>
      </c>
      <c r="D46" s="56">
        <f>'19.10'!D46+COUNTIF(D$9:D$38,$C46)</f>
        <v>4</v>
      </c>
      <c r="E46" s="56">
        <f>'19.10'!E46+COUNTIF(E$9:E$38,$C46)</f>
        <v>4</v>
      </c>
      <c r="F46" s="56">
        <f>'19.10'!F46+COUNTIF(F$9:F$38,$C46)</f>
        <v>4</v>
      </c>
      <c r="G46" s="56">
        <f>'19.10'!G46+COUNTIF(G$9:G$38,$C46)</f>
        <v>4</v>
      </c>
      <c r="H46" s="56">
        <f>'19.10'!H46+COUNTIF(H$9:H$38,$C46)</f>
        <v>4</v>
      </c>
      <c r="I46" s="56">
        <f>'19.10'!I46+COUNTIF(I$9:I$38,$C46)</f>
        <v>4</v>
      </c>
      <c r="J46" s="56">
        <f>'19.10'!J46+COUNTIF(J$9:J$38,$C46)</f>
        <v>4</v>
      </c>
    </row>
    <row r="47" spans="1:10" s="13" customFormat="1" ht="26.25" x14ac:dyDescent="0.4">
      <c r="A47" s="6"/>
      <c r="B47" s="6"/>
      <c r="C47" s="55" t="str">
        <f>'01.09'!C47</f>
        <v>*Пр. Теория и методика*</v>
      </c>
      <c r="D47" s="56">
        <f>'19.10'!D47+COUNTIF(D$9:D$38,$C47)</f>
        <v>30</v>
      </c>
      <c r="E47" s="56">
        <f>'19.10'!E47+COUNTIF(E$9:E$38,$C47)</f>
        <v>30</v>
      </c>
      <c r="F47" s="56">
        <f>'19.10'!F47+COUNTIF(F$9:F$38,$C47)</f>
        <v>31</v>
      </c>
      <c r="G47" s="56">
        <f>'19.10'!G47+COUNTIF(G$9:G$38,$C47)</f>
        <v>35</v>
      </c>
      <c r="H47" s="56">
        <f>'19.10'!H47+COUNTIF(H$9:H$38,$C47)</f>
        <v>35</v>
      </c>
      <c r="I47" s="56">
        <f>'19.10'!I47+COUNTIF(I$9:I$38,$C47)</f>
        <v>37</v>
      </c>
      <c r="J47" s="56">
        <f>'19.10'!J47+COUNTIF(J$9:J$38,$C47)</f>
        <v>37</v>
      </c>
    </row>
    <row r="48" spans="1:10" ht="26.25" x14ac:dyDescent="0.4">
      <c r="A48" s="6"/>
      <c r="B48" s="6"/>
      <c r="C48" s="55" t="str">
        <f>'01.09'!C48</f>
        <v>*Л. Спортивная метрология*</v>
      </c>
      <c r="D48" s="56">
        <f>'19.10'!D48+COUNTIF(D$9:D$38,$C48)</f>
        <v>5</v>
      </c>
      <c r="E48" s="56">
        <f>'19.10'!E48+COUNTIF(E$9:E$38,$C48)</f>
        <v>5</v>
      </c>
      <c r="F48" s="56">
        <f>'19.10'!F48+COUNTIF(F$9:F$38,$C48)</f>
        <v>5</v>
      </c>
      <c r="G48" s="56">
        <f>'19.10'!G48+COUNTIF(G$9:G$38,$C48)</f>
        <v>5</v>
      </c>
      <c r="H48" s="56">
        <f>'19.10'!H48+COUNTIF(H$9:H$38,$C48)</f>
        <v>5</v>
      </c>
      <c r="I48" s="56">
        <f>'19.10'!I48+COUNTIF(I$9:I$38,$C48)</f>
        <v>5</v>
      </c>
      <c r="J48" s="56">
        <f>'19.10'!J48+COUNTIF(J$9:J$38,$C48)</f>
        <v>5</v>
      </c>
    </row>
    <row r="49" spans="1:10" s="13" customFormat="1" ht="26.25" x14ac:dyDescent="0.4">
      <c r="A49" s="6"/>
      <c r="B49" s="6"/>
      <c r="C49" s="55" t="str">
        <f>'01.09'!C49</f>
        <v>*Пр. Спортивная метрология*</v>
      </c>
      <c r="D49" s="56">
        <f>'19.10'!D49+COUNTIF(D$9:D$38,$C49)</f>
        <v>7</v>
      </c>
      <c r="E49" s="56">
        <f>'19.10'!E49+COUNTIF(E$9:E$38,$C49)</f>
        <v>7</v>
      </c>
      <c r="F49" s="56">
        <f>'19.10'!F49+COUNTIF(F$9:F$38,$C49)</f>
        <v>7</v>
      </c>
      <c r="G49" s="56">
        <f>'19.10'!G49+COUNTIF(G$9:G$38,$C49)</f>
        <v>7</v>
      </c>
      <c r="H49" s="56">
        <f>'19.10'!H49+COUNTIF(H$9:H$38,$C49)</f>
        <v>7</v>
      </c>
      <c r="I49" s="56">
        <f>'19.10'!I49+COUNTIF(I$9:I$38,$C49)</f>
        <v>7</v>
      </c>
      <c r="J49" s="56">
        <f>'19.10'!J49+COUNTIF(J$9:J$38,$C49)</f>
        <v>7</v>
      </c>
    </row>
    <row r="50" spans="1:10" ht="26.25" x14ac:dyDescent="0.4">
      <c r="A50" s="6"/>
      <c r="B50" s="6"/>
      <c r="C50" s="55" t="str">
        <f>'01.09'!C50</f>
        <v>*Л.  Теория и методика циклических и сложнокоординационных*</v>
      </c>
      <c r="D50" s="56">
        <f>'19.10'!D50+COUNTIF(D$9:D$38,$C50)</f>
        <v>0</v>
      </c>
      <c r="E50" s="56">
        <f>'19.10'!E50+COUNTIF(E$9:E$38,$C50)</f>
        <v>0</v>
      </c>
      <c r="F50" s="56">
        <f>'19.10'!F50+COUNTIF(F$9:F$38,$C50)</f>
        <v>0</v>
      </c>
      <c r="G50" s="56">
        <f>'19.10'!G50+COUNTIF(G$9:G$38,$C50)</f>
        <v>0</v>
      </c>
      <c r="H50" s="56">
        <f>'19.10'!H50+COUNTIF(H$9:H$38,$C50)</f>
        <v>4</v>
      </c>
      <c r="I50" s="56">
        <f>'19.10'!I50+COUNTIF(I$9:I$38,$C50)</f>
        <v>0</v>
      </c>
      <c r="J50" s="56">
        <f>'19.10'!J50+COUNTIF(J$9:J$38,$C50)</f>
        <v>0</v>
      </c>
    </row>
    <row r="51" spans="1:10" s="13" customFormat="1" ht="26.25" x14ac:dyDescent="0.4">
      <c r="A51" s="6"/>
      <c r="B51" s="6"/>
      <c r="C51" s="55" t="str">
        <f>'01.09'!C51</f>
        <v>*Пр.  Теория и методика циклических и сложнокоординационных*</v>
      </c>
      <c r="D51" s="56">
        <f>'19.10'!D51+COUNTIF(D$9:D$38,$C51)</f>
        <v>0</v>
      </c>
      <c r="E51" s="56">
        <f>'19.10'!E51+COUNTIF(E$9:E$38,$C51)</f>
        <v>0</v>
      </c>
      <c r="F51" s="56">
        <f>'19.10'!F51+COUNTIF(F$9:F$38,$C51)</f>
        <v>0</v>
      </c>
      <c r="G51" s="56">
        <f>'19.10'!G51+COUNTIF(G$9:G$38,$C51)</f>
        <v>0</v>
      </c>
      <c r="H51" s="56">
        <f>'19.10'!H51+COUNTIF(H$9:H$38,$C51)</f>
        <v>39</v>
      </c>
      <c r="I51" s="56">
        <f>'19.10'!I51+COUNTIF(I$9:I$38,$C51)</f>
        <v>0</v>
      </c>
      <c r="J51" s="56">
        <f>'19.10'!J51+COUNTIF(J$9:J$38,$C51)</f>
        <v>0</v>
      </c>
    </row>
    <row r="52" spans="1:10" ht="26.25" x14ac:dyDescent="0.4">
      <c r="A52" s="6"/>
      <c r="B52" s="6"/>
      <c r="C52" s="55">
        <f>'01.09'!C52</f>
        <v>0</v>
      </c>
      <c r="D52" s="56">
        <f>'19.10'!D52+COUNTIF(D$9:D$38,$C52)</f>
        <v>0</v>
      </c>
      <c r="E52" s="56">
        <f>'19.10'!E52+COUNTIF(E$9:E$38,$C52)</f>
        <v>0</v>
      </c>
      <c r="F52" s="56">
        <f>'19.10'!F52+COUNTIF(F$9:F$38,$C52)</f>
        <v>0</v>
      </c>
      <c r="G52" s="56">
        <f>'19.10'!G52+COUNTIF(G$9:G$38,$C52)</f>
        <v>0</v>
      </c>
      <c r="H52" s="56">
        <f>'19.10'!H52+COUNTIF(H$9:H$38,$C52)</f>
        <v>0</v>
      </c>
      <c r="I52" s="56">
        <f>'19.10'!I52+COUNTIF(I$9:I$38,$C52)</f>
        <v>0</v>
      </c>
      <c r="J52" s="56">
        <f>'19.10'!J52+COUNTIF(J$9:J$38,$C52)</f>
        <v>0</v>
      </c>
    </row>
    <row r="53" spans="1:10" s="13" customFormat="1" ht="26.25" x14ac:dyDescent="0.4">
      <c r="A53" s="6"/>
      <c r="B53" s="6"/>
      <c r="C53" s="55">
        <f>'01.09'!C53</f>
        <v>0</v>
      </c>
      <c r="D53" s="56">
        <f>'19.10'!D53+COUNTIF(D$9:D$38,$C53)</f>
        <v>0</v>
      </c>
      <c r="E53" s="56">
        <f>'19.10'!E53+COUNTIF(E$9:E$38,$C53)</f>
        <v>0</v>
      </c>
      <c r="F53" s="56">
        <f>'19.10'!F53+COUNTIF(F$9:F$38,$C53)</f>
        <v>0</v>
      </c>
      <c r="G53" s="56">
        <f>'19.10'!G53+COUNTIF(G$9:G$38,$C53)</f>
        <v>0</v>
      </c>
      <c r="H53" s="56">
        <f>'19.10'!H53+COUNTIF(H$9:H$38,$C53)</f>
        <v>0</v>
      </c>
      <c r="I53" s="56">
        <f>'19.10'!I53+COUNTIF(I$9:I$38,$C53)</f>
        <v>0</v>
      </c>
      <c r="J53" s="56">
        <f>'19.10'!J53+COUNTIF(J$9:J$38,$C53)</f>
        <v>0</v>
      </c>
    </row>
    <row r="54" spans="1:10" ht="26.25" x14ac:dyDescent="0.4">
      <c r="A54" s="6"/>
      <c r="B54" s="6"/>
      <c r="C54" s="55">
        <f>'01.09'!C54</f>
        <v>0</v>
      </c>
      <c r="D54" s="56">
        <f>'19.10'!D54+COUNTIF(D$9:D$38,$C54)</f>
        <v>0</v>
      </c>
      <c r="E54" s="56">
        <f>'19.10'!E54+COUNTIF(E$9:E$38,$C54)</f>
        <v>0</v>
      </c>
      <c r="F54" s="56">
        <f>'19.10'!F54+COUNTIF(F$9:F$38,$C54)</f>
        <v>0</v>
      </c>
      <c r="G54" s="56">
        <f>'19.10'!G54+COUNTIF(G$9:G$38,$C54)</f>
        <v>0</v>
      </c>
      <c r="H54" s="56">
        <f>'19.10'!H54+COUNTIF(H$9:H$38,$C54)</f>
        <v>0</v>
      </c>
      <c r="I54" s="56">
        <f>'19.10'!I54+COUNTIF(I$9:I$38,$C54)</f>
        <v>0</v>
      </c>
      <c r="J54" s="56">
        <f>'19.10'!J54+COUNTIF(J$9:J$38,$C54)</f>
        <v>0</v>
      </c>
    </row>
    <row r="55" spans="1:10" s="13" customFormat="1" ht="26.25" x14ac:dyDescent="0.4">
      <c r="A55" s="6"/>
      <c r="B55" s="6"/>
      <c r="C55" s="55">
        <f>'01.09'!C55</f>
        <v>0</v>
      </c>
      <c r="D55" s="56">
        <f>'19.10'!D55+COUNTIF(D$9:D$38,$C55)</f>
        <v>0</v>
      </c>
      <c r="E55" s="56">
        <f>'19.10'!E55+COUNTIF(E$9:E$38,$C55)</f>
        <v>0</v>
      </c>
      <c r="F55" s="56">
        <f>'19.10'!F55+COUNTIF(F$9:F$38,$C55)</f>
        <v>0</v>
      </c>
      <c r="G55" s="56">
        <f>'19.10'!G55+COUNTIF(G$9:G$38,$C55)</f>
        <v>0</v>
      </c>
      <c r="H55" s="56">
        <f>'19.10'!H55+COUNTIF(H$9:H$38,$C55)</f>
        <v>0</v>
      </c>
      <c r="I55" s="56">
        <f>'19.10'!I55+COUNTIF(I$9:I$38,$C55)</f>
        <v>0</v>
      </c>
      <c r="J55" s="56">
        <f>'19.10'!J55+COUNTIF(J$9:J$38,$C55)</f>
        <v>0</v>
      </c>
    </row>
    <row r="56" spans="1:10" ht="26.25" x14ac:dyDescent="0.4">
      <c r="A56" s="6"/>
      <c r="B56" s="6"/>
      <c r="C56" s="55">
        <f>'01.09'!C56</f>
        <v>0</v>
      </c>
      <c r="D56" s="56">
        <f>'19.10'!D56+COUNTIF(D$9:D$38,$C56)</f>
        <v>0</v>
      </c>
      <c r="E56" s="56">
        <f>'19.10'!E56+COUNTIF(E$9:E$38,$C56)</f>
        <v>0</v>
      </c>
      <c r="F56" s="56">
        <f>'19.10'!F56+COUNTIF(F$9:F$38,$C56)</f>
        <v>0</v>
      </c>
      <c r="G56" s="56">
        <f>'19.10'!G56+COUNTIF(G$9:G$38,$C56)</f>
        <v>0</v>
      </c>
      <c r="H56" s="56">
        <f>'19.10'!H56+COUNTIF(H$9:H$38,$C56)</f>
        <v>0</v>
      </c>
      <c r="I56" s="56">
        <f>'19.10'!I56+COUNTIF(I$9:I$38,$C56)</f>
        <v>0</v>
      </c>
      <c r="J56" s="56">
        <f>'19.10'!J56+COUNTIF(J$9:J$38,$C56)</f>
        <v>0</v>
      </c>
    </row>
    <row r="57" spans="1:10" s="13" customFormat="1" ht="26.25" x14ac:dyDescent="0.4">
      <c r="A57" s="6"/>
      <c r="B57" s="6"/>
      <c r="C57" s="55">
        <f>'01.09'!C57</f>
        <v>0</v>
      </c>
      <c r="D57" s="56">
        <f>'19.10'!D57+COUNTIF(D$9:D$38,$C57)</f>
        <v>0</v>
      </c>
      <c r="E57" s="56">
        <f>'19.10'!E57+COUNTIF(E$9:E$38,$C57)</f>
        <v>0</v>
      </c>
      <c r="F57" s="56">
        <f>'19.10'!F57+COUNTIF(F$9:F$38,$C57)</f>
        <v>0</v>
      </c>
      <c r="G57" s="56">
        <f>'19.10'!G57+COUNTIF(G$9:G$38,$C57)</f>
        <v>0</v>
      </c>
      <c r="H57" s="56">
        <f>'19.10'!H57+COUNTIF(H$9:H$38,$C57)</f>
        <v>0</v>
      </c>
      <c r="I57" s="56">
        <f>'19.10'!I57+COUNTIF(I$9:I$38,$C57)</f>
        <v>0</v>
      </c>
      <c r="J57" s="56">
        <f>'19.10'!J57+COUNTIF(J$9:J$38,$C57)</f>
        <v>0</v>
      </c>
    </row>
    <row r="58" spans="1:10" ht="26.25" x14ac:dyDescent="0.4">
      <c r="A58" s="6"/>
      <c r="B58" s="6"/>
      <c r="C58" s="55">
        <f>'01.09'!C58</f>
        <v>0</v>
      </c>
      <c r="D58" s="56">
        <f>'19.10'!D58+COUNTIF(D$9:D$38,$C58)</f>
        <v>0</v>
      </c>
      <c r="E58" s="56">
        <f>'19.10'!E58+COUNTIF(E$9:E$38,$C58)</f>
        <v>0</v>
      </c>
      <c r="F58" s="56">
        <f>'19.10'!F58+COUNTIF(F$9:F$38,$C58)</f>
        <v>0</v>
      </c>
      <c r="G58" s="56">
        <f>'19.10'!G58+COUNTIF(G$9:G$38,$C58)</f>
        <v>0</v>
      </c>
      <c r="H58" s="56">
        <f>'19.10'!H58+COUNTIF(H$9:H$38,$C58)</f>
        <v>0</v>
      </c>
      <c r="I58" s="56">
        <f>'19.10'!I58+COUNTIF(I$9:I$38,$C58)</f>
        <v>0</v>
      </c>
      <c r="J58" s="56">
        <f>'19.10'!J58+COUNTIF(J$9:J$38,$C58)</f>
        <v>0</v>
      </c>
    </row>
    <row r="59" spans="1:10" s="13" customFormat="1" ht="26.25" x14ac:dyDescent="0.4">
      <c r="A59" s="6"/>
      <c r="B59" s="6"/>
      <c r="C59" s="55">
        <f>'01.09'!C59</f>
        <v>0</v>
      </c>
      <c r="D59" s="56">
        <f>'19.10'!D59+COUNTIF(D$9:D$38,$C59)</f>
        <v>0</v>
      </c>
      <c r="E59" s="56">
        <f>'19.10'!E59+COUNTIF(E$9:E$38,$C59)</f>
        <v>0</v>
      </c>
      <c r="F59" s="56">
        <f>'19.10'!F59+COUNTIF(F$9:F$38,$C59)</f>
        <v>0</v>
      </c>
      <c r="G59" s="56">
        <f>'19.10'!G59+COUNTIF(G$9:G$38,$C59)</f>
        <v>0</v>
      </c>
      <c r="H59" s="56">
        <f>'19.10'!H59+COUNTIF(H$9:H$38,$C59)</f>
        <v>0</v>
      </c>
      <c r="I59" s="56">
        <f>'19.10'!I59+COUNTIF(I$9:I$38,$C59)</f>
        <v>0</v>
      </c>
      <c r="J59" s="56">
        <f>'19.10'!J59+COUNTIF(J$9:J$38,$C59)</f>
        <v>0</v>
      </c>
    </row>
    <row r="60" spans="1:10" ht="26.25" x14ac:dyDescent="0.4">
      <c r="A60" s="6"/>
      <c r="B60" s="6"/>
      <c r="C60" s="55">
        <f>'01.09'!C60</f>
        <v>0</v>
      </c>
      <c r="D60" s="56">
        <f>'19.10'!D60+COUNTIF(D$9:D$38,$C60)</f>
        <v>0</v>
      </c>
      <c r="E60" s="56">
        <f>'19.10'!E60+COUNTIF(E$9:E$38,$C60)</f>
        <v>0</v>
      </c>
      <c r="F60" s="56">
        <f>'19.10'!F60+COUNTIF(F$9:F$38,$C60)</f>
        <v>0</v>
      </c>
      <c r="G60" s="56">
        <f>'19.10'!G60+COUNTIF(G$9:G$38,$C60)</f>
        <v>0</v>
      </c>
      <c r="H60" s="56">
        <f>'19.10'!H60+COUNTIF(H$9:H$38,$C60)</f>
        <v>0</v>
      </c>
      <c r="I60" s="56">
        <f>'19.10'!I60+COUNTIF(I$9:I$38,$C60)</f>
        <v>0</v>
      </c>
      <c r="J60" s="56">
        <f>'19.10'!J60+COUNTIF(J$9:J$38,$C60)</f>
        <v>0</v>
      </c>
    </row>
    <row r="61" spans="1:10" ht="26.25" x14ac:dyDescent="0.4">
      <c r="A61" s="6"/>
      <c r="B61" s="6"/>
      <c r="C61" s="55">
        <f>'01.09'!C61</f>
        <v>0</v>
      </c>
      <c r="D61" s="56">
        <f>'19.10'!D61+COUNTIF(D$9:D$38,$C61)</f>
        <v>0</v>
      </c>
      <c r="E61" s="56">
        <f>'19.10'!E61+COUNTIF(E$9:E$38,$C61)</f>
        <v>0</v>
      </c>
      <c r="F61" s="56">
        <f>'19.10'!F61+COUNTIF(F$9:F$38,$C61)</f>
        <v>0</v>
      </c>
      <c r="G61" s="56">
        <f>'19.10'!G61+COUNTIF(G$9:G$38,$C61)</f>
        <v>0</v>
      </c>
      <c r="H61" s="56">
        <f>'19.10'!H61+COUNTIF(H$9:H$38,$C61)</f>
        <v>0</v>
      </c>
      <c r="I61" s="56">
        <f>'19.10'!I61+COUNTIF(I$9:I$38,$C61)</f>
        <v>0</v>
      </c>
      <c r="J61" s="56">
        <f>'19.10'!J61+COUNTIF(J$9:J$38,$C61)</f>
        <v>0</v>
      </c>
    </row>
    <row r="62" spans="1:10" ht="26.25" x14ac:dyDescent="0.4">
      <c r="A62" s="6"/>
      <c r="B62" s="6"/>
      <c r="C62" s="55">
        <f>'01.09'!C62</f>
        <v>0</v>
      </c>
      <c r="D62" s="56">
        <f>'19.10'!D62+COUNTIF(D$9:D$38,$C62)</f>
        <v>0</v>
      </c>
      <c r="E62" s="56">
        <f>'19.10'!E62+COUNTIF(E$9:E$38,$C62)</f>
        <v>0</v>
      </c>
      <c r="F62" s="56">
        <f>'19.10'!F62+COUNTIF(F$9:F$38,$C62)</f>
        <v>0</v>
      </c>
      <c r="G62" s="56">
        <f>'19.10'!G62+COUNTIF(G$9:G$38,$C62)</f>
        <v>0</v>
      </c>
      <c r="H62" s="56">
        <f>'19.10'!H62+COUNTIF(H$9:H$38,$C62)</f>
        <v>0</v>
      </c>
      <c r="I62" s="56">
        <f>'19.10'!I62+COUNTIF(I$9:I$38,$C62)</f>
        <v>0</v>
      </c>
      <c r="J62" s="56">
        <f>'19.10'!J62+COUNTIF(J$9:J$38,$C62)</f>
        <v>0</v>
      </c>
    </row>
    <row r="63" spans="1:10" ht="26.25" x14ac:dyDescent="0.4">
      <c r="A63" s="6"/>
      <c r="B63" s="6"/>
      <c r="C63" s="55">
        <f>'01.09'!C63</f>
        <v>0</v>
      </c>
      <c r="D63" s="56">
        <f>'19.10'!D63+COUNTIF(D$9:D$38,$C63)</f>
        <v>0</v>
      </c>
      <c r="E63" s="56">
        <f>'19.10'!E63+COUNTIF(E$9:E$38,$C63)</f>
        <v>0</v>
      </c>
      <c r="F63" s="56">
        <f>'19.10'!F63+COUNTIF(F$9:F$38,$C63)</f>
        <v>0</v>
      </c>
      <c r="G63" s="56">
        <f>'19.10'!G63+COUNTIF(G$9:G$38,$C63)</f>
        <v>0</v>
      </c>
      <c r="H63" s="56">
        <f>'19.10'!H63+COUNTIF(H$9:H$38,$C63)</f>
        <v>0</v>
      </c>
      <c r="I63" s="56">
        <f>'19.10'!I63+COUNTIF(I$9:I$38,$C63)</f>
        <v>0</v>
      </c>
      <c r="J63" s="56">
        <f>'19.10'!J63+COUNTIF(J$9:J$38,$C63)</f>
        <v>0</v>
      </c>
    </row>
    <row r="64" spans="1:10" ht="26.25" x14ac:dyDescent="0.4">
      <c r="A64" s="6"/>
      <c r="B64" s="6"/>
      <c r="C64" s="55">
        <f>'01.09'!C64</f>
        <v>0</v>
      </c>
      <c r="D64" s="56">
        <f>'19.10'!D64+COUNTIF(D$9:D$38,$C64)</f>
        <v>0</v>
      </c>
      <c r="E64" s="56">
        <f>'19.10'!E64+COUNTIF(E$9:E$38,$C64)</f>
        <v>0</v>
      </c>
      <c r="F64" s="56">
        <f>'19.10'!F64+COUNTIF(F$9:F$38,$C64)</f>
        <v>0</v>
      </c>
      <c r="G64" s="56">
        <f>'19.10'!G64+COUNTIF(G$9:G$38,$C64)</f>
        <v>0</v>
      </c>
      <c r="H64" s="56">
        <f>'19.10'!H64+COUNTIF(H$9:H$38,$C64)</f>
        <v>0</v>
      </c>
      <c r="I64" s="56">
        <f>'19.10'!I64+COUNTIF(I$9:I$38,$C64)</f>
        <v>0</v>
      </c>
      <c r="J64" s="56">
        <f>'19.10'!J64+COUNTIF(J$9:J$38,$C64)</f>
        <v>0</v>
      </c>
    </row>
    <row r="65" spans="1:10" ht="26.25" x14ac:dyDescent="0.4">
      <c r="A65" s="6"/>
      <c r="B65" s="6"/>
      <c r="C65" s="55">
        <f>'01.09'!C65</f>
        <v>0</v>
      </c>
      <c r="D65" s="56">
        <f>'19.10'!D65+COUNTIF(D$9:D$38,$C65)</f>
        <v>0</v>
      </c>
      <c r="E65" s="56">
        <f>'19.10'!E65+COUNTIF(E$9:E$38,$C65)</f>
        <v>0</v>
      </c>
      <c r="F65" s="56">
        <f>'19.10'!F65+COUNTIF(F$9:F$38,$C65)</f>
        <v>0</v>
      </c>
      <c r="G65" s="56">
        <f>'19.10'!G65+COUNTIF(G$9:G$38,$C65)</f>
        <v>0</v>
      </c>
      <c r="H65" s="56">
        <f>'19.10'!H65+COUNTIF(H$9:H$38,$C65)</f>
        <v>0</v>
      </c>
      <c r="I65" s="56">
        <f>'19.10'!I65+COUNTIF(I$9:I$38,$C65)</f>
        <v>0</v>
      </c>
      <c r="J65" s="56">
        <f>'19.10'!J65+COUNTIF(J$9:J$38,$C65)</f>
        <v>0</v>
      </c>
    </row>
    <row r="66" spans="1:10" ht="26.25" x14ac:dyDescent="0.4">
      <c r="A66" s="6"/>
      <c r="B66" s="6"/>
      <c r="C66" s="55">
        <f>'01.09'!C66</f>
        <v>0</v>
      </c>
      <c r="D66" s="56">
        <f>'19.10'!D66+COUNTIF(D$9:D$38,$C66)</f>
        <v>0</v>
      </c>
      <c r="E66" s="56">
        <f>'19.10'!E66+COUNTIF(E$9:E$38,$C66)</f>
        <v>0</v>
      </c>
      <c r="F66" s="56">
        <f>'19.10'!F66+COUNTIF(F$9:F$38,$C66)</f>
        <v>0</v>
      </c>
      <c r="G66" s="56">
        <f>'19.10'!G66+COUNTIF(G$9:G$38,$C66)</f>
        <v>0</v>
      </c>
      <c r="H66" s="56">
        <f>'19.10'!H66+COUNTIF(H$9:H$38,$C66)</f>
        <v>0</v>
      </c>
      <c r="I66" s="56">
        <f>'19.10'!I66+COUNTIF(I$9:I$38,$C66)</f>
        <v>0</v>
      </c>
      <c r="J66" s="56">
        <f>'19.10'!J66+COUNTIF(J$9:J$38,$C66)</f>
        <v>0</v>
      </c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6">
    <mergeCell ref="D36:J36"/>
    <mergeCell ref="D11:J11"/>
    <mergeCell ref="D16:J16"/>
    <mergeCell ref="D21:J21"/>
    <mergeCell ref="D26:J26"/>
    <mergeCell ref="D31:J31"/>
    <mergeCell ref="C7:C8"/>
    <mergeCell ref="B7:B8"/>
    <mergeCell ref="B1:J1"/>
    <mergeCell ref="B2:J2"/>
    <mergeCell ref="A3:J3"/>
    <mergeCell ref="B4:J4"/>
    <mergeCell ref="B5:J5"/>
    <mergeCell ref="A24:A28"/>
    <mergeCell ref="A7:A8"/>
    <mergeCell ref="A34:A38"/>
    <mergeCell ref="B34:B38"/>
    <mergeCell ref="A9:A13"/>
    <mergeCell ref="A14:A18"/>
    <mergeCell ref="A29:A33"/>
    <mergeCell ref="B19:B23"/>
    <mergeCell ref="B24:B28"/>
    <mergeCell ref="B29:B33"/>
    <mergeCell ref="A19:A23"/>
    <mergeCell ref="B9:B13"/>
    <mergeCell ref="B14:B18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K68"/>
  <sheetViews>
    <sheetView view="pageBreakPreview" zoomScale="40" zoomScaleNormal="40" zoomScaleSheetLayoutView="40" zoomScalePageLayoutView="40" workbookViewId="0">
      <selection activeCell="I8" sqref="I8"/>
    </sheetView>
  </sheetViews>
  <sheetFormatPr defaultColWidth="9.140625" defaultRowHeight="26.25" x14ac:dyDescent="0.4"/>
  <cols>
    <col min="1" max="2" width="4.42578125" style="63" customWidth="1"/>
    <col min="3" max="3" width="23.140625" style="63" customWidth="1"/>
    <col min="4" max="4" width="52.140625" style="63" customWidth="1"/>
    <col min="5" max="5" width="57.42578125" style="63" customWidth="1"/>
    <col min="6" max="6" width="46" style="63" customWidth="1"/>
    <col min="7" max="7" width="61.85546875" style="63" customWidth="1"/>
    <col min="8" max="8" width="68.28515625" style="63" customWidth="1"/>
    <col min="9" max="9" width="55.7109375" style="63" customWidth="1"/>
    <col min="10" max="10" width="53.140625" style="63" customWidth="1"/>
    <col min="11" max="16384" width="9.140625" style="63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6.25" customHeight="1" x14ac:dyDescent="0.4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4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4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9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32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98.25" customHeight="1" x14ac:dyDescent="0.4">
      <c r="A9" s="657" t="s">
        <v>0</v>
      </c>
      <c r="B9" s="628">
        <v>46328</v>
      </c>
      <c r="C9" s="67" t="s">
        <v>5</v>
      </c>
      <c r="D9" s="462"/>
      <c r="E9" s="446"/>
      <c r="F9" s="446"/>
      <c r="G9" s="446"/>
      <c r="H9" s="446"/>
      <c r="I9" s="446"/>
      <c r="J9" s="447"/>
    </row>
    <row r="10" spans="1:10" ht="98.25" customHeight="1" x14ac:dyDescent="0.4">
      <c r="A10" s="661"/>
      <c r="B10" s="624"/>
      <c r="C10" s="68" t="s">
        <v>6</v>
      </c>
      <c r="D10" s="463"/>
      <c r="E10" s="448"/>
      <c r="F10" s="400"/>
      <c r="G10" s="400"/>
      <c r="H10" s="400"/>
      <c r="I10" s="400"/>
      <c r="J10" s="403"/>
    </row>
    <row r="11" spans="1:10" ht="98.25" customHeight="1" x14ac:dyDescent="0.4">
      <c r="A11" s="661"/>
      <c r="B11" s="624"/>
      <c r="C11" s="68" t="s">
        <v>7</v>
      </c>
      <c r="D11" s="651" t="s">
        <v>137</v>
      </c>
      <c r="E11" s="652"/>
      <c r="F11" s="652"/>
      <c r="G11" s="652"/>
      <c r="H11" s="652"/>
      <c r="I11" s="652"/>
      <c r="J11" s="653"/>
    </row>
    <row r="12" spans="1:10" ht="98.25" customHeight="1" x14ac:dyDescent="0.4">
      <c r="A12" s="661"/>
      <c r="B12" s="624"/>
      <c r="C12" s="68" t="s">
        <v>8</v>
      </c>
      <c r="D12" s="465"/>
      <c r="E12" s="466"/>
      <c r="F12" s="466"/>
      <c r="G12" s="466"/>
      <c r="H12" s="466"/>
      <c r="I12" s="466"/>
      <c r="J12" s="467"/>
    </row>
    <row r="13" spans="1:10" ht="98.25" customHeight="1" thickBot="1" x14ac:dyDescent="0.45">
      <c r="A13" s="661"/>
      <c r="B13" s="667"/>
      <c r="C13" s="159" t="s">
        <v>10</v>
      </c>
      <c r="D13" s="468"/>
      <c r="E13" s="411"/>
      <c r="F13" s="411"/>
      <c r="G13" s="469"/>
      <c r="H13" s="411"/>
      <c r="I13" s="469"/>
      <c r="J13" s="470"/>
    </row>
    <row r="14" spans="1:10" ht="98.25" customHeight="1" x14ac:dyDescent="0.4">
      <c r="A14" s="657" t="s">
        <v>1</v>
      </c>
      <c r="B14" s="666">
        <f>B9+1</f>
        <v>46329</v>
      </c>
      <c r="C14" s="67" t="s">
        <v>5</v>
      </c>
      <c r="D14" s="462"/>
      <c r="E14" s="446"/>
      <c r="F14" s="446"/>
      <c r="G14" s="446"/>
      <c r="H14" s="446"/>
      <c r="I14" s="446"/>
      <c r="J14" s="447"/>
    </row>
    <row r="15" spans="1:10" ht="98.25" customHeight="1" x14ac:dyDescent="0.4">
      <c r="A15" s="661"/>
      <c r="B15" s="624"/>
      <c r="C15" s="68" t="s">
        <v>6</v>
      </c>
      <c r="D15" s="463"/>
      <c r="E15" s="448"/>
      <c r="F15" s="400"/>
      <c r="G15" s="400"/>
      <c r="H15" s="400"/>
      <c r="I15" s="400"/>
      <c r="J15" s="403"/>
    </row>
    <row r="16" spans="1:10" ht="98.25" customHeight="1" x14ac:dyDescent="0.4">
      <c r="A16" s="661"/>
      <c r="B16" s="624"/>
      <c r="C16" s="68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1" ht="98.25" customHeight="1" x14ac:dyDescent="0.4">
      <c r="A17" s="661"/>
      <c r="B17" s="624"/>
      <c r="C17" s="68" t="s">
        <v>8</v>
      </c>
      <c r="D17" s="465"/>
      <c r="E17" s="466"/>
      <c r="F17" s="466"/>
      <c r="G17" s="466"/>
      <c r="H17" s="466"/>
      <c r="I17" s="466"/>
      <c r="J17" s="467"/>
    </row>
    <row r="18" spans="1:11" ht="98.25" customHeight="1" thickBot="1" x14ac:dyDescent="0.45">
      <c r="A18" s="662"/>
      <c r="B18" s="660"/>
      <c r="C18" s="69" t="s">
        <v>10</v>
      </c>
      <c r="D18" s="468"/>
      <c r="E18" s="411"/>
      <c r="F18" s="411"/>
      <c r="G18" s="469"/>
      <c r="H18" s="411"/>
      <c r="I18" s="469"/>
      <c r="J18" s="470"/>
      <c r="K18" s="64"/>
    </row>
    <row r="19" spans="1:11" ht="60.75" customHeight="1" x14ac:dyDescent="0.4">
      <c r="A19" s="657" t="s">
        <v>2</v>
      </c>
      <c r="B19" s="666">
        <f>B14+1</f>
        <v>46330</v>
      </c>
      <c r="C19" s="67" t="s">
        <v>5</v>
      </c>
      <c r="D19" s="471"/>
      <c r="E19" s="442"/>
      <c r="F19" s="442"/>
      <c r="G19" s="442"/>
      <c r="H19" s="441"/>
      <c r="I19" s="442"/>
      <c r="J19" s="443"/>
    </row>
    <row r="20" spans="1:11" ht="60.75" customHeight="1" x14ac:dyDescent="0.4">
      <c r="A20" s="661"/>
      <c r="B20" s="624"/>
      <c r="C20" s="68" t="s">
        <v>6</v>
      </c>
      <c r="D20" s="397"/>
      <c r="E20" s="401"/>
      <c r="F20" s="401"/>
      <c r="G20" s="401"/>
      <c r="H20" s="400"/>
      <c r="I20" s="402"/>
      <c r="J20" s="464"/>
    </row>
    <row r="21" spans="1:11" ht="60.75" customHeight="1" x14ac:dyDescent="0.4">
      <c r="A21" s="661"/>
      <c r="B21" s="624"/>
      <c r="C21" s="68" t="s">
        <v>7</v>
      </c>
      <c r="D21" s="408"/>
      <c r="E21" s="402"/>
      <c r="F21" s="402"/>
      <c r="G21" s="401"/>
      <c r="H21" s="402"/>
      <c r="I21" s="402"/>
      <c r="J21" s="464"/>
      <c r="K21" s="64"/>
    </row>
    <row r="22" spans="1:11" ht="60.75" customHeight="1" x14ac:dyDescent="0.4">
      <c r="A22" s="661"/>
      <c r="B22" s="624"/>
      <c r="C22" s="68" t="s">
        <v>8</v>
      </c>
      <c r="D22" s="408"/>
      <c r="E22" s="401"/>
      <c r="F22" s="401"/>
      <c r="G22" s="401"/>
      <c r="H22" s="449"/>
      <c r="I22" s="402"/>
      <c r="J22" s="464"/>
    </row>
    <row r="23" spans="1:11" ht="60.75" customHeight="1" thickBot="1" x14ac:dyDescent="0.45">
      <c r="A23" s="662"/>
      <c r="B23" s="660"/>
      <c r="C23" s="69" t="s">
        <v>10</v>
      </c>
      <c r="D23" s="410"/>
      <c r="E23" s="411"/>
      <c r="F23" s="469"/>
      <c r="G23" s="411"/>
      <c r="H23" s="411"/>
      <c r="I23" s="469"/>
      <c r="J23" s="470"/>
    </row>
    <row r="24" spans="1:11" ht="98.25" customHeight="1" x14ac:dyDescent="0.4">
      <c r="A24" s="661" t="s">
        <v>3</v>
      </c>
      <c r="B24" s="628">
        <f>B19+1</f>
        <v>46331</v>
      </c>
      <c r="C24" s="160" t="s">
        <v>5</v>
      </c>
      <c r="D24" s="462"/>
      <c r="E24" s="446"/>
      <c r="F24" s="446"/>
      <c r="G24" s="446"/>
      <c r="H24" s="446"/>
      <c r="I24" s="446"/>
      <c r="J24" s="447"/>
    </row>
    <row r="25" spans="1:11" ht="98.25" customHeight="1" x14ac:dyDescent="0.4">
      <c r="A25" s="658"/>
      <c r="B25" s="624"/>
      <c r="C25" s="68" t="s">
        <v>6</v>
      </c>
      <c r="D25" s="463"/>
      <c r="E25" s="448"/>
      <c r="F25" s="400"/>
      <c r="G25" s="400"/>
      <c r="H25" s="400"/>
      <c r="I25" s="400"/>
      <c r="J25" s="403"/>
    </row>
    <row r="26" spans="1:11" ht="98.25" customHeight="1" x14ac:dyDescent="0.4">
      <c r="A26" s="658"/>
      <c r="B26" s="624"/>
      <c r="C26" s="68" t="s">
        <v>7</v>
      </c>
      <c r="D26" s="651" t="s">
        <v>137</v>
      </c>
      <c r="E26" s="652"/>
      <c r="F26" s="652"/>
      <c r="G26" s="652"/>
      <c r="H26" s="652"/>
      <c r="I26" s="652"/>
      <c r="J26" s="653"/>
    </row>
    <row r="27" spans="1:11" ht="98.25" customHeight="1" x14ac:dyDescent="0.4">
      <c r="A27" s="658"/>
      <c r="B27" s="624"/>
      <c r="C27" s="68" t="s">
        <v>8</v>
      </c>
      <c r="D27" s="465"/>
      <c r="E27" s="466"/>
      <c r="F27" s="466"/>
      <c r="G27" s="466"/>
      <c r="H27" s="466"/>
      <c r="I27" s="466"/>
      <c r="J27" s="467"/>
    </row>
    <row r="28" spans="1:11" ht="98.25" customHeight="1" thickBot="1" x14ac:dyDescent="0.45">
      <c r="A28" s="659"/>
      <c r="B28" s="624"/>
      <c r="C28" s="69" t="s">
        <v>10</v>
      </c>
      <c r="D28" s="468"/>
      <c r="E28" s="411"/>
      <c r="F28" s="411"/>
      <c r="G28" s="469"/>
      <c r="H28" s="411"/>
      <c r="I28" s="469"/>
      <c r="J28" s="470"/>
    </row>
    <row r="29" spans="1:11" ht="98.25" customHeight="1" x14ac:dyDescent="0.4">
      <c r="A29" s="657" t="s">
        <v>4</v>
      </c>
      <c r="B29" s="626">
        <f>B24+1</f>
        <v>46332</v>
      </c>
      <c r="C29" s="67" t="s">
        <v>5</v>
      </c>
      <c r="D29" s="462"/>
      <c r="E29" s="446"/>
      <c r="F29" s="446"/>
      <c r="G29" s="446"/>
      <c r="H29" s="446"/>
      <c r="I29" s="446"/>
      <c r="J29" s="447"/>
    </row>
    <row r="30" spans="1:11" ht="98.25" customHeight="1" x14ac:dyDescent="0.4">
      <c r="A30" s="661"/>
      <c r="B30" s="624"/>
      <c r="C30" s="68" t="s">
        <v>6</v>
      </c>
      <c r="D30" s="463"/>
      <c r="E30" s="448"/>
      <c r="F30" s="400"/>
      <c r="G30" s="400"/>
      <c r="H30" s="400"/>
      <c r="I30" s="400"/>
      <c r="J30" s="403"/>
    </row>
    <row r="31" spans="1:11" ht="98.25" customHeight="1" x14ac:dyDescent="0.4">
      <c r="A31" s="661"/>
      <c r="B31" s="624"/>
      <c r="C31" s="68" t="s">
        <v>7</v>
      </c>
      <c r="D31" s="651" t="s">
        <v>137</v>
      </c>
      <c r="E31" s="652"/>
      <c r="F31" s="652"/>
      <c r="G31" s="652"/>
      <c r="H31" s="652"/>
      <c r="I31" s="652"/>
      <c r="J31" s="653"/>
    </row>
    <row r="32" spans="1:11" ht="98.25" customHeight="1" x14ac:dyDescent="0.4">
      <c r="A32" s="661"/>
      <c r="B32" s="624"/>
      <c r="C32" s="68" t="s">
        <v>8</v>
      </c>
      <c r="D32" s="465"/>
      <c r="E32" s="466"/>
      <c r="F32" s="466"/>
      <c r="G32" s="466"/>
      <c r="H32" s="466"/>
      <c r="I32" s="466"/>
      <c r="J32" s="467"/>
    </row>
    <row r="33" spans="1:10" ht="98.25" customHeight="1" thickBot="1" x14ac:dyDescent="0.45">
      <c r="A33" s="662"/>
      <c r="B33" s="624"/>
      <c r="C33" s="69" t="s">
        <v>10</v>
      </c>
      <c r="D33" s="468"/>
      <c r="E33" s="411"/>
      <c r="F33" s="411"/>
      <c r="G33" s="469"/>
      <c r="H33" s="411"/>
      <c r="I33" s="469"/>
      <c r="J33" s="470"/>
    </row>
    <row r="34" spans="1:10" ht="86.25" customHeight="1" x14ac:dyDescent="0.4">
      <c r="A34" s="663" t="s">
        <v>12</v>
      </c>
      <c r="B34" s="665">
        <f>B29+1</f>
        <v>46333</v>
      </c>
      <c r="C34" s="292" t="s">
        <v>5</v>
      </c>
      <c r="D34" s="462"/>
      <c r="E34" s="446"/>
      <c r="F34" s="446"/>
      <c r="G34" s="446"/>
      <c r="H34" s="446"/>
      <c r="I34" s="446"/>
      <c r="J34" s="447"/>
    </row>
    <row r="35" spans="1:10" ht="86.25" customHeight="1" x14ac:dyDescent="0.4">
      <c r="A35" s="663"/>
      <c r="B35" s="663"/>
      <c r="C35" s="290" t="s">
        <v>6</v>
      </c>
      <c r="D35" s="463"/>
      <c r="E35" s="448"/>
      <c r="F35" s="400"/>
      <c r="G35" s="400"/>
      <c r="H35" s="400"/>
      <c r="I35" s="400"/>
      <c r="J35" s="403"/>
    </row>
    <row r="36" spans="1:10" ht="86.25" customHeight="1" x14ac:dyDescent="0.4">
      <c r="A36" s="663"/>
      <c r="B36" s="663"/>
      <c r="C36" s="290" t="s">
        <v>7</v>
      </c>
      <c r="D36" s="651" t="s">
        <v>137</v>
      </c>
      <c r="E36" s="652"/>
      <c r="F36" s="652"/>
      <c r="G36" s="652"/>
      <c r="H36" s="652"/>
      <c r="I36" s="652"/>
      <c r="J36" s="653"/>
    </row>
    <row r="37" spans="1:10" ht="86.25" customHeight="1" x14ac:dyDescent="0.4">
      <c r="A37" s="663"/>
      <c r="B37" s="663"/>
      <c r="C37" s="290" t="s">
        <v>8</v>
      </c>
      <c r="D37" s="465"/>
      <c r="E37" s="466"/>
      <c r="F37" s="466"/>
      <c r="G37" s="466"/>
      <c r="H37" s="466"/>
      <c r="I37" s="466"/>
      <c r="J37" s="467"/>
    </row>
    <row r="38" spans="1:10" ht="86.25" customHeight="1" thickBot="1" x14ac:dyDescent="0.45">
      <c r="A38" s="664"/>
      <c r="B38" s="664"/>
      <c r="C38" s="291" t="s">
        <v>10</v>
      </c>
      <c r="D38" s="468"/>
      <c r="E38" s="411"/>
      <c r="F38" s="411"/>
      <c r="G38" s="469"/>
      <c r="H38" s="411"/>
      <c r="I38" s="469"/>
      <c r="J38" s="470"/>
    </row>
    <row r="39" spans="1:10" ht="27.75" x14ac:dyDescent="0.4">
      <c r="D39" s="136" t="s">
        <v>51</v>
      </c>
    </row>
    <row r="40" spans="1:10" x14ac:dyDescent="0.4">
      <c r="C40" s="65" t="str">
        <f>'01.09'!C40</f>
        <v>*Л. Основы медицинских знаний и спортивная медицина*</v>
      </c>
      <c r="D40" s="66">
        <f>'26.10'!D40+COUNTIF(D$9:D$38,$C40)</f>
        <v>8</v>
      </c>
      <c r="E40" s="66">
        <f>'26.10'!E40+COUNTIF(E$9:E$38,$C40)</f>
        <v>8</v>
      </c>
      <c r="F40" s="66">
        <f>'26.10'!F40+COUNTIF(F$9:F$38,$C40)</f>
        <v>8</v>
      </c>
      <c r="G40" s="66">
        <f>'26.10'!G40+COUNTIF(G$9:G$38,$C40)</f>
        <v>8</v>
      </c>
      <c r="H40" s="66">
        <f>'26.10'!H40+COUNTIF(H$9:H$38,$C40)</f>
        <v>8</v>
      </c>
      <c r="I40" s="66">
        <f>'26.10'!I40+COUNTIF(I$9:I$38,$C40)</f>
        <v>8</v>
      </c>
      <c r="J40" s="66">
        <f>'26.10'!J40+COUNTIF(J$9:J$38,$C40)</f>
        <v>8</v>
      </c>
    </row>
    <row r="41" spans="1:10" x14ac:dyDescent="0.4">
      <c r="C41" s="65" t="str">
        <f>'01.09'!C41</f>
        <v>*Пр. Основы медицинских знаний и спортивная медицина*</v>
      </c>
      <c r="D41" s="66">
        <f>'26.10'!D41+COUNTIF(D$9:D$38,$C41)</f>
        <v>14</v>
      </c>
      <c r="E41" s="66">
        <f>'26.10'!E41+COUNTIF(E$9:E$38,$C41)</f>
        <v>14</v>
      </c>
      <c r="F41" s="66">
        <f>'26.10'!F41+COUNTIF(F$9:F$38,$C41)</f>
        <v>13</v>
      </c>
      <c r="G41" s="66">
        <f>'26.10'!G41+COUNTIF(G$9:G$38,$C41)</f>
        <v>9</v>
      </c>
      <c r="H41" s="66">
        <f>'26.10'!H41+COUNTIF(H$9:H$38,$C41)</f>
        <v>14</v>
      </c>
      <c r="I41" s="66">
        <f>'26.10'!I41+COUNTIF(I$9:I$38,$C41)</f>
        <v>13</v>
      </c>
      <c r="J41" s="66">
        <f>'26.10'!J41+COUNTIF(J$9:J$38,$C41)</f>
        <v>13</v>
      </c>
    </row>
    <row r="42" spans="1:10" x14ac:dyDescent="0.4">
      <c r="C42" s="65" t="str">
        <f>'01.09'!C42</f>
        <v>*Л. Массаж*</v>
      </c>
      <c r="D42" s="66">
        <f>'26.10'!D42+COUNTIF(D$9:D$38,$C42)</f>
        <v>5</v>
      </c>
      <c r="E42" s="66">
        <f>'26.10'!E42+COUNTIF(E$9:E$38,$C42)</f>
        <v>5</v>
      </c>
      <c r="F42" s="66">
        <f>'26.10'!F42+COUNTIF(F$9:F$38,$C42)</f>
        <v>5</v>
      </c>
      <c r="G42" s="66">
        <f>'26.10'!G42+COUNTIF(G$9:G$38,$C42)</f>
        <v>5</v>
      </c>
      <c r="H42" s="66">
        <f>'26.10'!H42+COUNTIF(H$9:H$38,$C42)</f>
        <v>5</v>
      </c>
      <c r="I42" s="66">
        <f>'26.10'!I42+COUNTIF(I$9:I$38,$C42)</f>
        <v>5</v>
      </c>
      <c r="J42" s="66">
        <f>'26.10'!J42+COUNTIF(J$9:J$38,$C42)</f>
        <v>5</v>
      </c>
    </row>
    <row r="43" spans="1:10" x14ac:dyDescent="0.4">
      <c r="C43" s="65" t="str">
        <f>'01.09'!C43</f>
        <v>*Пр. Массаж*</v>
      </c>
      <c r="D43" s="66">
        <f>'26.10'!D43+COUNTIF(D$9:D$38,$C43)</f>
        <v>13</v>
      </c>
      <c r="E43" s="66">
        <f>'26.10'!E43+COUNTIF(E$9:E$38,$C43)</f>
        <v>13</v>
      </c>
      <c r="F43" s="66">
        <f>'26.10'!F43+COUNTIF(F$9:F$38,$C43)</f>
        <v>13</v>
      </c>
      <c r="G43" s="66">
        <f>'26.10'!G43+COUNTIF(G$9:G$38,$C43)</f>
        <v>14</v>
      </c>
      <c r="H43" s="66">
        <f>'26.10'!H43+COUNTIF(H$9:H$38,$C43)</f>
        <v>14</v>
      </c>
      <c r="I43" s="66">
        <f>'26.10'!I43+COUNTIF(I$9:I$38,$C43)</f>
        <v>14</v>
      </c>
      <c r="J43" s="66">
        <f>'26.10'!J43+COUNTIF(J$9:J$38,$C43)</f>
        <v>14</v>
      </c>
    </row>
    <row r="44" spans="1:10" x14ac:dyDescent="0.4">
      <c r="C44" s="65" t="str">
        <f>'01.09'!C44</f>
        <v>*Л. Правовые основы профессиональной деятельности*</v>
      </c>
      <c r="D44" s="66">
        <f>'26.10'!D44+COUNTIF(D$9:D$38,$C44)</f>
        <v>5</v>
      </c>
      <c r="E44" s="66">
        <f>'26.10'!E44+COUNTIF(E$9:E$38,$C44)</f>
        <v>5</v>
      </c>
      <c r="F44" s="66">
        <f>'26.10'!F44+COUNTIF(F$9:F$38,$C44)</f>
        <v>5</v>
      </c>
      <c r="G44" s="66">
        <f>'26.10'!G44+COUNTIF(G$9:G$38,$C44)</f>
        <v>5</v>
      </c>
      <c r="H44" s="66">
        <f>'26.10'!H44+COUNTIF(H$9:H$38,$C44)</f>
        <v>5</v>
      </c>
      <c r="I44" s="66">
        <f>'26.10'!I44+COUNTIF(I$9:I$38,$C44)</f>
        <v>5</v>
      </c>
      <c r="J44" s="66">
        <f>'26.10'!J44+COUNTIF(J$9:J$38,$C44)</f>
        <v>5</v>
      </c>
    </row>
    <row r="45" spans="1:10" x14ac:dyDescent="0.4">
      <c r="C45" s="65" t="str">
        <f>'01.09'!C45</f>
        <v>*Пр. Правовые основы профессиональной деятельности*</v>
      </c>
      <c r="D45" s="66">
        <f>'26.10'!D45+COUNTIF(D$9:D$38,$C45)</f>
        <v>7</v>
      </c>
      <c r="E45" s="66">
        <f>'26.10'!E45+COUNTIF(E$9:E$38,$C45)</f>
        <v>8</v>
      </c>
      <c r="F45" s="66">
        <f>'26.10'!F45+COUNTIF(F$9:F$38,$C45)</f>
        <v>7</v>
      </c>
      <c r="G45" s="66">
        <f>'26.10'!G45+COUNTIF(G$9:G$38,$C45)</f>
        <v>7</v>
      </c>
      <c r="H45" s="66">
        <f>'26.10'!H45+COUNTIF(H$9:H$38,$C45)</f>
        <v>7</v>
      </c>
      <c r="I45" s="66">
        <f>'26.10'!I45+COUNTIF(I$9:I$38,$C45)</f>
        <v>6</v>
      </c>
      <c r="J45" s="66">
        <f>'26.10'!J45+COUNTIF(J$9:J$38,$C45)</f>
        <v>7</v>
      </c>
    </row>
    <row r="46" spans="1:10" x14ac:dyDescent="0.4">
      <c r="C46" s="65" t="str">
        <f>'01.09'!C46</f>
        <v>*Л. Теория и методика*</v>
      </c>
      <c r="D46" s="66">
        <f>'26.10'!D46+COUNTIF(D$9:D$38,$C46)</f>
        <v>4</v>
      </c>
      <c r="E46" s="66">
        <f>'26.10'!E46+COUNTIF(E$9:E$38,$C46)</f>
        <v>4</v>
      </c>
      <c r="F46" s="66">
        <f>'26.10'!F46+COUNTIF(F$9:F$38,$C46)</f>
        <v>4</v>
      </c>
      <c r="G46" s="66">
        <f>'26.10'!G46+COUNTIF(G$9:G$38,$C46)</f>
        <v>4</v>
      </c>
      <c r="H46" s="66">
        <f>'26.10'!H46+COUNTIF(H$9:H$38,$C46)</f>
        <v>4</v>
      </c>
      <c r="I46" s="66">
        <f>'26.10'!I46+COUNTIF(I$9:I$38,$C46)</f>
        <v>4</v>
      </c>
      <c r="J46" s="66">
        <f>'26.10'!J46+COUNTIF(J$9:J$38,$C46)</f>
        <v>4</v>
      </c>
    </row>
    <row r="47" spans="1:10" x14ac:dyDescent="0.4">
      <c r="C47" s="65" t="str">
        <f>'01.09'!C47</f>
        <v>*Пр. Теория и методика*</v>
      </c>
      <c r="D47" s="66">
        <f>'26.10'!D47+COUNTIF(D$9:D$38,$C47)</f>
        <v>30</v>
      </c>
      <c r="E47" s="66">
        <f>'26.10'!E47+COUNTIF(E$9:E$38,$C47)</f>
        <v>30</v>
      </c>
      <c r="F47" s="66">
        <f>'26.10'!F47+COUNTIF(F$9:F$38,$C47)</f>
        <v>31</v>
      </c>
      <c r="G47" s="66">
        <f>'26.10'!G47+COUNTIF(G$9:G$38,$C47)</f>
        <v>35</v>
      </c>
      <c r="H47" s="66">
        <f>'26.10'!H47+COUNTIF(H$9:H$38,$C47)</f>
        <v>35</v>
      </c>
      <c r="I47" s="66">
        <f>'26.10'!I47+COUNTIF(I$9:I$38,$C47)</f>
        <v>37</v>
      </c>
      <c r="J47" s="66">
        <f>'26.10'!J47+COUNTIF(J$9:J$38,$C47)</f>
        <v>37</v>
      </c>
    </row>
    <row r="48" spans="1:10" x14ac:dyDescent="0.4">
      <c r="C48" s="65" t="str">
        <f>'01.09'!C48</f>
        <v>*Л. Спортивная метрология*</v>
      </c>
      <c r="D48" s="66">
        <f>'26.10'!D48+COUNTIF(D$9:D$38,$C48)</f>
        <v>5</v>
      </c>
      <c r="E48" s="66">
        <f>'26.10'!E48+COUNTIF(E$9:E$38,$C48)</f>
        <v>5</v>
      </c>
      <c r="F48" s="66">
        <f>'26.10'!F48+COUNTIF(F$9:F$38,$C48)</f>
        <v>5</v>
      </c>
      <c r="G48" s="66">
        <f>'26.10'!G48+COUNTIF(G$9:G$38,$C48)</f>
        <v>5</v>
      </c>
      <c r="H48" s="66">
        <f>'26.10'!H48+COUNTIF(H$9:H$38,$C48)</f>
        <v>5</v>
      </c>
      <c r="I48" s="66">
        <f>'26.10'!I48+COUNTIF(I$9:I$38,$C48)</f>
        <v>5</v>
      </c>
      <c r="J48" s="66">
        <f>'26.10'!J48+COUNTIF(J$9:J$38,$C48)</f>
        <v>5</v>
      </c>
    </row>
    <row r="49" spans="3:10" x14ac:dyDescent="0.4">
      <c r="C49" s="65" t="str">
        <f>'01.09'!C49</f>
        <v>*Пр. Спортивная метрология*</v>
      </c>
      <c r="D49" s="66">
        <f>'26.10'!D49+COUNTIF(D$9:D$38,$C49)</f>
        <v>7</v>
      </c>
      <c r="E49" s="66">
        <f>'26.10'!E49+COUNTIF(E$9:E$38,$C49)</f>
        <v>7</v>
      </c>
      <c r="F49" s="66">
        <f>'26.10'!F49+COUNTIF(F$9:F$38,$C49)</f>
        <v>7</v>
      </c>
      <c r="G49" s="66">
        <f>'26.10'!G49+COUNTIF(G$9:G$38,$C49)</f>
        <v>7</v>
      </c>
      <c r="H49" s="66">
        <f>'26.10'!H49+COUNTIF(H$9:H$38,$C49)</f>
        <v>7</v>
      </c>
      <c r="I49" s="66">
        <f>'26.10'!I49+COUNTIF(I$9:I$38,$C49)</f>
        <v>7</v>
      </c>
      <c r="J49" s="66">
        <f>'26.10'!J49+COUNTIF(J$9:J$38,$C49)</f>
        <v>7</v>
      </c>
    </row>
    <row r="50" spans="3:10" x14ac:dyDescent="0.4">
      <c r="C50" s="65" t="str">
        <f>'01.09'!C50</f>
        <v>*Л.  Теория и методика циклических и сложнокоординационных*</v>
      </c>
      <c r="D50" s="66">
        <f>'26.10'!D50+COUNTIF(D$9:D$38,$C50)</f>
        <v>0</v>
      </c>
      <c r="E50" s="66">
        <f>'26.10'!E50+COUNTIF(E$9:E$38,$C50)</f>
        <v>0</v>
      </c>
      <c r="F50" s="66">
        <f>'26.10'!F50+COUNTIF(F$9:F$38,$C50)</f>
        <v>0</v>
      </c>
      <c r="G50" s="66">
        <f>'26.10'!G50+COUNTIF(G$9:G$38,$C50)</f>
        <v>0</v>
      </c>
      <c r="H50" s="66">
        <f>'26.10'!H50+COUNTIF(H$9:H$38,$C50)</f>
        <v>4</v>
      </c>
      <c r="I50" s="66">
        <f>'26.10'!I50+COUNTIF(I$9:I$38,$C50)</f>
        <v>0</v>
      </c>
      <c r="J50" s="66">
        <f>'26.10'!J50+COUNTIF(J$9:J$38,$C50)</f>
        <v>0</v>
      </c>
    </row>
    <row r="51" spans="3:10" x14ac:dyDescent="0.4">
      <c r="C51" s="65" t="str">
        <f>'01.09'!C51</f>
        <v>*Пр.  Теория и методика циклических и сложнокоординационных*</v>
      </c>
      <c r="D51" s="66">
        <f>'26.10'!D51+COUNTIF(D$9:D$38,$C51)</f>
        <v>0</v>
      </c>
      <c r="E51" s="66">
        <f>'26.10'!E51+COUNTIF(E$9:E$38,$C51)</f>
        <v>0</v>
      </c>
      <c r="F51" s="66">
        <f>'26.10'!F51+COUNTIF(F$9:F$38,$C51)</f>
        <v>0</v>
      </c>
      <c r="G51" s="66">
        <f>'26.10'!G51+COUNTIF(G$9:G$38,$C51)</f>
        <v>0</v>
      </c>
      <c r="H51" s="66">
        <f>'26.10'!H51+COUNTIF(H$9:H$38,$C51)</f>
        <v>39</v>
      </c>
      <c r="I51" s="66">
        <f>'26.10'!I51+COUNTIF(I$9:I$38,$C51)</f>
        <v>0</v>
      </c>
      <c r="J51" s="66">
        <f>'26.10'!J51+COUNTIF(J$9:J$38,$C51)</f>
        <v>0</v>
      </c>
    </row>
    <row r="52" spans="3:10" x14ac:dyDescent="0.4">
      <c r="C52" s="65">
        <f>'01.09'!C52</f>
        <v>0</v>
      </c>
      <c r="D52" s="66">
        <f>'26.10'!D52+COUNTIF(D$9:D$38,$C52)</f>
        <v>0</v>
      </c>
      <c r="E52" s="66">
        <f>'26.10'!E52+COUNTIF(E$9:E$38,$C52)</f>
        <v>0</v>
      </c>
      <c r="F52" s="66">
        <f>'26.10'!F52+COUNTIF(F$9:F$38,$C52)</f>
        <v>0</v>
      </c>
      <c r="G52" s="66">
        <f>'26.10'!G52+COUNTIF(G$9:G$38,$C52)</f>
        <v>0</v>
      </c>
      <c r="H52" s="66">
        <f>'26.10'!H52+COUNTIF(H$9:H$38,$C52)</f>
        <v>0</v>
      </c>
      <c r="I52" s="66">
        <f>'26.10'!I52+COUNTIF(I$9:I$38,$C52)</f>
        <v>0</v>
      </c>
      <c r="J52" s="66">
        <f>'26.10'!J52+COUNTIF(J$9:J$38,$C52)</f>
        <v>0</v>
      </c>
    </row>
    <row r="53" spans="3:10" x14ac:dyDescent="0.4">
      <c r="C53" s="65">
        <f>'01.09'!C53</f>
        <v>0</v>
      </c>
      <c r="D53" s="66">
        <f>'26.10'!D53+COUNTIF(D$9:D$38,$C53)</f>
        <v>0</v>
      </c>
      <c r="E53" s="66">
        <f>'26.10'!E53+COUNTIF(E$9:E$38,$C53)</f>
        <v>0</v>
      </c>
      <c r="F53" s="66">
        <f>'26.10'!F53+COUNTIF(F$9:F$38,$C53)</f>
        <v>0</v>
      </c>
      <c r="G53" s="66">
        <f>'26.10'!G53+COUNTIF(G$9:G$38,$C53)</f>
        <v>0</v>
      </c>
      <c r="H53" s="66">
        <f>'26.10'!H53+COUNTIF(H$9:H$38,$C53)</f>
        <v>0</v>
      </c>
      <c r="I53" s="66">
        <f>'26.10'!I53+COUNTIF(I$9:I$38,$C53)</f>
        <v>0</v>
      </c>
      <c r="J53" s="66">
        <f>'26.10'!J53+COUNTIF(J$9:J$38,$C53)</f>
        <v>0</v>
      </c>
    </row>
    <row r="54" spans="3:10" x14ac:dyDescent="0.4">
      <c r="C54" s="65">
        <f>'01.09'!C54</f>
        <v>0</v>
      </c>
      <c r="D54" s="66">
        <f>'26.10'!D54+COUNTIF(D$9:D$38,$C54)</f>
        <v>0</v>
      </c>
      <c r="E54" s="66">
        <f>'26.10'!E54+COUNTIF(E$9:E$38,$C54)</f>
        <v>0</v>
      </c>
      <c r="F54" s="66">
        <f>'26.10'!F54+COUNTIF(F$9:F$38,$C54)</f>
        <v>0</v>
      </c>
      <c r="G54" s="66">
        <f>'26.10'!G54+COUNTIF(G$9:G$38,$C54)</f>
        <v>0</v>
      </c>
      <c r="H54" s="66">
        <f>'26.10'!H54+COUNTIF(H$9:H$38,$C54)</f>
        <v>0</v>
      </c>
      <c r="I54" s="66">
        <f>'26.10'!I54+COUNTIF(I$9:I$38,$C54)</f>
        <v>0</v>
      </c>
      <c r="J54" s="66">
        <f>'26.10'!J54+COUNTIF(J$9:J$38,$C54)</f>
        <v>0</v>
      </c>
    </row>
    <row r="55" spans="3:10" x14ac:dyDescent="0.4">
      <c r="C55" s="65">
        <f>'01.09'!C55</f>
        <v>0</v>
      </c>
      <c r="D55" s="66">
        <f>'26.10'!D55+COUNTIF(D$9:D$38,$C55)</f>
        <v>0</v>
      </c>
      <c r="E55" s="66">
        <f>'26.10'!E55+COUNTIF(E$9:E$38,$C55)</f>
        <v>0</v>
      </c>
      <c r="F55" s="66">
        <f>'26.10'!F55+COUNTIF(F$9:F$38,$C55)</f>
        <v>0</v>
      </c>
      <c r="G55" s="66">
        <f>'26.10'!G55+COUNTIF(G$9:G$38,$C55)</f>
        <v>0</v>
      </c>
      <c r="H55" s="66">
        <f>'26.10'!H55+COUNTIF(H$9:H$38,$C55)</f>
        <v>0</v>
      </c>
      <c r="I55" s="66">
        <f>'26.10'!I55+COUNTIF(I$9:I$38,$C55)</f>
        <v>0</v>
      </c>
      <c r="J55" s="66">
        <f>'26.10'!J55+COUNTIF(J$9:J$38,$C55)</f>
        <v>0</v>
      </c>
    </row>
    <row r="56" spans="3:10" x14ac:dyDescent="0.4">
      <c r="C56" s="65">
        <f>'01.09'!C56</f>
        <v>0</v>
      </c>
      <c r="D56" s="66">
        <f>'26.10'!D56+COUNTIF(D$9:D$38,$C56)</f>
        <v>0</v>
      </c>
      <c r="E56" s="66">
        <f>'26.10'!E56+COUNTIF(E$9:E$38,$C56)</f>
        <v>0</v>
      </c>
      <c r="F56" s="66">
        <f>'26.10'!F56+COUNTIF(F$9:F$38,$C56)</f>
        <v>0</v>
      </c>
      <c r="G56" s="66">
        <f>'26.10'!G56+COUNTIF(G$9:G$38,$C56)</f>
        <v>0</v>
      </c>
      <c r="H56" s="66">
        <f>'26.10'!H56+COUNTIF(H$9:H$38,$C56)</f>
        <v>0</v>
      </c>
      <c r="I56" s="66">
        <f>'26.10'!I56+COUNTIF(I$9:I$38,$C56)</f>
        <v>0</v>
      </c>
      <c r="J56" s="66">
        <f>'26.10'!J56+COUNTIF(J$9:J$38,$C56)</f>
        <v>0</v>
      </c>
    </row>
    <row r="57" spans="3:10" x14ac:dyDescent="0.4">
      <c r="C57" s="65">
        <f>'01.09'!C57</f>
        <v>0</v>
      </c>
      <c r="D57" s="66">
        <f>'26.10'!D57+COUNTIF(D$9:D$38,$C57)</f>
        <v>0</v>
      </c>
      <c r="E57" s="66">
        <f>'26.10'!E57+COUNTIF(E$9:E$38,$C57)</f>
        <v>0</v>
      </c>
      <c r="F57" s="66">
        <f>'26.10'!F57+COUNTIF(F$9:F$38,$C57)</f>
        <v>0</v>
      </c>
      <c r="G57" s="66">
        <f>'26.10'!G57+COUNTIF(G$9:G$38,$C57)</f>
        <v>0</v>
      </c>
      <c r="H57" s="66">
        <f>'26.10'!H57+COUNTIF(H$9:H$38,$C57)</f>
        <v>0</v>
      </c>
      <c r="I57" s="66">
        <f>'26.10'!I57+COUNTIF(I$9:I$38,$C57)</f>
        <v>0</v>
      </c>
      <c r="J57" s="66">
        <f>'26.10'!J57+COUNTIF(J$9:J$38,$C57)</f>
        <v>0</v>
      </c>
    </row>
    <row r="58" spans="3:10" x14ac:dyDescent="0.4">
      <c r="C58" s="65">
        <f>'01.09'!C58</f>
        <v>0</v>
      </c>
      <c r="D58" s="66">
        <f>'26.10'!D58+COUNTIF(D$9:D$38,$C58)</f>
        <v>0</v>
      </c>
      <c r="E58" s="66">
        <f>'26.10'!E58+COUNTIF(E$9:E$38,$C58)</f>
        <v>0</v>
      </c>
      <c r="F58" s="66">
        <f>'26.10'!F58+COUNTIF(F$9:F$38,$C58)</f>
        <v>0</v>
      </c>
      <c r="G58" s="66">
        <f>'26.10'!G58+COUNTIF(G$9:G$38,$C58)</f>
        <v>0</v>
      </c>
      <c r="H58" s="66">
        <f>'26.10'!H58+COUNTIF(H$9:H$38,$C58)</f>
        <v>0</v>
      </c>
      <c r="I58" s="66">
        <f>'26.10'!I58+COUNTIF(I$9:I$38,$C58)</f>
        <v>0</v>
      </c>
      <c r="J58" s="66">
        <f>'26.10'!J58+COUNTIF(J$9:J$38,$C58)</f>
        <v>0</v>
      </c>
    </row>
    <row r="59" spans="3:10" x14ac:dyDescent="0.4">
      <c r="C59" s="65">
        <f>'01.09'!C59</f>
        <v>0</v>
      </c>
      <c r="D59" s="66">
        <f>'26.10'!D59+COUNTIF(D$9:D$38,$C59)</f>
        <v>0</v>
      </c>
      <c r="E59" s="66">
        <f>'26.10'!E59+COUNTIF(E$9:E$38,$C59)</f>
        <v>0</v>
      </c>
      <c r="F59" s="66">
        <f>'26.10'!F59+COUNTIF(F$9:F$38,$C59)</f>
        <v>0</v>
      </c>
      <c r="G59" s="66">
        <f>'26.10'!G59+COUNTIF(G$9:G$38,$C59)</f>
        <v>0</v>
      </c>
      <c r="H59" s="66">
        <f>'26.10'!H59+COUNTIF(H$9:H$38,$C59)</f>
        <v>0</v>
      </c>
      <c r="I59" s="66">
        <f>'26.10'!I59+COUNTIF(I$9:I$38,$C59)</f>
        <v>0</v>
      </c>
      <c r="J59" s="66">
        <f>'26.10'!J59+COUNTIF(J$9:J$38,$C59)</f>
        <v>0</v>
      </c>
    </row>
    <row r="60" spans="3:10" x14ac:dyDescent="0.4">
      <c r="C60" s="65">
        <f>'01.09'!C60</f>
        <v>0</v>
      </c>
      <c r="D60" s="66">
        <f>'26.10'!D60+COUNTIF(D$9:D$38,$C60)</f>
        <v>0</v>
      </c>
      <c r="E60" s="66">
        <f>'26.10'!E60+COUNTIF(E$9:E$38,$C60)</f>
        <v>0</v>
      </c>
      <c r="F60" s="66">
        <f>'26.10'!F60+COUNTIF(F$9:F$38,$C60)</f>
        <v>0</v>
      </c>
      <c r="G60" s="66">
        <f>'26.10'!G60+COUNTIF(G$9:G$38,$C60)</f>
        <v>0</v>
      </c>
      <c r="H60" s="66">
        <f>'26.10'!H60+COUNTIF(H$9:H$38,$C60)</f>
        <v>0</v>
      </c>
      <c r="I60" s="66">
        <f>'26.10'!I60+COUNTIF(I$9:I$38,$C60)</f>
        <v>0</v>
      </c>
      <c r="J60" s="66">
        <f>'26.10'!J60+COUNTIF(J$9:J$38,$C60)</f>
        <v>0</v>
      </c>
    </row>
    <row r="61" spans="3:10" x14ac:dyDescent="0.4">
      <c r="C61" s="65">
        <f>'01.09'!C61</f>
        <v>0</v>
      </c>
      <c r="D61" s="66">
        <f>'26.10'!D61+COUNTIF(D$9:D$38,$C61)</f>
        <v>0</v>
      </c>
      <c r="E61" s="66">
        <f>'26.10'!E61+COUNTIF(E$9:E$38,$C61)</f>
        <v>0</v>
      </c>
      <c r="F61" s="66">
        <f>'26.10'!F61+COUNTIF(F$9:F$38,$C61)</f>
        <v>0</v>
      </c>
      <c r="G61" s="66">
        <f>'26.10'!G61+COUNTIF(G$9:G$38,$C61)</f>
        <v>0</v>
      </c>
      <c r="H61" s="66">
        <f>'26.10'!H61+COUNTIF(H$9:H$38,$C61)</f>
        <v>0</v>
      </c>
      <c r="I61" s="66">
        <f>'26.10'!I61+COUNTIF(I$9:I$38,$C61)</f>
        <v>0</v>
      </c>
      <c r="J61" s="66">
        <f>'26.10'!J61+COUNTIF(J$9:J$38,$C61)</f>
        <v>0</v>
      </c>
    </row>
    <row r="62" spans="3:10" x14ac:dyDescent="0.4">
      <c r="C62" s="65">
        <f>'01.09'!C62</f>
        <v>0</v>
      </c>
      <c r="D62" s="66">
        <f>'26.10'!D62+COUNTIF(D$9:D$38,$C62)</f>
        <v>0</v>
      </c>
      <c r="E62" s="66">
        <f>'26.10'!E62+COUNTIF(E$9:E$38,$C62)</f>
        <v>0</v>
      </c>
      <c r="F62" s="66">
        <f>'26.10'!F62+COUNTIF(F$9:F$38,$C62)</f>
        <v>0</v>
      </c>
      <c r="G62" s="66">
        <f>'26.10'!G62+COUNTIF(G$9:G$38,$C62)</f>
        <v>0</v>
      </c>
      <c r="H62" s="66">
        <f>'26.10'!H62+COUNTIF(H$9:H$38,$C62)</f>
        <v>0</v>
      </c>
      <c r="I62" s="66">
        <f>'26.10'!I62+COUNTIF(I$9:I$38,$C62)</f>
        <v>0</v>
      </c>
      <c r="J62" s="66">
        <f>'26.10'!J62+COUNTIF(J$9:J$38,$C62)</f>
        <v>0</v>
      </c>
    </row>
    <row r="63" spans="3:10" x14ac:dyDescent="0.4">
      <c r="C63" s="65">
        <f>'01.09'!C63</f>
        <v>0</v>
      </c>
      <c r="D63" s="66">
        <f>'26.10'!D63+COUNTIF(D$9:D$38,$C63)</f>
        <v>0</v>
      </c>
      <c r="E63" s="66">
        <f>'26.10'!E63+COUNTIF(E$9:E$38,$C63)</f>
        <v>0</v>
      </c>
      <c r="F63" s="66">
        <f>'26.10'!F63+COUNTIF(F$9:F$38,$C63)</f>
        <v>0</v>
      </c>
      <c r="G63" s="66">
        <f>'26.10'!G63+COUNTIF(G$9:G$38,$C63)</f>
        <v>0</v>
      </c>
      <c r="H63" s="66">
        <f>'26.10'!H63+COUNTIF(H$9:H$38,$C63)</f>
        <v>0</v>
      </c>
      <c r="I63" s="66">
        <f>'26.10'!I63+COUNTIF(I$9:I$38,$C63)</f>
        <v>0</v>
      </c>
      <c r="J63" s="66">
        <f>'26.10'!J63+COUNTIF(J$9:J$38,$C63)</f>
        <v>0</v>
      </c>
    </row>
    <row r="64" spans="3:10" x14ac:dyDescent="0.4">
      <c r="C64" s="65">
        <f>'01.09'!C64</f>
        <v>0</v>
      </c>
      <c r="D64" s="66">
        <f>'26.10'!D64+COUNTIF(D$9:D$38,$C64)</f>
        <v>0</v>
      </c>
      <c r="E64" s="66">
        <f>'26.10'!E64+COUNTIF(E$9:E$38,$C64)</f>
        <v>0</v>
      </c>
      <c r="F64" s="66">
        <f>'26.10'!F64+COUNTIF(F$9:F$38,$C64)</f>
        <v>0</v>
      </c>
      <c r="G64" s="66">
        <f>'26.10'!G64+COUNTIF(G$9:G$38,$C64)</f>
        <v>0</v>
      </c>
      <c r="H64" s="66">
        <f>'26.10'!H64+COUNTIF(H$9:H$38,$C64)</f>
        <v>0</v>
      </c>
      <c r="I64" s="66">
        <f>'26.10'!I64+COUNTIF(I$9:I$38,$C64)</f>
        <v>0</v>
      </c>
      <c r="J64" s="66">
        <f>'26.10'!J64+COUNTIF(J$9:J$38,$C64)</f>
        <v>0</v>
      </c>
    </row>
    <row r="65" spans="3:10" x14ac:dyDescent="0.4">
      <c r="C65" s="65">
        <f>'01.09'!C65</f>
        <v>0</v>
      </c>
      <c r="D65" s="66">
        <f>'26.10'!D65+COUNTIF(D$9:D$38,$C65)</f>
        <v>0</v>
      </c>
      <c r="E65" s="66">
        <f>'26.10'!E65+COUNTIF(E$9:E$38,$C65)</f>
        <v>0</v>
      </c>
      <c r="F65" s="66">
        <f>'26.10'!F65+COUNTIF(F$9:F$38,$C65)</f>
        <v>0</v>
      </c>
      <c r="G65" s="66">
        <f>'26.10'!G65+COUNTIF(G$9:G$38,$C65)</f>
        <v>0</v>
      </c>
      <c r="H65" s="66">
        <f>'26.10'!H65+COUNTIF(H$9:H$38,$C65)</f>
        <v>0</v>
      </c>
      <c r="I65" s="66">
        <f>'26.10'!I65+COUNTIF(I$9:I$38,$C65)</f>
        <v>0</v>
      </c>
      <c r="J65" s="66">
        <f>'26.10'!J65+COUNTIF(J$9:J$38,$C65)</f>
        <v>0</v>
      </c>
    </row>
    <row r="66" spans="3:10" x14ac:dyDescent="0.4">
      <c r="C66" s="65">
        <f>'01.09'!C66</f>
        <v>0</v>
      </c>
      <c r="D66" s="66">
        <f>'26.10'!D66+COUNTIF(D$9:D$38,$C66)</f>
        <v>0</v>
      </c>
      <c r="E66" s="66">
        <f>'26.10'!E66+COUNTIF(E$9:E$38,$C66)</f>
        <v>0</v>
      </c>
      <c r="F66" s="66">
        <f>'26.10'!F66+COUNTIF(F$9:F$38,$C66)</f>
        <v>0</v>
      </c>
      <c r="G66" s="66">
        <f>'26.10'!G66+COUNTIF(G$9:G$38,$C66)</f>
        <v>0</v>
      </c>
      <c r="H66" s="66">
        <f>'26.10'!H66+COUNTIF(H$9:H$38,$C66)</f>
        <v>0</v>
      </c>
      <c r="I66" s="66">
        <f>'26.10'!I66+COUNTIF(I$9:I$38,$C66)</f>
        <v>0</v>
      </c>
      <c r="J66" s="66">
        <f>'26.10'!J66+COUNTIF(J$9:J$38,$C66)</f>
        <v>0</v>
      </c>
    </row>
    <row r="67" spans="3:10" x14ac:dyDescent="0.4">
      <c r="C67" s="65">
        <f>'01.09'!C67</f>
        <v>0</v>
      </c>
      <c r="D67" s="66">
        <f>'26.10'!D67+COUNTIF(D$9:D$38,$C67)</f>
        <v>0</v>
      </c>
      <c r="E67" s="66">
        <f>'26.10'!E67+COUNTIF(E$9:E$38,$C67)</f>
        <v>0</v>
      </c>
      <c r="F67" s="66">
        <f>'26.10'!F67+COUNTIF(F$9:F$38,$C67)</f>
        <v>0</v>
      </c>
      <c r="G67" s="66">
        <f>'26.10'!G67+COUNTIF(G$9:G$38,$C67)</f>
        <v>0</v>
      </c>
      <c r="H67" s="66">
        <f>'26.10'!H67+COUNTIF(H$9:H$38,$C67)</f>
        <v>0</v>
      </c>
      <c r="I67" s="66">
        <f>'26.10'!I67+COUNTIF(I$9:I$38,$C67)</f>
        <v>0</v>
      </c>
      <c r="J67" s="66">
        <f>'26.10'!J67+COUNTIF(J$9:J$38,$C67)</f>
        <v>0</v>
      </c>
    </row>
    <row r="68" spans="3:10" x14ac:dyDescent="0.4">
      <c r="C68" s="65">
        <f>'01.09'!C68</f>
        <v>0</v>
      </c>
      <c r="D68" s="66">
        <f>'26.10'!D68+COUNTIF(D$9:D$38,$C68)</f>
        <v>0</v>
      </c>
      <c r="E68" s="66">
        <f>'26.10'!E68+COUNTIF(E$9:E$38,$C68)</f>
        <v>0</v>
      </c>
      <c r="F68" s="66">
        <f>'26.10'!F68+COUNTIF(F$9:F$38,$C68)</f>
        <v>0</v>
      </c>
      <c r="G68" s="66">
        <f>'26.10'!G68+COUNTIF(G$9:G$38,$C68)</f>
        <v>0</v>
      </c>
      <c r="H68" s="66">
        <f>'26.10'!H68+COUNTIF(H$9:H$38,$C68)</f>
        <v>0</v>
      </c>
      <c r="I68" s="66">
        <f>'26.10'!I68+COUNTIF(I$9:I$38,$C68)</f>
        <v>0</v>
      </c>
      <c r="J68" s="66">
        <f>'26.10'!J68+COUNTIF(J$9:J$38,$C68)</f>
        <v>0</v>
      </c>
    </row>
  </sheetData>
  <mergeCells count="25">
    <mergeCell ref="D36:J36"/>
    <mergeCell ref="D11:J11"/>
    <mergeCell ref="D16:J16"/>
    <mergeCell ref="D26:J26"/>
    <mergeCell ref="D31:J31"/>
    <mergeCell ref="C7:C8"/>
    <mergeCell ref="B1:J1"/>
    <mergeCell ref="B2:J2"/>
    <mergeCell ref="A3:J3"/>
    <mergeCell ref="B4:J4"/>
    <mergeCell ref="B5:J5"/>
    <mergeCell ref="B9:B13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K67"/>
  <sheetViews>
    <sheetView view="pageBreakPreview" zoomScale="39" zoomScaleNormal="40" zoomScaleSheetLayoutView="39" zoomScalePageLayoutView="40" workbookViewId="0">
      <selection activeCell="I8" sqref="I8"/>
    </sheetView>
  </sheetViews>
  <sheetFormatPr defaultColWidth="9.140625" defaultRowHeight="26.25" x14ac:dyDescent="0.4"/>
  <cols>
    <col min="1" max="2" width="4.42578125" style="60" customWidth="1"/>
    <col min="3" max="3" width="22.42578125" style="60" customWidth="1"/>
    <col min="4" max="4" width="52.5703125" style="70" customWidth="1"/>
    <col min="5" max="5" width="51.28515625" style="70" customWidth="1"/>
    <col min="6" max="6" width="49.140625" style="70" customWidth="1"/>
    <col min="7" max="7" width="55.7109375" style="70" customWidth="1"/>
    <col min="8" max="8" width="62.7109375" style="70" customWidth="1"/>
    <col min="9" max="9" width="63.42578125" style="70" customWidth="1"/>
    <col min="10" max="10" width="62.140625" style="60" customWidth="1"/>
    <col min="11" max="16384" width="9.140625" style="60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6.25" customHeight="1" x14ac:dyDescent="0.4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4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4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5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17" customHeight="1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86.25" customHeight="1" x14ac:dyDescent="0.4">
      <c r="A9" s="643" t="s">
        <v>0</v>
      </c>
      <c r="B9" s="648">
        <v>46335</v>
      </c>
      <c r="C9" s="90" t="s">
        <v>5</v>
      </c>
      <c r="D9" s="462"/>
      <c r="E9" s="446"/>
      <c r="F9" s="446"/>
      <c r="G9" s="446"/>
      <c r="H9" s="446"/>
      <c r="I9" s="446"/>
      <c r="J9" s="447"/>
    </row>
    <row r="10" spans="1:10" ht="86.25" customHeight="1" x14ac:dyDescent="0.4">
      <c r="A10" s="644"/>
      <c r="B10" s="619"/>
      <c r="C10" s="91" t="s">
        <v>6</v>
      </c>
      <c r="D10" s="463"/>
      <c r="E10" s="448"/>
      <c r="F10" s="400"/>
      <c r="G10" s="400"/>
      <c r="H10" s="400"/>
      <c r="I10" s="400"/>
      <c r="J10" s="403"/>
    </row>
    <row r="11" spans="1:10" ht="86.25" customHeight="1" x14ac:dyDescent="0.4">
      <c r="A11" s="644"/>
      <c r="B11" s="619"/>
      <c r="C11" s="91" t="s">
        <v>7</v>
      </c>
      <c r="D11" s="651" t="s">
        <v>137</v>
      </c>
      <c r="E11" s="652"/>
      <c r="F11" s="652"/>
      <c r="G11" s="652"/>
      <c r="H11" s="652"/>
      <c r="I11" s="652"/>
      <c r="J11" s="653"/>
    </row>
    <row r="12" spans="1:10" ht="86.25" customHeight="1" x14ac:dyDescent="0.4">
      <c r="A12" s="644"/>
      <c r="B12" s="619"/>
      <c r="C12" s="91" t="s">
        <v>8</v>
      </c>
      <c r="D12" s="465"/>
      <c r="E12" s="466"/>
      <c r="F12" s="466"/>
      <c r="G12" s="466"/>
      <c r="H12" s="466"/>
      <c r="I12" s="466"/>
      <c r="J12" s="467"/>
    </row>
    <row r="13" spans="1:10" ht="86.25" customHeight="1" thickBot="1" x14ac:dyDescent="0.45">
      <c r="A13" s="644"/>
      <c r="B13" s="619"/>
      <c r="C13" s="92" t="s">
        <v>10</v>
      </c>
      <c r="D13" s="468"/>
      <c r="E13" s="411"/>
      <c r="F13" s="411"/>
      <c r="G13" s="469"/>
      <c r="H13" s="411"/>
      <c r="I13" s="469"/>
      <c r="J13" s="470"/>
    </row>
    <row r="14" spans="1:10" ht="86.25" customHeight="1" x14ac:dyDescent="0.4">
      <c r="A14" s="643" t="s">
        <v>1</v>
      </c>
      <c r="B14" s="621">
        <f>B9+1</f>
        <v>46336</v>
      </c>
      <c r="C14" s="46" t="s">
        <v>5</v>
      </c>
      <c r="D14" s="462"/>
      <c r="E14" s="446"/>
      <c r="F14" s="446"/>
      <c r="G14" s="446"/>
      <c r="H14" s="446"/>
      <c r="I14" s="446"/>
      <c r="J14" s="447"/>
    </row>
    <row r="15" spans="1:10" ht="86.25" customHeight="1" x14ac:dyDescent="0.4">
      <c r="A15" s="644"/>
      <c r="B15" s="619"/>
      <c r="C15" s="47" t="s">
        <v>6</v>
      </c>
      <c r="D15" s="463"/>
      <c r="E15" s="448"/>
      <c r="F15" s="400"/>
      <c r="G15" s="400"/>
      <c r="H15" s="400"/>
      <c r="I15" s="400"/>
      <c r="J15" s="403"/>
    </row>
    <row r="16" spans="1:10" ht="86.25" customHeight="1" x14ac:dyDescent="0.4">
      <c r="A16" s="644"/>
      <c r="B16" s="619"/>
      <c r="C16" s="47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1" ht="86.25" customHeight="1" x14ac:dyDescent="0.4">
      <c r="A17" s="644"/>
      <c r="B17" s="619"/>
      <c r="C17" s="47" t="s">
        <v>8</v>
      </c>
      <c r="D17" s="465"/>
      <c r="E17" s="466"/>
      <c r="F17" s="466"/>
      <c r="G17" s="466"/>
      <c r="H17" s="466"/>
      <c r="I17" s="466"/>
      <c r="J17" s="467"/>
    </row>
    <row r="18" spans="1:11" ht="86.25" customHeight="1" thickBot="1" x14ac:dyDescent="0.45">
      <c r="A18" s="645"/>
      <c r="B18" s="619"/>
      <c r="C18" s="48" t="s">
        <v>10</v>
      </c>
      <c r="D18" s="468"/>
      <c r="E18" s="411"/>
      <c r="F18" s="411"/>
      <c r="G18" s="469"/>
      <c r="H18" s="411"/>
      <c r="I18" s="469"/>
      <c r="J18" s="470"/>
      <c r="K18" s="61"/>
    </row>
    <row r="19" spans="1:11" ht="86.25" customHeight="1" x14ac:dyDescent="0.4">
      <c r="A19" s="643" t="s">
        <v>2</v>
      </c>
      <c r="B19" s="621">
        <f>B14+1</f>
        <v>46337</v>
      </c>
      <c r="C19" s="46" t="s">
        <v>5</v>
      </c>
      <c r="D19" s="462"/>
      <c r="E19" s="446"/>
      <c r="F19" s="446"/>
      <c r="G19" s="446"/>
      <c r="H19" s="446"/>
      <c r="I19" s="446"/>
      <c r="J19" s="447"/>
    </row>
    <row r="20" spans="1:11" ht="86.25" customHeight="1" x14ac:dyDescent="0.4">
      <c r="A20" s="644"/>
      <c r="B20" s="619"/>
      <c r="C20" s="47" t="s">
        <v>6</v>
      </c>
      <c r="D20" s="463"/>
      <c r="E20" s="448"/>
      <c r="F20" s="400"/>
      <c r="G20" s="400"/>
      <c r="H20" s="400"/>
      <c r="I20" s="400"/>
      <c r="J20" s="403"/>
    </row>
    <row r="21" spans="1:11" ht="86.25" customHeight="1" x14ac:dyDescent="0.4">
      <c r="A21" s="644"/>
      <c r="B21" s="619"/>
      <c r="C21" s="47" t="s">
        <v>7</v>
      </c>
      <c r="D21" s="651" t="s">
        <v>137</v>
      </c>
      <c r="E21" s="652"/>
      <c r="F21" s="652"/>
      <c r="G21" s="652"/>
      <c r="H21" s="652"/>
      <c r="I21" s="652"/>
      <c r="J21" s="653"/>
      <c r="K21" s="61"/>
    </row>
    <row r="22" spans="1:11" ht="86.25" customHeight="1" x14ac:dyDescent="0.4">
      <c r="A22" s="644"/>
      <c r="B22" s="619"/>
      <c r="C22" s="47" t="s">
        <v>8</v>
      </c>
      <c r="D22" s="465"/>
      <c r="E22" s="466"/>
      <c r="F22" s="466"/>
      <c r="G22" s="466"/>
      <c r="H22" s="466"/>
      <c r="I22" s="466"/>
      <c r="J22" s="467"/>
    </row>
    <row r="23" spans="1:11" ht="86.25" customHeight="1" thickBot="1" x14ac:dyDescent="0.45">
      <c r="A23" s="645"/>
      <c r="B23" s="619"/>
      <c r="C23" s="48" t="s">
        <v>10</v>
      </c>
      <c r="D23" s="468"/>
      <c r="E23" s="411"/>
      <c r="F23" s="411"/>
      <c r="G23" s="469"/>
      <c r="H23" s="411"/>
      <c r="I23" s="469"/>
      <c r="J23" s="470"/>
    </row>
    <row r="24" spans="1:11" ht="86.25" customHeight="1" x14ac:dyDescent="0.4">
      <c r="A24" s="643" t="s">
        <v>3</v>
      </c>
      <c r="B24" s="621">
        <f>B19+1</f>
        <v>46338</v>
      </c>
      <c r="C24" s="46" t="s">
        <v>5</v>
      </c>
      <c r="D24" s="462"/>
      <c r="E24" s="446"/>
      <c r="F24" s="446"/>
      <c r="G24" s="446"/>
      <c r="H24" s="446"/>
      <c r="I24" s="446"/>
      <c r="J24" s="447"/>
    </row>
    <row r="25" spans="1:11" ht="86.25" customHeight="1" x14ac:dyDescent="0.4">
      <c r="A25" s="649"/>
      <c r="B25" s="619"/>
      <c r="C25" s="47" t="s">
        <v>6</v>
      </c>
      <c r="D25" s="463"/>
      <c r="E25" s="448"/>
      <c r="F25" s="400"/>
      <c r="G25" s="400"/>
      <c r="H25" s="400"/>
      <c r="I25" s="400"/>
      <c r="J25" s="403"/>
    </row>
    <row r="26" spans="1:11" ht="86.25" customHeight="1" x14ac:dyDescent="0.4">
      <c r="A26" s="649"/>
      <c r="B26" s="619"/>
      <c r="C26" s="47" t="s">
        <v>7</v>
      </c>
      <c r="D26" s="651" t="s">
        <v>137</v>
      </c>
      <c r="E26" s="652"/>
      <c r="F26" s="652"/>
      <c r="G26" s="652"/>
      <c r="H26" s="652"/>
      <c r="I26" s="652"/>
      <c r="J26" s="653"/>
    </row>
    <row r="27" spans="1:11" ht="86.25" customHeight="1" x14ac:dyDescent="0.4">
      <c r="A27" s="649"/>
      <c r="B27" s="619"/>
      <c r="C27" s="47" t="s">
        <v>8</v>
      </c>
      <c r="D27" s="465"/>
      <c r="E27" s="466"/>
      <c r="F27" s="466"/>
      <c r="G27" s="466"/>
      <c r="H27" s="466"/>
      <c r="I27" s="466"/>
      <c r="J27" s="467"/>
    </row>
    <row r="28" spans="1:11" ht="86.25" customHeight="1" thickBot="1" x14ac:dyDescent="0.45">
      <c r="A28" s="650"/>
      <c r="B28" s="619"/>
      <c r="C28" s="48" t="s">
        <v>10</v>
      </c>
      <c r="D28" s="468"/>
      <c r="E28" s="411"/>
      <c r="F28" s="411"/>
      <c r="G28" s="469"/>
      <c r="H28" s="411"/>
      <c r="I28" s="469"/>
      <c r="J28" s="470"/>
    </row>
    <row r="29" spans="1:11" ht="86.25" customHeight="1" x14ac:dyDescent="0.4">
      <c r="A29" s="643" t="s">
        <v>4</v>
      </c>
      <c r="B29" s="621">
        <f>B24+1</f>
        <v>46339</v>
      </c>
      <c r="C29" s="46" t="s">
        <v>5</v>
      </c>
      <c r="D29" s="462"/>
      <c r="E29" s="446"/>
      <c r="F29" s="446"/>
      <c r="G29" s="446"/>
      <c r="H29" s="446"/>
      <c r="I29" s="446"/>
      <c r="J29" s="447"/>
    </row>
    <row r="30" spans="1:11" ht="86.25" customHeight="1" x14ac:dyDescent="0.4">
      <c r="A30" s="644"/>
      <c r="B30" s="619"/>
      <c r="C30" s="47" t="s">
        <v>6</v>
      </c>
      <c r="D30" s="463"/>
      <c r="E30" s="448"/>
      <c r="F30" s="400"/>
      <c r="G30" s="400"/>
      <c r="H30" s="400"/>
      <c r="I30" s="400"/>
      <c r="J30" s="403"/>
    </row>
    <row r="31" spans="1:11" ht="86.25" customHeight="1" x14ac:dyDescent="0.4">
      <c r="A31" s="644"/>
      <c r="B31" s="619"/>
      <c r="C31" s="47" t="s">
        <v>7</v>
      </c>
      <c r="D31" s="651" t="s">
        <v>137</v>
      </c>
      <c r="E31" s="652"/>
      <c r="F31" s="652"/>
      <c r="G31" s="652"/>
      <c r="H31" s="652"/>
      <c r="I31" s="652"/>
      <c r="J31" s="653"/>
    </row>
    <row r="32" spans="1:11" ht="86.25" customHeight="1" x14ac:dyDescent="0.4">
      <c r="A32" s="644"/>
      <c r="B32" s="619"/>
      <c r="C32" s="47" t="s">
        <v>8</v>
      </c>
      <c r="D32" s="465"/>
      <c r="E32" s="466"/>
      <c r="F32" s="466"/>
      <c r="G32" s="466"/>
      <c r="H32" s="466"/>
      <c r="I32" s="466"/>
      <c r="J32" s="467"/>
    </row>
    <row r="33" spans="1:10" ht="86.25" customHeight="1" thickBot="1" x14ac:dyDescent="0.45">
      <c r="A33" s="645"/>
      <c r="B33" s="619"/>
      <c r="C33" s="48" t="s">
        <v>10</v>
      </c>
      <c r="D33" s="468"/>
      <c r="E33" s="411"/>
      <c r="F33" s="411"/>
      <c r="G33" s="469"/>
      <c r="H33" s="411"/>
      <c r="I33" s="469"/>
      <c r="J33" s="470"/>
    </row>
    <row r="34" spans="1:10" ht="86.25" customHeight="1" x14ac:dyDescent="0.4">
      <c r="A34" s="619" t="s">
        <v>12</v>
      </c>
      <c r="B34" s="621">
        <f>B29+1</f>
        <v>46340</v>
      </c>
      <c r="C34" s="46" t="s">
        <v>5</v>
      </c>
      <c r="D34" s="462"/>
      <c r="E34" s="446"/>
      <c r="F34" s="446"/>
      <c r="G34" s="446"/>
      <c r="H34" s="446"/>
      <c r="I34" s="446"/>
      <c r="J34" s="447"/>
    </row>
    <row r="35" spans="1:10" ht="86.25" customHeight="1" x14ac:dyDescent="0.4">
      <c r="A35" s="619"/>
      <c r="B35" s="619"/>
      <c r="C35" s="47" t="s">
        <v>6</v>
      </c>
      <c r="D35" s="463"/>
      <c r="E35" s="448"/>
      <c r="F35" s="400"/>
      <c r="G35" s="400"/>
      <c r="H35" s="400"/>
      <c r="I35" s="400"/>
      <c r="J35" s="403"/>
    </row>
    <row r="36" spans="1:10" ht="86.25" customHeight="1" x14ac:dyDescent="0.4">
      <c r="A36" s="619"/>
      <c r="B36" s="619"/>
      <c r="C36" s="47" t="s">
        <v>7</v>
      </c>
      <c r="D36" s="651" t="s">
        <v>137</v>
      </c>
      <c r="E36" s="652"/>
      <c r="F36" s="652"/>
      <c r="G36" s="652"/>
      <c r="H36" s="652"/>
      <c r="I36" s="652"/>
      <c r="J36" s="653"/>
    </row>
    <row r="37" spans="1:10" ht="86.25" customHeight="1" x14ac:dyDescent="0.4">
      <c r="A37" s="619"/>
      <c r="B37" s="619"/>
      <c r="C37" s="47" t="s">
        <v>8</v>
      </c>
      <c r="D37" s="465"/>
      <c r="E37" s="466"/>
      <c r="F37" s="466"/>
      <c r="G37" s="466"/>
      <c r="H37" s="466"/>
      <c r="I37" s="466"/>
      <c r="J37" s="467"/>
    </row>
    <row r="38" spans="1:10" ht="86.25" customHeight="1" thickBot="1" x14ac:dyDescent="0.45">
      <c r="A38" s="620"/>
      <c r="B38" s="620"/>
      <c r="C38" s="48" t="s">
        <v>10</v>
      </c>
      <c r="D38" s="468"/>
      <c r="E38" s="411"/>
      <c r="F38" s="411"/>
      <c r="G38" s="469"/>
      <c r="H38" s="411"/>
      <c r="I38" s="469"/>
      <c r="J38" s="470"/>
    </row>
    <row r="39" spans="1:10" ht="27.75" x14ac:dyDescent="0.4">
      <c r="D39" s="136" t="s">
        <v>51</v>
      </c>
    </row>
    <row r="40" spans="1:10" x14ac:dyDescent="0.4">
      <c r="C40" s="55" t="str">
        <f>'01.09'!C40</f>
        <v>*Л. Основы медицинских знаний и спортивная медицина*</v>
      </c>
      <c r="D40" s="71">
        <f>'02.11'!D40+COUNTIF(D$9:D$38,$C40)</f>
        <v>8</v>
      </c>
      <c r="E40" s="71">
        <f>'02.11'!E40+COUNTIF(E$9:E$38,$C40)</f>
        <v>8</v>
      </c>
      <c r="F40" s="71">
        <f>'02.11'!F40+COUNTIF(F$9:F$38,$C40)</f>
        <v>8</v>
      </c>
      <c r="G40" s="71">
        <f>'02.11'!G40+COUNTIF(G$9:G$38,$C40)</f>
        <v>8</v>
      </c>
      <c r="H40" s="71">
        <f>'02.11'!H40+COUNTIF(H$9:H$38,$C40)</f>
        <v>8</v>
      </c>
      <c r="I40" s="71">
        <f>'02.11'!I40+COUNTIF(I$9:I$38,$C40)</f>
        <v>8</v>
      </c>
      <c r="J40" s="71">
        <f>'02.11'!J40+COUNTIF(J$9:J$38,$C40)</f>
        <v>8</v>
      </c>
    </row>
    <row r="41" spans="1:10" x14ac:dyDescent="0.4">
      <c r="C41" s="55" t="str">
        <f>'01.09'!C41</f>
        <v>*Пр. Основы медицинских знаний и спортивная медицина*</v>
      </c>
      <c r="D41" s="71">
        <f>'02.11'!D41+COUNTIF(D$9:D$38,$C41)</f>
        <v>14</v>
      </c>
      <c r="E41" s="71">
        <f>'02.11'!E41+COUNTIF(E$9:E$38,$C41)</f>
        <v>14</v>
      </c>
      <c r="F41" s="71">
        <f>'02.11'!F41+COUNTIF(F$9:F$38,$C41)</f>
        <v>13</v>
      </c>
      <c r="G41" s="71">
        <f>'02.11'!G41+COUNTIF(G$9:G$38,$C41)</f>
        <v>9</v>
      </c>
      <c r="H41" s="71">
        <f>'02.11'!H41+COUNTIF(H$9:H$38,$C41)</f>
        <v>14</v>
      </c>
      <c r="I41" s="71">
        <f>'02.11'!I41+COUNTIF(I$9:I$38,$C41)</f>
        <v>13</v>
      </c>
      <c r="J41" s="71">
        <f>'02.11'!J41+COUNTIF(J$9:J$38,$C41)</f>
        <v>13</v>
      </c>
    </row>
    <row r="42" spans="1:10" x14ac:dyDescent="0.4">
      <c r="C42" s="55" t="str">
        <f>'01.09'!C42</f>
        <v>*Л. Массаж*</v>
      </c>
      <c r="D42" s="71">
        <f>'02.11'!D42+COUNTIF(D$9:D$38,$C42)</f>
        <v>5</v>
      </c>
      <c r="E42" s="71">
        <f>'02.11'!E42+COUNTIF(E$9:E$38,$C42)</f>
        <v>5</v>
      </c>
      <c r="F42" s="71">
        <f>'02.11'!F42+COUNTIF(F$9:F$38,$C42)</f>
        <v>5</v>
      </c>
      <c r="G42" s="71">
        <f>'02.11'!G42+COUNTIF(G$9:G$38,$C42)</f>
        <v>5</v>
      </c>
      <c r="H42" s="71">
        <f>'02.11'!H42+COUNTIF(H$9:H$38,$C42)</f>
        <v>5</v>
      </c>
      <c r="I42" s="71">
        <f>'02.11'!I42+COUNTIF(I$9:I$38,$C42)</f>
        <v>5</v>
      </c>
      <c r="J42" s="71">
        <f>'02.11'!J42+COUNTIF(J$9:J$38,$C42)</f>
        <v>5</v>
      </c>
    </row>
    <row r="43" spans="1:10" x14ac:dyDescent="0.4">
      <c r="C43" s="55" t="str">
        <f>'01.09'!C43</f>
        <v>*Пр. Массаж*</v>
      </c>
      <c r="D43" s="71">
        <f>'02.11'!D43+COUNTIF(D$9:D$38,$C43)</f>
        <v>13</v>
      </c>
      <c r="E43" s="71">
        <f>'02.11'!E43+COUNTIF(E$9:E$38,$C43)</f>
        <v>13</v>
      </c>
      <c r="F43" s="71">
        <f>'02.11'!F43+COUNTIF(F$9:F$38,$C43)</f>
        <v>13</v>
      </c>
      <c r="G43" s="71">
        <f>'02.11'!G43+COUNTIF(G$9:G$38,$C43)</f>
        <v>14</v>
      </c>
      <c r="H43" s="71">
        <f>'02.11'!H43+COUNTIF(H$9:H$38,$C43)</f>
        <v>14</v>
      </c>
      <c r="I43" s="71">
        <f>'02.11'!I43+COUNTIF(I$9:I$38,$C43)</f>
        <v>14</v>
      </c>
      <c r="J43" s="71">
        <f>'02.11'!J43+COUNTIF(J$9:J$38,$C43)</f>
        <v>14</v>
      </c>
    </row>
    <row r="44" spans="1:10" x14ac:dyDescent="0.4">
      <c r="C44" s="55" t="str">
        <f>'01.09'!C44</f>
        <v>*Л. Правовые основы профессиональной деятельности*</v>
      </c>
      <c r="D44" s="71">
        <f>'02.11'!D44+COUNTIF(D$9:D$38,$C44)</f>
        <v>5</v>
      </c>
      <c r="E44" s="71">
        <f>'02.11'!E44+COUNTIF(E$9:E$38,$C44)</f>
        <v>5</v>
      </c>
      <c r="F44" s="71">
        <f>'02.11'!F44+COUNTIF(F$9:F$38,$C44)</f>
        <v>5</v>
      </c>
      <c r="G44" s="71">
        <f>'02.11'!G44+COUNTIF(G$9:G$38,$C44)</f>
        <v>5</v>
      </c>
      <c r="H44" s="71">
        <f>'02.11'!H44+COUNTIF(H$9:H$38,$C44)</f>
        <v>5</v>
      </c>
      <c r="I44" s="71">
        <f>'02.11'!I44+COUNTIF(I$9:I$38,$C44)</f>
        <v>5</v>
      </c>
      <c r="J44" s="71">
        <f>'02.11'!J44+COUNTIF(J$9:J$38,$C44)</f>
        <v>5</v>
      </c>
    </row>
    <row r="45" spans="1:10" x14ac:dyDescent="0.4">
      <c r="C45" s="55" t="str">
        <f>'01.09'!C45</f>
        <v>*Пр. Правовые основы профессиональной деятельности*</v>
      </c>
      <c r="D45" s="71">
        <f>'02.11'!D45+COUNTIF(D$9:D$38,$C45)</f>
        <v>7</v>
      </c>
      <c r="E45" s="71">
        <f>'02.11'!E45+COUNTIF(E$9:E$38,$C45)</f>
        <v>8</v>
      </c>
      <c r="F45" s="71">
        <f>'02.11'!F45+COUNTIF(F$9:F$38,$C45)</f>
        <v>7</v>
      </c>
      <c r="G45" s="71">
        <f>'02.11'!G45+COUNTIF(G$9:G$38,$C45)</f>
        <v>7</v>
      </c>
      <c r="H45" s="71">
        <f>'02.11'!H45+COUNTIF(H$9:H$38,$C45)</f>
        <v>7</v>
      </c>
      <c r="I45" s="71">
        <f>'02.11'!I45+COUNTIF(I$9:I$38,$C45)</f>
        <v>6</v>
      </c>
      <c r="J45" s="71">
        <f>'02.11'!J45+COUNTIF(J$9:J$38,$C45)</f>
        <v>7</v>
      </c>
    </row>
    <row r="46" spans="1:10" x14ac:dyDescent="0.4">
      <c r="C46" s="55" t="str">
        <f>'01.09'!C46</f>
        <v>*Л. Теория и методика*</v>
      </c>
      <c r="D46" s="71">
        <f>'02.11'!D46+COUNTIF(D$9:D$38,$C46)</f>
        <v>4</v>
      </c>
      <c r="E46" s="71">
        <f>'02.11'!E46+COUNTIF(E$9:E$38,$C46)</f>
        <v>4</v>
      </c>
      <c r="F46" s="71">
        <f>'02.11'!F46+COUNTIF(F$9:F$38,$C46)</f>
        <v>4</v>
      </c>
      <c r="G46" s="71">
        <f>'02.11'!G46+COUNTIF(G$9:G$38,$C46)</f>
        <v>4</v>
      </c>
      <c r="H46" s="71">
        <f>'02.11'!H46+COUNTIF(H$9:H$38,$C46)</f>
        <v>4</v>
      </c>
      <c r="I46" s="71">
        <f>'02.11'!I46+COUNTIF(I$9:I$38,$C46)</f>
        <v>4</v>
      </c>
      <c r="J46" s="71">
        <f>'02.11'!J46+COUNTIF(J$9:J$38,$C46)</f>
        <v>4</v>
      </c>
    </row>
    <row r="47" spans="1:10" x14ac:dyDescent="0.4">
      <c r="C47" s="55" t="str">
        <f>'01.09'!C47</f>
        <v>*Пр. Теория и методика*</v>
      </c>
      <c r="D47" s="71">
        <f>'02.11'!D47+COUNTIF(D$9:D$38,$C47)</f>
        <v>30</v>
      </c>
      <c r="E47" s="71">
        <f>'02.11'!E47+COUNTIF(E$9:E$38,$C47)</f>
        <v>30</v>
      </c>
      <c r="F47" s="71">
        <f>'02.11'!F47+COUNTIF(F$9:F$38,$C47)</f>
        <v>31</v>
      </c>
      <c r="G47" s="71">
        <f>'02.11'!G47+COUNTIF(G$9:G$38,$C47)</f>
        <v>35</v>
      </c>
      <c r="H47" s="71">
        <f>'02.11'!H47+COUNTIF(H$9:H$38,$C47)</f>
        <v>35</v>
      </c>
      <c r="I47" s="71">
        <f>'02.11'!I47+COUNTIF(I$9:I$38,$C47)</f>
        <v>37</v>
      </c>
      <c r="J47" s="71">
        <f>'02.11'!J47+COUNTIF(J$9:J$38,$C47)</f>
        <v>37</v>
      </c>
    </row>
    <row r="48" spans="1:10" x14ac:dyDescent="0.4">
      <c r="C48" s="55" t="str">
        <f>'01.09'!C48</f>
        <v>*Л. Спортивная метрология*</v>
      </c>
      <c r="D48" s="71">
        <f>'02.11'!D48+COUNTIF(D$9:D$38,$C48)</f>
        <v>5</v>
      </c>
      <c r="E48" s="71">
        <f>'02.11'!E48+COUNTIF(E$9:E$38,$C48)</f>
        <v>5</v>
      </c>
      <c r="F48" s="71">
        <f>'02.11'!F48+COUNTIF(F$9:F$38,$C48)</f>
        <v>5</v>
      </c>
      <c r="G48" s="71">
        <f>'02.11'!G48+COUNTIF(G$9:G$38,$C48)</f>
        <v>5</v>
      </c>
      <c r="H48" s="71">
        <f>'02.11'!H48+COUNTIF(H$9:H$38,$C48)</f>
        <v>5</v>
      </c>
      <c r="I48" s="71">
        <f>'02.11'!I48+COUNTIF(I$9:I$38,$C48)</f>
        <v>5</v>
      </c>
      <c r="J48" s="71">
        <f>'02.11'!J48+COUNTIF(J$9:J$38,$C48)</f>
        <v>5</v>
      </c>
    </row>
    <row r="49" spans="3:10" x14ac:dyDescent="0.4">
      <c r="C49" s="55" t="str">
        <f>'01.09'!C49</f>
        <v>*Пр. Спортивная метрология*</v>
      </c>
      <c r="D49" s="71">
        <f>'02.11'!D49+COUNTIF(D$9:D$38,$C49)</f>
        <v>7</v>
      </c>
      <c r="E49" s="71">
        <f>'02.11'!E49+COUNTIF(E$9:E$38,$C49)</f>
        <v>7</v>
      </c>
      <c r="F49" s="71">
        <f>'02.11'!F49+COUNTIF(F$9:F$38,$C49)</f>
        <v>7</v>
      </c>
      <c r="G49" s="71">
        <f>'02.11'!G49+COUNTIF(G$9:G$38,$C49)</f>
        <v>7</v>
      </c>
      <c r="H49" s="71">
        <f>'02.11'!H49+COUNTIF(H$9:H$38,$C49)</f>
        <v>7</v>
      </c>
      <c r="I49" s="71">
        <f>'02.11'!I49+COUNTIF(I$9:I$38,$C49)</f>
        <v>7</v>
      </c>
      <c r="J49" s="71">
        <f>'02.11'!J49+COUNTIF(J$9:J$38,$C49)</f>
        <v>7</v>
      </c>
    </row>
    <row r="50" spans="3:10" x14ac:dyDescent="0.4">
      <c r="C50" s="55" t="str">
        <f>'01.09'!C50</f>
        <v>*Л.  Теория и методика циклических и сложнокоординационных*</v>
      </c>
      <c r="D50" s="71">
        <f>'02.11'!D50+COUNTIF(D$9:D$38,$C50)</f>
        <v>0</v>
      </c>
      <c r="E50" s="71">
        <f>'02.11'!E50+COUNTIF(E$9:E$38,$C50)</f>
        <v>0</v>
      </c>
      <c r="F50" s="71">
        <f>'02.11'!F50+COUNTIF(F$9:F$38,$C50)</f>
        <v>0</v>
      </c>
      <c r="G50" s="71">
        <f>'02.11'!G50+COUNTIF(G$9:G$38,$C50)</f>
        <v>0</v>
      </c>
      <c r="H50" s="71">
        <f>'02.11'!H50+COUNTIF(H$9:H$38,$C50)</f>
        <v>4</v>
      </c>
      <c r="I50" s="71">
        <f>'02.11'!I50+COUNTIF(I$9:I$38,$C50)</f>
        <v>0</v>
      </c>
      <c r="J50" s="71">
        <f>'02.11'!J50+COUNTIF(J$9:J$38,$C50)</f>
        <v>0</v>
      </c>
    </row>
    <row r="51" spans="3:10" x14ac:dyDescent="0.4">
      <c r="C51" s="55" t="str">
        <f>'01.09'!C51</f>
        <v>*Пр.  Теория и методика циклических и сложнокоординационных*</v>
      </c>
      <c r="D51" s="71">
        <f>'02.11'!D51+COUNTIF(D$9:D$38,$C51)</f>
        <v>0</v>
      </c>
      <c r="E51" s="71">
        <f>'02.11'!E51+COUNTIF(E$9:E$38,$C51)</f>
        <v>0</v>
      </c>
      <c r="F51" s="71">
        <f>'02.11'!F51+COUNTIF(F$9:F$38,$C51)</f>
        <v>0</v>
      </c>
      <c r="G51" s="71">
        <f>'02.11'!G51+COUNTIF(G$9:G$38,$C51)</f>
        <v>0</v>
      </c>
      <c r="H51" s="71">
        <f>'02.11'!H51+COUNTIF(H$9:H$38,$C51)</f>
        <v>39</v>
      </c>
      <c r="I51" s="71">
        <f>'02.11'!I51+COUNTIF(I$9:I$38,$C51)</f>
        <v>0</v>
      </c>
      <c r="J51" s="71">
        <f>'02.11'!J51+COUNTIF(J$9:J$38,$C51)</f>
        <v>0</v>
      </c>
    </row>
    <row r="52" spans="3:10" x14ac:dyDescent="0.4">
      <c r="C52" s="55">
        <f>'01.09'!C52</f>
        <v>0</v>
      </c>
      <c r="D52" s="71">
        <f>'02.11'!D52+COUNTIF(D$9:D$38,$C52)</f>
        <v>0</v>
      </c>
      <c r="E52" s="71">
        <f>'02.11'!E52+COUNTIF(E$9:E$38,$C52)</f>
        <v>0</v>
      </c>
      <c r="F52" s="71">
        <f>'02.11'!F52+COUNTIF(F$9:F$38,$C52)</f>
        <v>0</v>
      </c>
      <c r="G52" s="71">
        <f>'02.11'!G52+COUNTIF(G$9:G$38,$C52)</f>
        <v>0</v>
      </c>
      <c r="H52" s="71">
        <f>'02.11'!H52+COUNTIF(H$9:H$38,$C52)</f>
        <v>0</v>
      </c>
      <c r="I52" s="71">
        <f>'02.11'!I52+COUNTIF(I$9:I$38,$C52)</f>
        <v>0</v>
      </c>
      <c r="J52" s="71">
        <f>'02.11'!J52+COUNTIF(J$9:J$38,$C52)</f>
        <v>0</v>
      </c>
    </row>
    <row r="53" spans="3:10" x14ac:dyDescent="0.4">
      <c r="C53" s="55">
        <f>'01.09'!C53</f>
        <v>0</v>
      </c>
      <c r="D53" s="71">
        <f>'02.11'!D53+COUNTIF(D$9:D$38,$C53)</f>
        <v>0</v>
      </c>
      <c r="E53" s="71">
        <f>'02.11'!E53+COUNTIF(E$9:E$38,$C53)</f>
        <v>0</v>
      </c>
      <c r="F53" s="71">
        <f>'02.11'!F53+COUNTIF(F$9:F$38,$C53)</f>
        <v>0</v>
      </c>
      <c r="G53" s="71">
        <f>'02.11'!G53+COUNTIF(G$9:G$38,$C53)</f>
        <v>0</v>
      </c>
      <c r="H53" s="71">
        <f>'02.11'!H53+COUNTIF(H$9:H$38,$C53)</f>
        <v>0</v>
      </c>
      <c r="I53" s="71">
        <f>'02.11'!I53+COUNTIF(I$9:I$38,$C53)</f>
        <v>0</v>
      </c>
      <c r="J53" s="71">
        <f>'02.11'!J53+COUNTIF(J$9:J$38,$C53)</f>
        <v>0</v>
      </c>
    </row>
    <row r="54" spans="3:10" x14ac:dyDescent="0.4">
      <c r="C54" s="55">
        <f>'01.09'!C54</f>
        <v>0</v>
      </c>
      <c r="D54" s="71">
        <f>'02.11'!D54+COUNTIF(D$9:D$38,$C54)</f>
        <v>0</v>
      </c>
      <c r="E54" s="71">
        <f>'02.11'!E54+COUNTIF(E$9:E$38,$C54)</f>
        <v>0</v>
      </c>
      <c r="F54" s="71">
        <f>'02.11'!F54+COUNTIF(F$9:F$38,$C54)</f>
        <v>0</v>
      </c>
      <c r="G54" s="71">
        <f>'02.11'!G54+COUNTIF(G$9:G$38,$C54)</f>
        <v>0</v>
      </c>
      <c r="H54" s="71">
        <f>'02.11'!H54+COUNTIF(H$9:H$38,$C54)</f>
        <v>0</v>
      </c>
      <c r="I54" s="71">
        <f>'02.11'!I54+COUNTIF(I$9:I$38,$C54)</f>
        <v>0</v>
      </c>
      <c r="J54" s="71">
        <f>'02.11'!J54+COUNTIF(J$9:J$38,$C54)</f>
        <v>0</v>
      </c>
    </row>
    <row r="55" spans="3:10" x14ac:dyDescent="0.4">
      <c r="C55" s="55">
        <f>'01.09'!C55</f>
        <v>0</v>
      </c>
      <c r="D55" s="71">
        <f>'02.11'!D55+COUNTIF(D$9:D$38,$C55)</f>
        <v>0</v>
      </c>
      <c r="E55" s="71">
        <f>'02.11'!E55+COUNTIF(E$9:E$38,$C55)</f>
        <v>0</v>
      </c>
      <c r="F55" s="71">
        <f>'02.11'!F55+COUNTIF(F$9:F$38,$C55)</f>
        <v>0</v>
      </c>
      <c r="G55" s="71">
        <f>'02.11'!G55+COUNTIF(G$9:G$38,$C55)</f>
        <v>0</v>
      </c>
      <c r="H55" s="71">
        <f>'02.11'!H55+COUNTIF(H$9:H$38,$C55)</f>
        <v>0</v>
      </c>
      <c r="I55" s="71">
        <f>'02.11'!I55+COUNTIF(I$9:I$38,$C55)</f>
        <v>0</v>
      </c>
      <c r="J55" s="71">
        <f>'02.11'!J55+COUNTIF(J$9:J$38,$C55)</f>
        <v>0</v>
      </c>
    </row>
    <row r="56" spans="3:10" x14ac:dyDescent="0.4">
      <c r="C56" s="55">
        <f>'01.09'!C56</f>
        <v>0</v>
      </c>
      <c r="D56" s="71">
        <f>'02.11'!D56+COUNTIF(D$9:D$38,$C56)</f>
        <v>0</v>
      </c>
      <c r="E56" s="71">
        <f>'02.11'!E56+COUNTIF(E$9:E$38,$C56)</f>
        <v>0</v>
      </c>
      <c r="F56" s="71">
        <f>'02.11'!F56+COUNTIF(F$9:F$38,$C56)</f>
        <v>0</v>
      </c>
      <c r="G56" s="71">
        <f>'02.11'!G56+COUNTIF(G$9:G$38,$C56)</f>
        <v>0</v>
      </c>
      <c r="H56" s="71">
        <f>'02.11'!H56+COUNTIF(H$9:H$38,$C56)</f>
        <v>0</v>
      </c>
      <c r="I56" s="71">
        <f>'02.11'!I56+COUNTIF(I$9:I$38,$C56)</f>
        <v>0</v>
      </c>
      <c r="J56" s="71">
        <f>'02.11'!J56+COUNTIF(J$9:J$38,$C56)</f>
        <v>0</v>
      </c>
    </row>
    <row r="57" spans="3:10" x14ac:dyDescent="0.4">
      <c r="C57" s="55">
        <f>'01.09'!C57</f>
        <v>0</v>
      </c>
      <c r="D57" s="71">
        <f>'02.11'!D57+COUNTIF(D$9:D$38,$C57)</f>
        <v>0</v>
      </c>
      <c r="E57" s="71">
        <f>'02.11'!E57+COUNTIF(E$9:E$38,$C57)</f>
        <v>0</v>
      </c>
      <c r="F57" s="71">
        <f>'02.11'!F57+COUNTIF(F$9:F$38,$C57)</f>
        <v>0</v>
      </c>
      <c r="G57" s="71">
        <f>'02.11'!G57+COUNTIF(G$9:G$38,$C57)</f>
        <v>0</v>
      </c>
      <c r="H57" s="71">
        <f>'02.11'!H57+COUNTIF(H$9:H$38,$C57)</f>
        <v>0</v>
      </c>
      <c r="I57" s="71">
        <f>'02.11'!I57+COUNTIF(I$9:I$38,$C57)</f>
        <v>0</v>
      </c>
      <c r="J57" s="71">
        <f>'02.11'!J57+COUNTIF(J$9:J$38,$C57)</f>
        <v>0</v>
      </c>
    </row>
    <row r="58" spans="3:10" x14ac:dyDescent="0.4">
      <c r="C58" s="55">
        <f>'01.09'!C58</f>
        <v>0</v>
      </c>
      <c r="D58" s="71">
        <f>'02.11'!D58+COUNTIF(D$9:D$38,$C58)</f>
        <v>0</v>
      </c>
      <c r="E58" s="71">
        <f>'02.11'!E58+COUNTIF(E$9:E$38,$C58)</f>
        <v>0</v>
      </c>
      <c r="F58" s="71">
        <f>'02.11'!F58+COUNTIF(F$9:F$38,$C58)</f>
        <v>0</v>
      </c>
      <c r="G58" s="71">
        <f>'02.11'!G58+COUNTIF(G$9:G$38,$C58)</f>
        <v>0</v>
      </c>
      <c r="H58" s="71">
        <f>'02.11'!H58+COUNTIF(H$9:H$38,$C58)</f>
        <v>0</v>
      </c>
      <c r="I58" s="71">
        <f>'02.11'!I58+COUNTIF(I$9:I$38,$C58)</f>
        <v>0</v>
      </c>
      <c r="J58" s="71">
        <f>'02.11'!J58+COUNTIF(J$9:J$38,$C58)</f>
        <v>0</v>
      </c>
    </row>
    <row r="59" spans="3:10" x14ac:dyDescent="0.4">
      <c r="C59" s="55">
        <f>'01.09'!C59</f>
        <v>0</v>
      </c>
      <c r="D59" s="71">
        <f>'02.11'!D59+COUNTIF(D$9:D$38,$C59)</f>
        <v>0</v>
      </c>
      <c r="E59" s="71">
        <f>'02.11'!E59+COUNTIF(E$9:E$38,$C59)</f>
        <v>0</v>
      </c>
      <c r="F59" s="71">
        <f>'02.11'!F59+COUNTIF(F$9:F$38,$C59)</f>
        <v>0</v>
      </c>
      <c r="G59" s="71">
        <f>'02.11'!G59+COUNTIF(G$9:G$38,$C59)</f>
        <v>0</v>
      </c>
      <c r="H59" s="71">
        <f>'02.11'!H59+COUNTIF(H$9:H$38,$C59)</f>
        <v>0</v>
      </c>
      <c r="I59" s="71">
        <f>'02.11'!I59+COUNTIF(I$9:I$38,$C59)</f>
        <v>0</v>
      </c>
      <c r="J59" s="71">
        <f>'02.11'!J59+COUNTIF(J$9:J$38,$C59)</f>
        <v>0</v>
      </c>
    </row>
    <row r="60" spans="3:10" x14ac:dyDescent="0.4">
      <c r="C60" s="55">
        <f>'01.09'!C60</f>
        <v>0</v>
      </c>
      <c r="D60" s="71">
        <f>'02.11'!D60+COUNTIF(D$9:D$38,$C60)</f>
        <v>0</v>
      </c>
      <c r="E60" s="71">
        <f>'02.11'!E60+COUNTIF(E$9:E$38,$C60)</f>
        <v>0</v>
      </c>
      <c r="F60" s="71">
        <f>'02.11'!F60+COUNTIF(F$9:F$38,$C60)</f>
        <v>0</v>
      </c>
      <c r="G60" s="71">
        <f>'02.11'!G60+COUNTIF(G$9:G$38,$C60)</f>
        <v>0</v>
      </c>
      <c r="H60" s="71">
        <f>'02.11'!H60+COUNTIF(H$9:H$38,$C60)</f>
        <v>0</v>
      </c>
      <c r="I60" s="71">
        <f>'02.11'!I60+COUNTIF(I$9:I$38,$C60)</f>
        <v>0</v>
      </c>
      <c r="J60" s="71">
        <f>'02.11'!J60+COUNTIF(J$9:J$38,$C60)</f>
        <v>0</v>
      </c>
    </row>
    <row r="61" spans="3:10" x14ac:dyDescent="0.4">
      <c r="C61" s="55">
        <f>'01.09'!C61</f>
        <v>0</v>
      </c>
      <c r="D61" s="71">
        <f>'02.11'!D61+COUNTIF(D$9:D$38,$C61)</f>
        <v>0</v>
      </c>
      <c r="E61" s="71">
        <f>'02.11'!E61+COUNTIF(E$9:E$38,$C61)</f>
        <v>0</v>
      </c>
      <c r="F61" s="71">
        <f>'02.11'!F61+COUNTIF(F$9:F$38,$C61)</f>
        <v>0</v>
      </c>
      <c r="G61" s="71">
        <f>'02.11'!G61+COUNTIF(G$9:G$38,$C61)</f>
        <v>0</v>
      </c>
      <c r="H61" s="71">
        <f>'02.11'!H61+COUNTIF(H$9:H$38,$C61)</f>
        <v>0</v>
      </c>
      <c r="I61" s="71">
        <f>'02.11'!I61+COUNTIF(I$9:I$38,$C61)</f>
        <v>0</v>
      </c>
      <c r="J61" s="71">
        <f>'02.11'!J61+COUNTIF(J$9:J$38,$C61)</f>
        <v>0</v>
      </c>
    </row>
    <row r="62" spans="3:10" x14ac:dyDescent="0.4">
      <c r="C62" s="55">
        <f>'01.09'!C62</f>
        <v>0</v>
      </c>
      <c r="D62" s="71">
        <f>'02.11'!D62+COUNTIF(D$9:D$38,$C62)</f>
        <v>0</v>
      </c>
      <c r="E62" s="71">
        <f>'02.11'!E62+COUNTIF(E$9:E$38,$C62)</f>
        <v>0</v>
      </c>
      <c r="F62" s="71">
        <f>'02.11'!F62+COUNTIF(F$9:F$38,$C62)</f>
        <v>0</v>
      </c>
      <c r="G62" s="71">
        <f>'02.11'!G62+COUNTIF(G$9:G$38,$C62)</f>
        <v>0</v>
      </c>
      <c r="H62" s="71">
        <f>'02.11'!H62+COUNTIF(H$9:H$38,$C62)</f>
        <v>0</v>
      </c>
      <c r="I62" s="71">
        <f>'02.11'!I62+COUNTIF(I$9:I$38,$C62)</f>
        <v>0</v>
      </c>
      <c r="J62" s="71">
        <f>'02.11'!J62+COUNTIF(J$9:J$38,$C62)</f>
        <v>0</v>
      </c>
    </row>
    <row r="63" spans="3:10" x14ac:dyDescent="0.4">
      <c r="C63" s="55">
        <f>'01.09'!C63</f>
        <v>0</v>
      </c>
      <c r="D63" s="71">
        <f>'02.11'!D63+COUNTIF(D$9:D$38,$C63)</f>
        <v>0</v>
      </c>
      <c r="E63" s="71">
        <f>'02.11'!E63+COUNTIF(E$9:E$38,$C63)</f>
        <v>0</v>
      </c>
      <c r="F63" s="71">
        <f>'02.11'!F63+COUNTIF(F$9:F$38,$C63)</f>
        <v>0</v>
      </c>
      <c r="G63" s="71">
        <f>'02.11'!G63+COUNTIF(G$9:G$38,$C63)</f>
        <v>0</v>
      </c>
      <c r="H63" s="71">
        <f>'02.11'!H63+COUNTIF(H$9:H$38,$C63)</f>
        <v>0</v>
      </c>
      <c r="I63" s="71">
        <f>'02.11'!I63+COUNTIF(I$9:I$38,$C63)</f>
        <v>0</v>
      </c>
      <c r="J63" s="71">
        <f>'02.11'!J63+COUNTIF(J$9:J$38,$C63)</f>
        <v>0</v>
      </c>
    </row>
    <row r="64" spans="3:10" x14ac:dyDescent="0.4">
      <c r="C64" s="55">
        <f>'01.09'!C64</f>
        <v>0</v>
      </c>
      <c r="D64" s="71">
        <f>'02.11'!D64+COUNTIF(D$9:D$38,$C64)</f>
        <v>0</v>
      </c>
      <c r="E64" s="71">
        <f>'02.11'!E64+COUNTIF(E$9:E$38,$C64)</f>
        <v>0</v>
      </c>
      <c r="F64" s="71">
        <f>'02.11'!F64+COUNTIF(F$9:F$38,$C64)</f>
        <v>0</v>
      </c>
      <c r="G64" s="71">
        <f>'02.11'!G64+COUNTIF(G$9:G$38,$C64)</f>
        <v>0</v>
      </c>
      <c r="H64" s="71">
        <f>'02.11'!H64+COUNTIF(H$9:H$38,$C64)</f>
        <v>0</v>
      </c>
      <c r="I64" s="71">
        <f>'02.11'!I64+COUNTIF(I$9:I$38,$C64)</f>
        <v>0</v>
      </c>
      <c r="J64" s="71">
        <f>'02.11'!J64+COUNTIF(J$9:J$38,$C64)</f>
        <v>0</v>
      </c>
    </row>
    <row r="65" spans="3:10" x14ac:dyDescent="0.4">
      <c r="C65" s="55">
        <f>'01.09'!C65</f>
        <v>0</v>
      </c>
      <c r="D65" s="71">
        <f>'02.11'!D65+COUNTIF(D$9:D$38,$C65)</f>
        <v>0</v>
      </c>
      <c r="E65" s="71">
        <f>'02.11'!E65+COUNTIF(E$9:E$38,$C65)</f>
        <v>0</v>
      </c>
      <c r="F65" s="71">
        <f>'02.11'!F65+COUNTIF(F$9:F$38,$C65)</f>
        <v>0</v>
      </c>
      <c r="G65" s="71">
        <f>'02.11'!G65+COUNTIF(G$9:G$38,$C65)</f>
        <v>0</v>
      </c>
      <c r="H65" s="71">
        <f>'02.11'!H65+COUNTIF(H$9:H$38,$C65)</f>
        <v>0</v>
      </c>
      <c r="I65" s="71">
        <f>'02.11'!I65+COUNTIF(I$9:I$38,$C65)</f>
        <v>0</v>
      </c>
      <c r="J65" s="71">
        <f>'02.11'!J65+COUNTIF(J$9:J$38,$C65)</f>
        <v>0</v>
      </c>
    </row>
    <row r="66" spans="3:10" x14ac:dyDescent="0.4">
      <c r="C66" s="55">
        <f>'01.09'!C66</f>
        <v>0</v>
      </c>
      <c r="D66" s="71">
        <f>'02.11'!D66+COUNTIF(D$9:D$38,$C66)</f>
        <v>0</v>
      </c>
      <c r="E66" s="71">
        <f>'02.11'!E66+COUNTIF(E$9:E$38,$C66)</f>
        <v>0</v>
      </c>
      <c r="F66" s="71">
        <f>'02.11'!F66+COUNTIF(F$9:F$38,$C66)</f>
        <v>0</v>
      </c>
      <c r="G66" s="71">
        <f>'02.11'!G66+COUNTIF(G$9:G$38,$C66)</f>
        <v>0</v>
      </c>
      <c r="H66" s="71">
        <f>'02.11'!H66+COUNTIF(H$9:H$38,$C66)</f>
        <v>0</v>
      </c>
      <c r="I66" s="71">
        <f>'02.11'!I66+COUNTIF(I$9:I$38,$C66)</f>
        <v>0</v>
      </c>
      <c r="J66" s="71">
        <f>'02.11'!J66+COUNTIF(J$9:J$38,$C66)</f>
        <v>0</v>
      </c>
    </row>
    <row r="67" spans="3:10" x14ac:dyDescent="0.4">
      <c r="C67" s="55">
        <f>'01.09'!C67</f>
        <v>0</v>
      </c>
      <c r="D67" s="71">
        <f>'02.11'!D67+COUNTIF(D$9:D$38,$C67)</f>
        <v>0</v>
      </c>
      <c r="E67" s="71">
        <f>'02.11'!E67+COUNTIF(E$9:E$38,$C67)</f>
        <v>0</v>
      </c>
      <c r="F67" s="71">
        <f>'02.11'!F67+COUNTIF(F$9:F$38,$C67)</f>
        <v>0</v>
      </c>
      <c r="G67" s="71">
        <f>'02.11'!G67+COUNTIF(G$9:G$38,$C67)</f>
        <v>0</v>
      </c>
      <c r="H67" s="71">
        <f>'02.11'!H67+COUNTIF(H$9:H$38,$C67)</f>
        <v>0</v>
      </c>
      <c r="I67" s="71">
        <f>'02.11'!I67+COUNTIF(I$9:I$38,$C67)</f>
        <v>0</v>
      </c>
      <c r="J67" s="71">
        <f>'02.11'!J67+COUNTIF(J$9:J$38,$C67)</f>
        <v>0</v>
      </c>
    </row>
  </sheetData>
  <mergeCells count="26">
    <mergeCell ref="D36:J36"/>
    <mergeCell ref="D11:J11"/>
    <mergeCell ref="D16:J16"/>
    <mergeCell ref="D21:J21"/>
    <mergeCell ref="D26:J26"/>
    <mergeCell ref="D31:J31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  <mergeCell ref="C7:C8"/>
    <mergeCell ref="B1:J1"/>
    <mergeCell ref="B2:J2"/>
    <mergeCell ref="A3:J3"/>
    <mergeCell ref="B4:J4"/>
    <mergeCell ref="B5:J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K68"/>
  <sheetViews>
    <sheetView view="pageBreakPreview" zoomScale="40" zoomScaleNormal="40" zoomScaleSheetLayoutView="40" zoomScalePageLayoutView="40" workbookViewId="0">
      <selection activeCell="I8" sqref="I8"/>
    </sheetView>
  </sheetViews>
  <sheetFormatPr defaultRowHeight="26.25" x14ac:dyDescent="0.4"/>
  <cols>
    <col min="1" max="2" width="4.42578125" style="72" customWidth="1"/>
    <col min="3" max="3" width="23.140625" style="72" customWidth="1"/>
    <col min="4" max="4" width="62.7109375" style="72" customWidth="1"/>
    <col min="5" max="5" width="49" style="72" customWidth="1"/>
    <col min="6" max="6" width="49.28515625" style="72" customWidth="1"/>
    <col min="7" max="7" width="62" style="72" customWidth="1"/>
    <col min="8" max="8" width="61" style="72" customWidth="1"/>
    <col min="9" max="9" width="57.5703125" style="72" customWidth="1"/>
    <col min="10" max="10" width="55.7109375" style="72" customWidth="1"/>
    <col min="11" max="16384" width="9.140625" style="72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6.25" customHeight="1" x14ac:dyDescent="0.4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4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4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42.5" customHeight="1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95.25" customHeight="1" x14ac:dyDescent="0.4">
      <c r="A9" s="643" t="s">
        <v>0</v>
      </c>
      <c r="B9" s="648">
        <v>46342</v>
      </c>
      <c r="C9" s="90" t="s">
        <v>5</v>
      </c>
      <c r="D9" s="462"/>
      <c r="E9" s="446"/>
      <c r="F9" s="446"/>
      <c r="G9" s="446"/>
      <c r="H9" s="446"/>
      <c r="I9" s="446"/>
      <c r="J9" s="447"/>
    </row>
    <row r="10" spans="1:10" ht="95.25" customHeight="1" x14ac:dyDescent="0.4">
      <c r="A10" s="644"/>
      <c r="B10" s="619"/>
      <c r="C10" s="91" t="s">
        <v>6</v>
      </c>
      <c r="D10" s="463"/>
      <c r="E10" s="448"/>
      <c r="F10" s="400"/>
      <c r="G10" s="400"/>
      <c r="H10" s="400"/>
      <c r="I10" s="400"/>
      <c r="J10" s="403"/>
    </row>
    <row r="11" spans="1:10" ht="95.25" customHeight="1" x14ac:dyDescent="0.4">
      <c r="A11" s="644"/>
      <c r="B11" s="619"/>
      <c r="C11" s="91" t="s">
        <v>7</v>
      </c>
      <c r="D11" s="651" t="s">
        <v>137</v>
      </c>
      <c r="E11" s="652"/>
      <c r="F11" s="652"/>
      <c r="G11" s="652"/>
      <c r="H11" s="652"/>
      <c r="I11" s="652"/>
      <c r="J11" s="653"/>
    </row>
    <row r="12" spans="1:10" ht="95.25" customHeight="1" x14ac:dyDescent="0.4">
      <c r="A12" s="644"/>
      <c r="B12" s="619"/>
      <c r="C12" s="91" t="s">
        <v>8</v>
      </c>
      <c r="D12" s="465"/>
      <c r="E12" s="466"/>
      <c r="F12" s="466"/>
      <c r="G12" s="466"/>
      <c r="H12" s="466"/>
      <c r="I12" s="466"/>
      <c r="J12" s="467"/>
    </row>
    <row r="13" spans="1:10" ht="95.25" customHeight="1" thickBot="1" x14ac:dyDescent="0.45">
      <c r="A13" s="644"/>
      <c r="B13" s="619"/>
      <c r="C13" s="92" t="s">
        <v>10</v>
      </c>
      <c r="D13" s="468"/>
      <c r="E13" s="411"/>
      <c r="F13" s="411"/>
      <c r="G13" s="469"/>
      <c r="H13" s="411"/>
      <c r="I13" s="469"/>
      <c r="J13" s="470"/>
    </row>
    <row r="14" spans="1:10" ht="95.25" customHeight="1" x14ac:dyDescent="0.4">
      <c r="A14" s="643" t="s">
        <v>1</v>
      </c>
      <c r="B14" s="621">
        <f>B9+1</f>
        <v>46343</v>
      </c>
      <c r="C14" s="90" t="s">
        <v>5</v>
      </c>
      <c r="D14" s="462"/>
      <c r="E14" s="446"/>
      <c r="F14" s="446"/>
      <c r="G14" s="446"/>
      <c r="H14" s="446"/>
      <c r="I14" s="446"/>
      <c r="J14" s="447"/>
    </row>
    <row r="15" spans="1:10" ht="95.25" customHeight="1" x14ac:dyDescent="0.4">
      <c r="A15" s="644"/>
      <c r="B15" s="619"/>
      <c r="C15" s="91" t="s">
        <v>6</v>
      </c>
      <c r="D15" s="463"/>
      <c r="E15" s="448"/>
      <c r="F15" s="400"/>
      <c r="G15" s="400"/>
      <c r="H15" s="400"/>
      <c r="I15" s="400"/>
      <c r="J15" s="403"/>
    </row>
    <row r="16" spans="1:10" ht="95.25" customHeight="1" x14ac:dyDescent="0.4">
      <c r="A16" s="644"/>
      <c r="B16" s="619"/>
      <c r="C16" s="91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1" ht="95.25" customHeight="1" x14ac:dyDescent="0.4">
      <c r="A17" s="644"/>
      <c r="B17" s="619"/>
      <c r="C17" s="91" t="s">
        <v>8</v>
      </c>
      <c r="D17" s="465"/>
      <c r="E17" s="466"/>
      <c r="F17" s="466"/>
      <c r="G17" s="466"/>
      <c r="H17" s="466"/>
      <c r="I17" s="466"/>
      <c r="J17" s="467"/>
    </row>
    <row r="18" spans="1:11" ht="95.25" customHeight="1" thickBot="1" x14ac:dyDescent="0.45">
      <c r="A18" s="645"/>
      <c r="B18" s="619"/>
      <c r="C18" s="92" t="s">
        <v>10</v>
      </c>
      <c r="D18" s="468"/>
      <c r="E18" s="411"/>
      <c r="F18" s="411"/>
      <c r="G18" s="469"/>
      <c r="H18" s="411"/>
      <c r="I18" s="469"/>
      <c r="J18" s="470"/>
      <c r="K18" s="73"/>
    </row>
    <row r="19" spans="1:11" ht="95.25" customHeight="1" x14ac:dyDescent="0.4">
      <c r="A19" s="643" t="s">
        <v>2</v>
      </c>
      <c r="B19" s="621">
        <f>B14+1</f>
        <v>46344</v>
      </c>
      <c r="C19" s="90" t="s">
        <v>5</v>
      </c>
      <c r="D19" s="462"/>
      <c r="E19" s="446"/>
      <c r="F19" s="446"/>
      <c r="G19" s="446"/>
      <c r="H19" s="446"/>
      <c r="I19" s="446"/>
      <c r="J19" s="447"/>
    </row>
    <row r="20" spans="1:11" ht="95.25" customHeight="1" x14ac:dyDescent="0.4">
      <c r="A20" s="644"/>
      <c r="B20" s="619"/>
      <c r="C20" s="91" t="s">
        <v>6</v>
      </c>
      <c r="D20" s="463"/>
      <c r="E20" s="448"/>
      <c r="F20" s="400"/>
      <c r="G20" s="400"/>
      <c r="H20" s="400"/>
      <c r="I20" s="400"/>
      <c r="J20" s="403"/>
    </row>
    <row r="21" spans="1:11" ht="95.25" customHeight="1" x14ac:dyDescent="0.4">
      <c r="A21" s="644"/>
      <c r="B21" s="619"/>
      <c r="C21" s="91" t="s">
        <v>7</v>
      </c>
      <c r="D21" s="651" t="s">
        <v>137</v>
      </c>
      <c r="E21" s="652"/>
      <c r="F21" s="652"/>
      <c r="G21" s="652"/>
      <c r="H21" s="652"/>
      <c r="I21" s="652"/>
      <c r="J21" s="653"/>
      <c r="K21" s="73"/>
    </row>
    <row r="22" spans="1:11" ht="95.25" customHeight="1" x14ac:dyDescent="0.4">
      <c r="A22" s="644"/>
      <c r="B22" s="619"/>
      <c r="C22" s="91" t="s">
        <v>8</v>
      </c>
      <c r="D22" s="465"/>
      <c r="E22" s="466"/>
      <c r="F22" s="466"/>
      <c r="G22" s="466"/>
      <c r="H22" s="466"/>
      <c r="I22" s="466"/>
      <c r="J22" s="467"/>
    </row>
    <row r="23" spans="1:11" ht="95.25" customHeight="1" thickBot="1" x14ac:dyDescent="0.45">
      <c r="A23" s="645"/>
      <c r="B23" s="619"/>
      <c r="C23" s="92" t="s">
        <v>10</v>
      </c>
      <c r="D23" s="468"/>
      <c r="E23" s="411"/>
      <c r="F23" s="411"/>
      <c r="G23" s="469"/>
      <c r="H23" s="411"/>
      <c r="I23" s="469"/>
      <c r="J23" s="470"/>
    </row>
    <row r="24" spans="1:11" ht="95.25" customHeight="1" x14ac:dyDescent="0.4">
      <c r="A24" s="643" t="s">
        <v>3</v>
      </c>
      <c r="B24" s="621">
        <f>B19+1</f>
        <v>46345</v>
      </c>
      <c r="C24" s="46" t="s">
        <v>5</v>
      </c>
      <c r="D24" s="462"/>
      <c r="E24" s="446"/>
      <c r="F24" s="446"/>
      <c r="G24" s="446"/>
      <c r="H24" s="446"/>
      <c r="I24" s="446"/>
      <c r="J24" s="447"/>
    </row>
    <row r="25" spans="1:11" ht="95.25" customHeight="1" x14ac:dyDescent="0.4">
      <c r="A25" s="649"/>
      <c r="B25" s="619"/>
      <c r="C25" s="47" t="s">
        <v>6</v>
      </c>
      <c r="D25" s="463"/>
      <c r="E25" s="448"/>
      <c r="F25" s="400"/>
      <c r="G25" s="400"/>
      <c r="H25" s="400"/>
      <c r="I25" s="400"/>
      <c r="J25" s="403"/>
    </row>
    <row r="26" spans="1:11" ht="95.25" customHeight="1" x14ac:dyDescent="0.4">
      <c r="A26" s="649"/>
      <c r="B26" s="619"/>
      <c r="C26" s="47" t="s">
        <v>7</v>
      </c>
      <c r="D26" s="651" t="s">
        <v>137</v>
      </c>
      <c r="E26" s="652"/>
      <c r="F26" s="652"/>
      <c r="G26" s="652"/>
      <c r="H26" s="652"/>
      <c r="I26" s="652"/>
      <c r="J26" s="653"/>
    </row>
    <row r="27" spans="1:11" ht="95.25" customHeight="1" x14ac:dyDescent="0.4">
      <c r="A27" s="649"/>
      <c r="B27" s="619"/>
      <c r="C27" s="47" t="s">
        <v>8</v>
      </c>
      <c r="D27" s="465"/>
      <c r="E27" s="466"/>
      <c r="F27" s="466"/>
      <c r="G27" s="466"/>
      <c r="H27" s="466"/>
      <c r="I27" s="466"/>
      <c r="J27" s="467"/>
    </row>
    <row r="28" spans="1:11" ht="95.25" customHeight="1" thickBot="1" x14ac:dyDescent="0.45">
      <c r="A28" s="650"/>
      <c r="B28" s="619"/>
      <c r="C28" s="48" t="s">
        <v>10</v>
      </c>
      <c r="D28" s="468"/>
      <c r="E28" s="411"/>
      <c r="F28" s="411"/>
      <c r="G28" s="469"/>
      <c r="H28" s="411"/>
      <c r="I28" s="469"/>
      <c r="J28" s="470"/>
    </row>
    <row r="29" spans="1:11" ht="95.25" customHeight="1" x14ac:dyDescent="0.4">
      <c r="A29" s="643" t="s">
        <v>4</v>
      </c>
      <c r="B29" s="621">
        <f>B24+1</f>
        <v>46346</v>
      </c>
      <c r="C29" s="46" t="s">
        <v>5</v>
      </c>
      <c r="D29" s="462"/>
      <c r="E29" s="446"/>
      <c r="F29" s="446"/>
      <c r="G29" s="446"/>
      <c r="H29" s="446"/>
      <c r="I29" s="446"/>
      <c r="J29" s="447"/>
    </row>
    <row r="30" spans="1:11" ht="95.25" customHeight="1" x14ac:dyDescent="0.4">
      <c r="A30" s="644"/>
      <c r="B30" s="619"/>
      <c r="C30" s="47" t="s">
        <v>6</v>
      </c>
      <c r="D30" s="463"/>
      <c r="E30" s="448"/>
      <c r="F30" s="400"/>
      <c r="G30" s="400"/>
      <c r="H30" s="400"/>
      <c r="I30" s="400"/>
      <c r="J30" s="403"/>
    </row>
    <row r="31" spans="1:11" ht="95.25" customHeight="1" x14ac:dyDescent="0.4">
      <c r="A31" s="644"/>
      <c r="B31" s="619"/>
      <c r="C31" s="47" t="s">
        <v>7</v>
      </c>
      <c r="D31" s="651" t="s">
        <v>137</v>
      </c>
      <c r="E31" s="652"/>
      <c r="F31" s="652"/>
      <c r="G31" s="652"/>
      <c r="H31" s="652"/>
      <c r="I31" s="652"/>
      <c r="J31" s="653"/>
    </row>
    <row r="32" spans="1:11" ht="95.25" customHeight="1" x14ac:dyDescent="0.4">
      <c r="A32" s="644"/>
      <c r="B32" s="619"/>
      <c r="C32" s="47" t="s">
        <v>8</v>
      </c>
      <c r="D32" s="465"/>
      <c r="E32" s="466"/>
      <c r="F32" s="466"/>
      <c r="G32" s="466"/>
      <c r="H32" s="466"/>
      <c r="I32" s="466"/>
      <c r="J32" s="467"/>
    </row>
    <row r="33" spans="1:10" ht="95.25" customHeight="1" thickBot="1" x14ac:dyDescent="0.45">
      <c r="A33" s="645"/>
      <c r="B33" s="619"/>
      <c r="C33" s="48" t="s">
        <v>10</v>
      </c>
      <c r="D33" s="468"/>
      <c r="E33" s="411"/>
      <c r="F33" s="411"/>
      <c r="G33" s="469"/>
      <c r="H33" s="411"/>
      <c r="I33" s="469"/>
      <c r="J33" s="470"/>
    </row>
    <row r="34" spans="1:10" ht="95.25" customHeight="1" x14ac:dyDescent="0.4">
      <c r="A34" s="630" t="s">
        <v>12</v>
      </c>
      <c r="B34" s="668">
        <f>B29+1</f>
        <v>46347</v>
      </c>
      <c r="C34" s="349" t="s">
        <v>5</v>
      </c>
      <c r="D34" s="462"/>
      <c r="E34" s="446"/>
      <c r="F34" s="446"/>
      <c r="G34" s="446"/>
      <c r="H34" s="446"/>
      <c r="I34" s="446"/>
      <c r="J34" s="447"/>
    </row>
    <row r="35" spans="1:10" ht="95.25" customHeight="1" x14ac:dyDescent="0.4">
      <c r="A35" s="630"/>
      <c r="B35" s="669"/>
      <c r="C35" s="350" t="s">
        <v>6</v>
      </c>
      <c r="D35" s="463"/>
      <c r="E35" s="448"/>
      <c r="F35" s="400"/>
      <c r="G35" s="400"/>
      <c r="H35" s="400"/>
      <c r="I35" s="400"/>
      <c r="J35" s="403"/>
    </row>
    <row r="36" spans="1:10" ht="95.25" customHeight="1" x14ac:dyDescent="0.4">
      <c r="A36" s="630"/>
      <c r="B36" s="669"/>
      <c r="C36" s="350" t="s">
        <v>7</v>
      </c>
      <c r="D36" s="651" t="s">
        <v>137</v>
      </c>
      <c r="E36" s="652"/>
      <c r="F36" s="652"/>
      <c r="G36" s="652"/>
      <c r="H36" s="652"/>
      <c r="I36" s="652"/>
      <c r="J36" s="653"/>
    </row>
    <row r="37" spans="1:10" ht="95.25" customHeight="1" x14ac:dyDescent="0.4">
      <c r="A37" s="630"/>
      <c r="B37" s="669"/>
      <c r="C37" s="350" t="s">
        <v>8</v>
      </c>
      <c r="D37" s="465"/>
      <c r="E37" s="466"/>
      <c r="F37" s="466"/>
      <c r="G37" s="466"/>
      <c r="H37" s="466"/>
      <c r="I37" s="466"/>
      <c r="J37" s="467"/>
    </row>
    <row r="38" spans="1:10" ht="95.25" customHeight="1" thickBot="1" x14ac:dyDescent="0.45">
      <c r="A38" s="631"/>
      <c r="B38" s="670"/>
      <c r="C38" s="351" t="s">
        <v>10</v>
      </c>
      <c r="D38" s="468"/>
      <c r="E38" s="411"/>
      <c r="F38" s="411"/>
      <c r="G38" s="469"/>
      <c r="H38" s="411"/>
      <c r="I38" s="469"/>
      <c r="J38" s="470"/>
    </row>
    <row r="39" spans="1:10" ht="27.75" x14ac:dyDescent="0.4">
      <c r="D39" s="136" t="s">
        <v>51</v>
      </c>
    </row>
    <row r="40" spans="1:10" x14ac:dyDescent="0.4">
      <c r="C40" s="55" t="str">
        <f>'01.09'!C40</f>
        <v>*Л. Основы медицинских знаний и спортивная медицина*</v>
      </c>
      <c r="D40" s="62">
        <f>'09.11'!D40+COUNTIF(D$9:D$38,$C40)</f>
        <v>8</v>
      </c>
      <c r="E40" s="62">
        <f>'09.11'!E40+COUNTIF(E$9:E$38,$C40)</f>
        <v>8</v>
      </c>
      <c r="F40" s="62">
        <f>'09.11'!F40+COUNTIF(F$9:F$38,$C40)</f>
        <v>8</v>
      </c>
      <c r="G40" s="62">
        <f>'09.11'!G40+COUNTIF(G$9:G$38,$C40)</f>
        <v>8</v>
      </c>
      <c r="H40" s="62">
        <f>'09.11'!H40+COUNTIF(H$9:H$38,$C40)</f>
        <v>8</v>
      </c>
      <c r="I40" s="62">
        <f>'09.11'!I40+COUNTIF(I$9:I$38,$C40)</f>
        <v>8</v>
      </c>
      <c r="J40" s="62">
        <f>'09.11'!J40+COUNTIF(J$9:J$38,$C40)</f>
        <v>8</v>
      </c>
    </row>
    <row r="41" spans="1:10" x14ac:dyDescent="0.4">
      <c r="C41" s="55" t="str">
        <f>'01.09'!C41</f>
        <v>*Пр. Основы медицинских знаний и спортивная медицина*</v>
      </c>
      <c r="D41" s="62">
        <f>'09.11'!D41+COUNTIF(D$9:D$38,$C41)</f>
        <v>14</v>
      </c>
      <c r="E41" s="62">
        <f>'09.11'!E41+COUNTIF(E$9:E$38,$C41)</f>
        <v>14</v>
      </c>
      <c r="F41" s="62">
        <f>'09.11'!F41+COUNTIF(F$9:F$38,$C41)</f>
        <v>13</v>
      </c>
      <c r="G41" s="62">
        <f>'09.11'!G41+COUNTIF(G$9:G$38,$C41)</f>
        <v>9</v>
      </c>
      <c r="H41" s="62">
        <f>'09.11'!H41+COUNTIF(H$9:H$38,$C41)</f>
        <v>14</v>
      </c>
      <c r="I41" s="62">
        <f>'09.11'!I41+COUNTIF(I$9:I$38,$C41)</f>
        <v>13</v>
      </c>
      <c r="J41" s="62">
        <f>'09.11'!J41+COUNTIF(J$9:J$38,$C41)</f>
        <v>13</v>
      </c>
    </row>
    <row r="42" spans="1:10" x14ac:dyDescent="0.4">
      <c r="C42" s="55" t="str">
        <f>'01.09'!C42</f>
        <v>*Л. Массаж*</v>
      </c>
      <c r="D42" s="62">
        <f>'09.11'!D42+COUNTIF(D$9:D$38,$C42)</f>
        <v>5</v>
      </c>
      <c r="E42" s="62">
        <f>'09.11'!E42+COUNTIF(E$9:E$38,$C42)</f>
        <v>5</v>
      </c>
      <c r="F42" s="62">
        <f>'09.11'!F42+COUNTIF(F$9:F$38,$C42)</f>
        <v>5</v>
      </c>
      <c r="G42" s="62">
        <f>'09.11'!G42+COUNTIF(G$9:G$38,$C42)</f>
        <v>5</v>
      </c>
      <c r="H42" s="62">
        <f>'09.11'!H42+COUNTIF(H$9:H$38,$C42)</f>
        <v>5</v>
      </c>
      <c r="I42" s="62">
        <f>'09.11'!I42+COUNTIF(I$9:I$38,$C42)</f>
        <v>5</v>
      </c>
      <c r="J42" s="62">
        <f>'09.11'!J42+COUNTIF(J$9:J$38,$C42)</f>
        <v>5</v>
      </c>
    </row>
    <row r="43" spans="1:10" x14ac:dyDescent="0.4">
      <c r="C43" s="55" t="str">
        <f>'01.09'!C43</f>
        <v>*Пр. Массаж*</v>
      </c>
      <c r="D43" s="62">
        <f>'09.11'!D43+COUNTIF(D$9:D$38,$C43)</f>
        <v>13</v>
      </c>
      <c r="E43" s="62">
        <f>'09.11'!E43+COUNTIF(E$9:E$38,$C43)</f>
        <v>13</v>
      </c>
      <c r="F43" s="62">
        <f>'09.11'!F43+COUNTIF(F$9:F$38,$C43)</f>
        <v>13</v>
      </c>
      <c r="G43" s="62">
        <f>'09.11'!G43+COUNTIF(G$9:G$38,$C43)</f>
        <v>14</v>
      </c>
      <c r="H43" s="62">
        <f>'09.11'!H43+COUNTIF(H$9:H$38,$C43)</f>
        <v>14</v>
      </c>
      <c r="I43" s="62">
        <f>'09.11'!I43+COUNTIF(I$9:I$38,$C43)</f>
        <v>14</v>
      </c>
      <c r="J43" s="62">
        <f>'09.11'!J43+COUNTIF(J$9:J$38,$C43)</f>
        <v>14</v>
      </c>
    </row>
    <row r="44" spans="1:10" x14ac:dyDescent="0.4">
      <c r="C44" s="55" t="str">
        <f>'01.09'!C44</f>
        <v>*Л. Правовые основы профессиональной деятельности*</v>
      </c>
      <c r="D44" s="62">
        <f>'09.11'!D44+COUNTIF(D$9:D$38,$C44)</f>
        <v>5</v>
      </c>
      <c r="E44" s="62">
        <f>'09.11'!E44+COUNTIF(E$9:E$38,$C44)</f>
        <v>5</v>
      </c>
      <c r="F44" s="62">
        <f>'09.11'!F44+COUNTIF(F$9:F$38,$C44)</f>
        <v>5</v>
      </c>
      <c r="G44" s="62">
        <f>'09.11'!G44+COUNTIF(G$9:G$38,$C44)</f>
        <v>5</v>
      </c>
      <c r="H44" s="62">
        <f>'09.11'!H44+COUNTIF(H$9:H$38,$C44)</f>
        <v>5</v>
      </c>
      <c r="I44" s="62">
        <f>'09.11'!I44+COUNTIF(I$9:I$38,$C44)</f>
        <v>5</v>
      </c>
      <c r="J44" s="62">
        <f>'09.11'!J44+COUNTIF(J$9:J$38,$C44)</f>
        <v>5</v>
      </c>
    </row>
    <row r="45" spans="1:10" x14ac:dyDescent="0.4">
      <c r="C45" s="55" t="str">
        <f>'01.09'!C45</f>
        <v>*Пр. Правовые основы профессиональной деятельности*</v>
      </c>
      <c r="D45" s="62">
        <f>'09.11'!D45+COUNTIF(D$9:D$38,$C45)</f>
        <v>7</v>
      </c>
      <c r="E45" s="62">
        <f>'09.11'!E45+COUNTIF(E$9:E$38,$C45)</f>
        <v>8</v>
      </c>
      <c r="F45" s="62">
        <f>'09.11'!F45+COUNTIF(F$9:F$38,$C45)</f>
        <v>7</v>
      </c>
      <c r="G45" s="62">
        <f>'09.11'!G45+COUNTIF(G$9:G$38,$C45)</f>
        <v>7</v>
      </c>
      <c r="H45" s="62">
        <f>'09.11'!H45+COUNTIF(H$9:H$38,$C45)</f>
        <v>7</v>
      </c>
      <c r="I45" s="62">
        <f>'09.11'!I45+COUNTIF(I$9:I$38,$C45)</f>
        <v>6</v>
      </c>
      <c r="J45" s="62">
        <f>'09.11'!J45+COUNTIF(J$9:J$38,$C45)</f>
        <v>7</v>
      </c>
    </row>
    <row r="46" spans="1:10" x14ac:dyDescent="0.4">
      <c r="C46" s="55" t="str">
        <f>'01.09'!C46</f>
        <v>*Л. Теория и методика*</v>
      </c>
      <c r="D46" s="62">
        <f>'09.11'!D46+COUNTIF(D$9:D$38,$C46)</f>
        <v>4</v>
      </c>
      <c r="E46" s="62">
        <f>'09.11'!E46+COUNTIF(E$9:E$38,$C46)</f>
        <v>4</v>
      </c>
      <c r="F46" s="62">
        <f>'09.11'!F46+COUNTIF(F$9:F$38,$C46)</f>
        <v>4</v>
      </c>
      <c r="G46" s="62">
        <f>'09.11'!G46+COUNTIF(G$9:G$38,$C46)</f>
        <v>4</v>
      </c>
      <c r="H46" s="62">
        <f>'09.11'!H46+COUNTIF(H$9:H$38,$C46)</f>
        <v>4</v>
      </c>
      <c r="I46" s="62">
        <f>'09.11'!I46+COUNTIF(I$9:I$38,$C46)</f>
        <v>4</v>
      </c>
      <c r="J46" s="62">
        <f>'09.11'!J46+COUNTIF(J$9:J$38,$C46)</f>
        <v>4</v>
      </c>
    </row>
    <row r="47" spans="1:10" x14ac:dyDescent="0.4">
      <c r="C47" s="55" t="str">
        <f>'01.09'!C47</f>
        <v>*Пр. Теория и методика*</v>
      </c>
      <c r="D47" s="62">
        <f>'09.11'!D47+COUNTIF(D$9:D$38,$C47)</f>
        <v>30</v>
      </c>
      <c r="E47" s="62">
        <f>'09.11'!E47+COUNTIF(E$9:E$38,$C47)</f>
        <v>30</v>
      </c>
      <c r="F47" s="62">
        <f>'09.11'!F47+COUNTIF(F$9:F$38,$C47)</f>
        <v>31</v>
      </c>
      <c r="G47" s="62">
        <f>'09.11'!G47+COUNTIF(G$9:G$38,$C47)</f>
        <v>35</v>
      </c>
      <c r="H47" s="62">
        <f>'09.11'!H47+COUNTIF(H$9:H$38,$C47)</f>
        <v>35</v>
      </c>
      <c r="I47" s="62">
        <f>'09.11'!I47+COUNTIF(I$9:I$38,$C47)</f>
        <v>37</v>
      </c>
      <c r="J47" s="62">
        <f>'09.11'!J47+COUNTIF(J$9:J$38,$C47)</f>
        <v>37</v>
      </c>
    </row>
    <row r="48" spans="1:10" x14ac:dyDescent="0.4">
      <c r="C48" s="55" t="str">
        <f>'01.09'!C48</f>
        <v>*Л. Спортивная метрология*</v>
      </c>
      <c r="D48" s="62">
        <f>'09.11'!D48+COUNTIF(D$9:D$38,$C48)</f>
        <v>5</v>
      </c>
      <c r="E48" s="62">
        <f>'09.11'!E48+COUNTIF(E$9:E$38,$C48)</f>
        <v>5</v>
      </c>
      <c r="F48" s="62">
        <f>'09.11'!F48+COUNTIF(F$9:F$38,$C48)</f>
        <v>5</v>
      </c>
      <c r="G48" s="62">
        <f>'09.11'!G48+COUNTIF(G$9:G$38,$C48)</f>
        <v>5</v>
      </c>
      <c r="H48" s="62">
        <f>'09.11'!H48+COUNTIF(H$9:H$38,$C48)</f>
        <v>5</v>
      </c>
      <c r="I48" s="62">
        <f>'09.11'!I48+COUNTIF(I$9:I$38,$C48)</f>
        <v>5</v>
      </c>
      <c r="J48" s="62">
        <f>'09.11'!J48+COUNTIF(J$9:J$38,$C48)</f>
        <v>5</v>
      </c>
    </row>
    <row r="49" spans="3:10" x14ac:dyDescent="0.4">
      <c r="C49" s="55" t="str">
        <f>'01.09'!C49</f>
        <v>*Пр. Спортивная метрология*</v>
      </c>
      <c r="D49" s="62">
        <f>'09.11'!D49+COUNTIF(D$9:D$38,$C49)</f>
        <v>7</v>
      </c>
      <c r="E49" s="62">
        <f>'09.11'!E49+COUNTIF(E$9:E$38,$C49)</f>
        <v>7</v>
      </c>
      <c r="F49" s="62">
        <f>'09.11'!F49+COUNTIF(F$9:F$38,$C49)</f>
        <v>7</v>
      </c>
      <c r="G49" s="62">
        <f>'09.11'!G49+COUNTIF(G$9:G$38,$C49)</f>
        <v>7</v>
      </c>
      <c r="H49" s="62">
        <f>'09.11'!H49+COUNTIF(H$9:H$38,$C49)</f>
        <v>7</v>
      </c>
      <c r="I49" s="62">
        <f>'09.11'!I49+COUNTIF(I$9:I$38,$C49)</f>
        <v>7</v>
      </c>
      <c r="J49" s="62">
        <f>'09.11'!J49+COUNTIF(J$9:J$38,$C49)</f>
        <v>7</v>
      </c>
    </row>
    <row r="50" spans="3:10" x14ac:dyDescent="0.4">
      <c r="C50" s="55" t="str">
        <f>'01.09'!C50</f>
        <v>*Л.  Теория и методика циклических и сложнокоординационных*</v>
      </c>
      <c r="D50" s="62">
        <f>'09.11'!D50+COUNTIF(D$9:D$38,$C50)</f>
        <v>0</v>
      </c>
      <c r="E50" s="62">
        <f>'09.11'!E50+COUNTIF(E$9:E$38,$C50)</f>
        <v>0</v>
      </c>
      <c r="F50" s="62">
        <f>'09.11'!F50+COUNTIF(F$9:F$38,$C50)</f>
        <v>0</v>
      </c>
      <c r="G50" s="62">
        <f>'09.11'!G50+COUNTIF(G$9:G$38,$C50)</f>
        <v>0</v>
      </c>
      <c r="H50" s="62">
        <f>'09.11'!H50+COUNTIF(H$9:H$38,$C50)</f>
        <v>4</v>
      </c>
      <c r="I50" s="62">
        <f>'09.11'!I50+COUNTIF(I$9:I$38,$C50)</f>
        <v>0</v>
      </c>
      <c r="J50" s="62">
        <f>'09.11'!J50+COUNTIF(J$9:J$38,$C50)</f>
        <v>0</v>
      </c>
    </row>
    <row r="51" spans="3:10" x14ac:dyDescent="0.4">
      <c r="C51" s="55" t="str">
        <f>'01.09'!C51</f>
        <v>*Пр.  Теория и методика циклических и сложнокоординационных*</v>
      </c>
      <c r="D51" s="62">
        <f>'09.11'!D51+COUNTIF(D$9:D$38,$C51)</f>
        <v>0</v>
      </c>
      <c r="E51" s="62">
        <f>'09.11'!E51+COUNTIF(E$9:E$38,$C51)</f>
        <v>0</v>
      </c>
      <c r="F51" s="62">
        <f>'09.11'!F51+COUNTIF(F$9:F$38,$C51)</f>
        <v>0</v>
      </c>
      <c r="G51" s="62">
        <f>'09.11'!G51+COUNTIF(G$9:G$38,$C51)</f>
        <v>0</v>
      </c>
      <c r="H51" s="62">
        <f>'09.11'!H51+COUNTIF(H$9:H$38,$C51)</f>
        <v>39</v>
      </c>
      <c r="I51" s="62">
        <f>'09.11'!I51+COUNTIF(I$9:I$38,$C51)</f>
        <v>0</v>
      </c>
      <c r="J51" s="62">
        <f>'09.11'!J51+COUNTIF(J$9:J$38,$C51)</f>
        <v>0</v>
      </c>
    </row>
    <row r="52" spans="3:10" x14ac:dyDescent="0.4">
      <c r="C52" s="55">
        <f>'01.09'!C52</f>
        <v>0</v>
      </c>
      <c r="D52" s="62">
        <f>'09.11'!D52+COUNTIF(D$9:D$38,$C52)</f>
        <v>0</v>
      </c>
      <c r="E52" s="62">
        <f>'09.11'!E52+COUNTIF(E$9:E$38,$C52)</f>
        <v>0</v>
      </c>
      <c r="F52" s="62">
        <f>'09.11'!F52+COUNTIF(F$9:F$38,$C52)</f>
        <v>0</v>
      </c>
      <c r="G52" s="62">
        <f>'09.11'!G52+COUNTIF(G$9:G$38,$C52)</f>
        <v>0</v>
      </c>
      <c r="H52" s="62">
        <f>'09.11'!H52+COUNTIF(H$9:H$38,$C52)</f>
        <v>0</v>
      </c>
      <c r="I52" s="62">
        <f>'09.11'!I52+COUNTIF(I$9:I$38,$C52)</f>
        <v>0</v>
      </c>
      <c r="J52" s="62">
        <f>'09.11'!J52+COUNTIF(J$9:J$38,$C52)</f>
        <v>0</v>
      </c>
    </row>
    <row r="53" spans="3:10" x14ac:dyDescent="0.4">
      <c r="C53" s="55">
        <f>'01.09'!C53</f>
        <v>0</v>
      </c>
      <c r="D53" s="62">
        <f>'09.11'!D53+COUNTIF(D$9:D$38,$C53)</f>
        <v>0</v>
      </c>
      <c r="E53" s="62">
        <f>'09.11'!E53+COUNTIF(E$9:E$38,$C53)</f>
        <v>0</v>
      </c>
      <c r="F53" s="62">
        <f>'09.11'!F53+COUNTIF(F$9:F$38,$C53)</f>
        <v>0</v>
      </c>
      <c r="G53" s="62">
        <f>'09.11'!G53+COUNTIF(G$9:G$38,$C53)</f>
        <v>0</v>
      </c>
      <c r="H53" s="62">
        <f>'09.11'!H53+COUNTIF(H$9:H$38,$C53)</f>
        <v>0</v>
      </c>
      <c r="I53" s="62">
        <f>'09.11'!I53+COUNTIF(I$9:I$38,$C53)</f>
        <v>0</v>
      </c>
      <c r="J53" s="62">
        <f>'09.11'!J53+COUNTIF(J$9:J$38,$C53)</f>
        <v>0</v>
      </c>
    </row>
    <row r="54" spans="3:10" x14ac:dyDescent="0.4">
      <c r="C54" s="55">
        <f>'01.09'!C54</f>
        <v>0</v>
      </c>
      <c r="D54" s="62">
        <f>'09.11'!D54+COUNTIF(D$9:D$38,$C54)</f>
        <v>0</v>
      </c>
      <c r="E54" s="62">
        <f>'09.11'!E54+COUNTIF(E$9:E$38,$C54)</f>
        <v>0</v>
      </c>
      <c r="F54" s="62">
        <f>'09.11'!F54+COUNTIF(F$9:F$38,$C54)</f>
        <v>0</v>
      </c>
      <c r="G54" s="62">
        <f>'09.11'!G54+COUNTIF(G$9:G$38,$C54)</f>
        <v>0</v>
      </c>
      <c r="H54" s="62">
        <f>'09.11'!H54+COUNTIF(H$9:H$38,$C54)</f>
        <v>0</v>
      </c>
      <c r="I54" s="62">
        <f>'09.11'!I54+COUNTIF(I$9:I$38,$C54)</f>
        <v>0</v>
      </c>
      <c r="J54" s="62">
        <f>'09.11'!J54+COUNTIF(J$9:J$38,$C54)</f>
        <v>0</v>
      </c>
    </row>
    <row r="55" spans="3:10" x14ac:dyDescent="0.4">
      <c r="C55" s="55">
        <f>'01.09'!C55</f>
        <v>0</v>
      </c>
      <c r="D55" s="62">
        <f>'09.11'!D55+COUNTIF(D$9:D$38,$C55)</f>
        <v>0</v>
      </c>
      <c r="E55" s="62">
        <f>'09.11'!E55+COUNTIF(E$9:E$38,$C55)</f>
        <v>0</v>
      </c>
      <c r="F55" s="62">
        <f>'09.11'!F55+COUNTIF(F$9:F$38,$C55)</f>
        <v>0</v>
      </c>
      <c r="G55" s="62">
        <f>'09.11'!G55+COUNTIF(G$9:G$38,$C55)</f>
        <v>0</v>
      </c>
      <c r="H55" s="62">
        <f>'09.11'!H55+COUNTIF(H$9:H$38,$C55)</f>
        <v>0</v>
      </c>
      <c r="I55" s="62">
        <f>'09.11'!I55+COUNTIF(I$9:I$38,$C55)</f>
        <v>0</v>
      </c>
      <c r="J55" s="62">
        <f>'09.11'!J55+COUNTIF(J$9:J$38,$C55)</f>
        <v>0</v>
      </c>
    </row>
    <row r="56" spans="3:10" x14ac:dyDescent="0.4">
      <c r="C56" s="55">
        <f>'01.09'!C56</f>
        <v>0</v>
      </c>
      <c r="D56" s="62">
        <f>'09.11'!D56+COUNTIF(D$9:D$38,$C56)</f>
        <v>0</v>
      </c>
      <c r="E56" s="62">
        <f>'09.11'!E56+COUNTIF(E$9:E$38,$C56)</f>
        <v>0</v>
      </c>
      <c r="F56" s="62">
        <f>'09.11'!F56+COUNTIF(F$9:F$38,$C56)</f>
        <v>0</v>
      </c>
      <c r="G56" s="62">
        <f>'09.11'!G56+COUNTIF(G$9:G$38,$C56)</f>
        <v>0</v>
      </c>
      <c r="H56" s="62">
        <f>'09.11'!H56+COUNTIF(H$9:H$38,$C56)</f>
        <v>0</v>
      </c>
      <c r="I56" s="62">
        <f>'09.11'!I56+COUNTIF(I$9:I$38,$C56)</f>
        <v>0</v>
      </c>
      <c r="J56" s="62">
        <f>'09.11'!J56+COUNTIF(J$9:J$38,$C56)</f>
        <v>0</v>
      </c>
    </row>
    <row r="57" spans="3:10" x14ac:dyDescent="0.4">
      <c r="C57" s="55">
        <f>'01.09'!C57</f>
        <v>0</v>
      </c>
      <c r="D57" s="62">
        <f>'09.11'!D57+COUNTIF(D$9:D$38,$C57)</f>
        <v>0</v>
      </c>
      <c r="E57" s="62">
        <f>'09.11'!E57+COUNTIF(E$9:E$38,$C57)</f>
        <v>0</v>
      </c>
      <c r="F57" s="62">
        <f>'09.11'!F57+COUNTIF(F$9:F$38,$C57)</f>
        <v>0</v>
      </c>
      <c r="G57" s="62">
        <f>'09.11'!G57+COUNTIF(G$9:G$38,$C57)</f>
        <v>0</v>
      </c>
      <c r="H57" s="62">
        <f>'09.11'!H57+COUNTIF(H$9:H$38,$C57)</f>
        <v>0</v>
      </c>
      <c r="I57" s="62">
        <f>'09.11'!I57+COUNTIF(I$9:I$38,$C57)</f>
        <v>0</v>
      </c>
      <c r="J57" s="62">
        <f>'09.11'!J57+COUNTIF(J$9:J$38,$C57)</f>
        <v>0</v>
      </c>
    </row>
    <row r="58" spans="3:10" x14ac:dyDescent="0.4">
      <c r="C58" s="55">
        <f>'01.09'!C58</f>
        <v>0</v>
      </c>
      <c r="D58" s="62">
        <f>'09.11'!D58+COUNTIF(D$9:D$38,$C58)</f>
        <v>0</v>
      </c>
      <c r="E58" s="62">
        <f>'09.11'!E58+COUNTIF(E$9:E$38,$C58)</f>
        <v>0</v>
      </c>
      <c r="F58" s="62">
        <f>'09.11'!F58+COUNTIF(F$9:F$38,$C58)</f>
        <v>0</v>
      </c>
      <c r="G58" s="62">
        <f>'09.11'!G58+COUNTIF(G$9:G$38,$C58)</f>
        <v>0</v>
      </c>
      <c r="H58" s="62">
        <f>'09.11'!H58+COUNTIF(H$9:H$38,$C58)</f>
        <v>0</v>
      </c>
      <c r="I58" s="62">
        <f>'09.11'!I58+COUNTIF(I$9:I$38,$C58)</f>
        <v>0</v>
      </c>
      <c r="J58" s="62">
        <f>'09.11'!J58+COUNTIF(J$9:J$38,$C58)</f>
        <v>0</v>
      </c>
    </row>
    <row r="59" spans="3:10" x14ac:dyDescent="0.4">
      <c r="C59" s="55">
        <f>'01.09'!C59</f>
        <v>0</v>
      </c>
      <c r="D59" s="62">
        <f>'09.11'!D59+COUNTIF(D$9:D$38,$C59)</f>
        <v>0</v>
      </c>
      <c r="E59" s="62">
        <f>'09.11'!E59+COUNTIF(E$9:E$38,$C59)</f>
        <v>0</v>
      </c>
      <c r="F59" s="62">
        <f>'09.11'!F59+COUNTIF(F$9:F$38,$C59)</f>
        <v>0</v>
      </c>
      <c r="G59" s="62">
        <f>'09.11'!G59+COUNTIF(G$9:G$38,$C59)</f>
        <v>0</v>
      </c>
      <c r="H59" s="62">
        <f>'09.11'!H59+COUNTIF(H$9:H$38,$C59)</f>
        <v>0</v>
      </c>
      <c r="I59" s="62">
        <f>'09.11'!I59+COUNTIF(I$9:I$38,$C59)</f>
        <v>0</v>
      </c>
      <c r="J59" s="62">
        <f>'09.11'!J59+COUNTIF(J$9:J$38,$C59)</f>
        <v>0</v>
      </c>
    </row>
    <row r="60" spans="3:10" x14ac:dyDescent="0.4">
      <c r="C60" s="55">
        <f>'01.09'!C60</f>
        <v>0</v>
      </c>
      <c r="D60" s="62">
        <f>'09.11'!D60+COUNTIF(D$9:D$38,$C60)</f>
        <v>0</v>
      </c>
      <c r="E60" s="62">
        <f>'09.11'!E60+COUNTIF(E$9:E$38,$C60)</f>
        <v>0</v>
      </c>
      <c r="F60" s="62">
        <f>'09.11'!F60+COUNTIF(F$9:F$38,$C60)</f>
        <v>0</v>
      </c>
      <c r="G60" s="62">
        <f>'09.11'!G60+COUNTIF(G$9:G$38,$C60)</f>
        <v>0</v>
      </c>
      <c r="H60" s="62">
        <f>'09.11'!H60+COUNTIF(H$9:H$38,$C60)</f>
        <v>0</v>
      </c>
      <c r="I60" s="62">
        <f>'09.11'!I60+COUNTIF(I$9:I$38,$C60)</f>
        <v>0</v>
      </c>
      <c r="J60" s="62">
        <f>'09.11'!J60+COUNTIF(J$9:J$38,$C60)</f>
        <v>0</v>
      </c>
    </row>
    <row r="61" spans="3:10" x14ac:dyDescent="0.4">
      <c r="C61" s="55">
        <f>'01.09'!C61</f>
        <v>0</v>
      </c>
      <c r="D61" s="62">
        <f>'09.11'!D61+COUNTIF(D$9:D$38,$C61)</f>
        <v>0</v>
      </c>
      <c r="E61" s="62">
        <f>'09.11'!E61+COUNTIF(E$9:E$38,$C61)</f>
        <v>0</v>
      </c>
      <c r="F61" s="62">
        <f>'09.11'!F61+COUNTIF(F$9:F$38,$C61)</f>
        <v>0</v>
      </c>
      <c r="G61" s="62">
        <f>'09.11'!G61+COUNTIF(G$9:G$38,$C61)</f>
        <v>0</v>
      </c>
      <c r="H61" s="62">
        <f>'09.11'!H61+COUNTIF(H$9:H$38,$C61)</f>
        <v>0</v>
      </c>
      <c r="I61" s="62">
        <f>'09.11'!I61+COUNTIF(I$9:I$38,$C61)</f>
        <v>0</v>
      </c>
      <c r="J61" s="62">
        <f>'09.11'!J61+COUNTIF(J$9:J$38,$C61)</f>
        <v>0</v>
      </c>
    </row>
    <row r="62" spans="3:10" x14ac:dyDescent="0.4">
      <c r="C62" s="55">
        <f>'01.09'!C62</f>
        <v>0</v>
      </c>
      <c r="D62" s="62">
        <f>'09.11'!D62+COUNTIF(D$9:D$38,$C62)</f>
        <v>0</v>
      </c>
      <c r="E62" s="62">
        <f>'09.11'!E62+COUNTIF(E$9:E$38,$C62)</f>
        <v>0</v>
      </c>
      <c r="F62" s="62">
        <f>'09.11'!F62+COUNTIF(F$9:F$38,$C62)</f>
        <v>0</v>
      </c>
      <c r="G62" s="62">
        <f>'09.11'!G62+COUNTIF(G$9:G$38,$C62)</f>
        <v>0</v>
      </c>
      <c r="H62" s="62">
        <f>'09.11'!H62+COUNTIF(H$9:H$38,$C62)</f>
        <v>0</v>
      </c>
      <c r="I62" s="62">
        <f>'09.11'!I62+COUNTIF(I$9:I$38,$C62)</f>
        <v>0</v>
      </c>
      <c r="J62" s="62">
        <f>'09.11'!J62+COUNTIF(J$9:J$38,$C62)</f>
        <v>0</v>
      </c>
    </row>
    <row r="63" spans="3:10" x14ac:dyDescent="0.4">
      <c r="C63" s="55">
        <f>'01.09'!C63</f>
        <v>0</v>
      </c>
      <c r="D63" s="62">
        <f>'09.11'!D63+COUNTIF(D$9:D$38,$C63)</f>
        <v>0</v>
      </c>
      <c r="E63" s="62">
        <f>'09.11'!E63+COUNTIF(E$9:E$38,$C63)</f>
        <v>0</v>
      </c>
      <c r="F63" s="62">
        <f>'09.11'!F63+COUNTIF(F$9:F$38,$C63)</f>
        <v>0</v>
      </c>
      <c r="G63" s="62">
        <f>'09.11'!G63+COUNTIF(G$9:G$38,$C63)</f>
        <v>0</v>
      </c>
      <c r="H63" s="62">
        <f>'09.11'!H63+COUNTIF(H$9:H$38,$C63)</f>
        <v>0</v>
      </c>
      <c r="I63" s="62">
        <f>'09.11'!I63+COUNTIF(I$9:I$38,$C63)</f>
        <v>0</v>
      </c>
      <c r="J63" s="62">
        <f>'09.11'!J63+COUNTIF(J$9:J$38,$C63)</f>
        <v>0</v>
      </c>
    </row>
    <row r="64" spans="3:10" x14ac:dyDescent="0.4">
      <c r="C64" s="55">
        <f>'01.09'!C64</f>
        <v>0</v>
      </c>
      <c r="D64" s="62">
        <f>'09.11'!D64+COUNTIF(D$9:D$38,$C64)</f>
        <v>0</v>
      </c>
      <c r="E64" s="62">
        <f>'09.11'!E64+COUNTIF(E$9:E$38,$C64)</f>
        <v>0</v>
      </c>
      <c r="F64" s="62">
        <f>'09.11'!F64+COUNTIF(F$9:F$38,$C64)</f>
        <v>0</v>
      </c>
      <c r="G64" s="62">
        <f>'09.11'!G64+COUNTIF(G$9:G$38,$C64)</f>
        <v>0</v>
      </c>
      <c r="H64" s="62">
        <f>'09.11'!H64+COUNTIF(H$9:H$38,$C64)</f>
        <v>0</v>
      </c>
      <c r="I64" s="62">
        <f>'09.11'!I64+COUNTIF(I$9:I$38,$C64)</f>
        <v>0</v>
      </c>
      <c r="J64" s="62">
        <f>'09.11'!J64+COUNTIF(J$9:J$38,$C64)</f>
        <v>0</v>
      </c>
    </row>
    <row r="65" spans="3:10" x14ac:dyDescent="0.4">
      <c r="C65" s="55">
        <f>'01.09'!C65</f>
        <v>0</v>
      </c>
      <c r="D65" s="62">
        <f>'09.11'!D65+COUNTIF(D$9:D$38,$C65)</f>
        <v>0</v>
      </c>
      <c r="E65" s="62">
        <f>'09.11'!E65+COUNTIF(E$9:E$38,$C65)</f>
        <v>0</v>
      </c>
      <c r="F65" s="62">
        <f>'09.11'!F65+COUNTIF(F$9:F$38,$C65)</f>
        <v>0</v>
      </c>
      <c r="G65" s="62">
        <f>'09.11'!G65+COUNTIF(G$9:G$38,$C65)</f>
        <v>0</v>
      </c>
      <c r="H65" s="62">
        <f>'09.11'!H65+COUNTIF(H$9:H$38,$C65)</f>
        <v>0</v>
      </c>
      <c r="I65" s="62">
        <f>'09.11'!I65+COUNTIF(I$9:I$38,$C65)</f>
        <v>0</v>
      </c>
      <c r="J65" s="62">
        <f>'09.11'!J65+COUNTIF(J$9:J$38,$C65)</f>
        <v>0</v>
      </c>
    </row>
    <row r="66" spans="3:10" x14ac:dyDescent="0.4">
      <c r="C66" s="55">
        <f>'01.09'!C66</f>
        <v>0</v>
      </c>
      <c r="D66" s="62">
        <f>'09.11'!D66+COUNTIF(D$9:D$38,$C66)</f>
        <v>0</v>
      </c>
      <c r="E66" s="62">
        <f>'09.11'!E66+COUNTIF(E$9:E$38,$C66)</f>
        <v>0</v>
      </c>
      <c r="F66" s="62">
        <f>'09.11'!F66+COUNTIF(F$9:F$38,$C66)</f>
        <v>0</v>
      </c>
      <c r="G66" s="62">
        <f>'09.11'!G66+COUNTIF(G$9:G$38,$C66)</f>
        <v>0</v>
      </c>
      <c r="H66" s="62">
        <f>'09.11'!H66+COUNTIF(H$9:H$38,$C66)</f>
        <v>0</v>
      </c>
      <c r="I66" s="62">
        <f>'09.11'!I66+COUNTIF(I$9:I$38,$C66)</f>
        <v>0</v>
      </c>
      <c r="J66" s="62">
        <f>'09.11'!J66+COUNTIF(J$9:J$38,$C66)</f>
        <v>0</v>
      </c>
    </row>
    <row r="67" spans="3:10" x14ac:dyDescent="0.4">
      <c r="C67" s="55">
        <f>'01.09'!C67</f>
        <v>0</v>
      </c>
      <c r="D67" s="62">
        <f>'09.11'!D67+COUNTIF(D$9:D$38,$C67)</f>
        <v>0</v>
      </c>
      <c r="E67" s="62">
        <f>'09.11'!E67+COUNTIF(E$9:E$38,$C67)</f>
        <v>0</v>
      </c>
      <c r="F67" s="62">
        <f>'09.11'!F67+COUNTIF(F$9:F$38,$C67)</f>
        <v>0</v>
      </c>
      <c r="G67" s="62">
        <f>'09.11'!G67+COUNTIF(G$9:G$38,$C67)</f>
        <v>0</v>
      </c>
      <c r="H67" s="62">
        <f>'09.11'!H67+COUNTIF(H$9:H$38,$C67)</f>
        <v>0</v>
      </c>
      <c r="I67" s="62">
        <f>'09.11'!I67+COUNTIF(I$9:I$38,$C67)</f>
        <v>0</v>
      </c>
      <c r="J67" s="62">
        <f>'09.11'!J67+COUNTIF(J$9:J$38,$C67)</f>
        <v>0</v>
      </c>
    </row>
    <row r="68" spans="3:10" x14ac:dyDescent="0.4">
      <c r="C68" s="55">
        <f>'01.09'!C68</f>
        <v>0</v>
      </c>
      <c r="D68" s="62">
        <f>'09.11'!D68+COUNTIF(D$9:D$38,$C68)</f>
        <v>0</v>
      </c>
      <c r="E68" s="62">
        <f>'09.11'!E68+COUNTIF(E$9:E$38,$C68)</f>
        <v>0</v>
      </c>
      <c r="F68" s="62">
        <f>'09.11'!F68+COUNTIF(F$9:F$38,$C68)</f>
        <v>0</v>
      </c>
      <c r="G68" s="62">
        <f>'09.11'!G68+COUNTIF(G$9:G$38,$C68)</f>
        <v>0</v>
      </c>
      <c r="H68" s="62">
        <f>'09.11'!H68+COUNTIF(H$9:H$38,$C68)</f>
        <v>0</v>
      </c>
      <c r="I68" s="62">
        <f>'09.11'!I68+COUNTIF(I$9:I$38,$C68)</f>
        <v>0</v>
      </c>
      <c r="J68" s="62">
        <f>'09.11'!J68+COUNTIF(J$9:J$38,$C68)</f>
        <v>0</v>
      </c>
    </row>
  </sheetData>
  <mergeCells count="26">
    <mergeCell ref="D36:J36"/>
    <mergeCell ref="D11:J11"/>
    <mergeCell ref="D16:J16"/>
    <mergeCell ref="D21:J21"/>
    <mergeCell ref="D26:J26"/>
    <mergeCell ref="D31:J31"/>
    <mergeCell ref="C7:C8"/>
    <mergeCell ref="B1:J1"/>
    <mergeCell ref="B2:J2"/>
    <mergeCell ref="A3:J3"/>
    <mergeCell ref="B4:J4"/>
    <mergeCell ref="B5:J5"/>
    <mergeCell ref="B9:B13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66"/>
  <sheetViews>
    <sheetView view="pageBreakPreview" zoomScale="39" zoomScaleNormal="40" zoomScaleSheetLayoutView="39" zoomScalePageLayoutView="38" workbookViewId="0">
      <selection activeCell="I8" sqref="I8"/>
    </sheetView>
  </sheetViews>
  <sheetFormatPr defaultRowHeight="26.25" x14ac:dyDescent="0.4"/>
  <cols>
    <col min="1" max="2" width="4.42578125" style="72" customWidth="1"/>
    <col min="3" max="3" width="24" style="72" customWidth="1"/>
    <col min="4" max="4" width="52" style="72" customWidth="1"/>
    <col min="5" max="5" width="54.5703125" style="72" customWidth="1"/>
    <col min="6" max="6" width="51.5703125" style="72" customWidth="1"/>
    <col min="7" max="7" width="55.85546875" style="72" customWidth="1"/>
    <col min="8" max="8" width="62.28515625" style="72" customWidth="1"/>
    <col min="9" max="9" width="67" style="72" customWidth="1"/>
    <col min="10" max="10" width="60.42578125" style="72" customWidth="1"/>
    <col min="11" max="16384" width="9.140625" style="72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6.25" customHeight="1" x14ac:dyDescent="0.4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4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4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46.25" customHeight="1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65.25" customHeight="1" x14ac:dyDescent="0.4">
      <c r="A9" s="643" t="s">
        <v>0</v>
      </c>
      <c r="B9" s="648">
        <v>46349</v>
      </c>
      <c r="C9" s="90" t="s">
        <v>5</v>
      </c>
      <c r="D9" s="462"/>
      <c r="E9" s="446"/>
      <c r="F9" s="446"/>
      <c r="G9" s="446"/>
      <c r="H9" s="446"/>
      <c r="I9" s="446"/>
      <c r="J9" s="447"/>
    </row>
    <row r="10" spans="1:10" ht="65.25" customHeight="1" x14ac:dyDescent="0.4">
      <c r="A10" s="644"/>
      <c r="B10" s="619"/>
      <c r="C10" s="91" t="s">
        <v>6</v>
      </c>
      <c r="D10" s="463"/>
      <c r="E10" s="448"/>
      <c r="F10" s="400"/>
      <c r="G10" s="400"/>
      <c r="H10" s="400"/>
      <c r="I10" s="400"/>
      <c r="J10" s="403"/>
    </row>
    <row r="11" spans="1:10" ht="65.25" customHeight="1" x14ac:dyDescent="0.4">
      <c r="A11" s="644"/>
      <c r="B11" s="619"/>
      <c r="C11" s="91" t="s">
        <v>7</v>
      </c>
      <c r="D11" s="651" t="s">
        <v>137</v>
      </c>
      <c r="E11" s="652"/>
      <c r="F11" s="652"/>
      <c r="G11" s="652"/>
      <c r="H11" s="652"/>
      <c r="I11" s="652"/>
      <c r="J11" s="653"/>
    </row>
    <row r="12" spans="1:10" ht="65.25" customHeight="1" x14ac:dyDescent="0.4">
      <c r="A12" s="644"/>
      <c r="B12" s="619"/>
      <c r="C12" s="91" t="s">
        <v>8</v>
      </c>
      <c r="D12" s="465"/>
      <c r="E12" s="466"/>
      <c r="F12" s="466"/>
      <c r="G12" s="466"/>
      <c r="H12" s="466"/>
      <c r="I12" s="466"/>
      <c r="J12" s="467"/>
    </row>
    <row r="13" spans="1:10" ht="65.25" customHeight="1" thickBot="1" x14ac:dyDescent="0.45">
      <c r="A13" s="644"/>
      <c r="B13" s="619"/>
      <c r="C13" s="92" t="s">
        <v>10</v>
      </c>
      <c r="D13" s="468"/>
      <c r="E13" s="411"/>
      <c r="F13" s="411"/>
      <c r="G13" s="469"/>
      <c r="H13" s="411"/>
      <c r="I13" s="469"/>
      <c r="J13" s="470"/>
    </row>
    <row r="14" spans="1:10" ht="65.25" customHeight="1" x14ac:dyDescent="0.4">
      <c r="A14" s="643" t="s">
        <v>1</v>
      </c>
      <c r="B14" s="621">
        <f>B9+1</f>
        <v>46350</v>
      </c>
      <c r="C14" s="90" t="s">
        <v>5</v>
      </c>
      <c r="D14" s="462"/>
      <c r="E14" s="446"/>
      <c r="F14" s="446"/>
      <c r="G14" s="446"/>
      <c r="H14" s="446"/>
      <c r="I14" s="446"/>
      <c r="J14" s="447"/>
    </row>
    <row r="15" spans="1:10" ht="65.25" customHeight="1" x14ac:dyDescent="0.4">
      <c r="A15" s="644"/>
      <c r="B15" s="619"/>
      <c r="C15" s="91" t="s">
        <v>6</v>
      </c>
      <c r="D15" s="463"/>
      <c r="E15" s="448"/>
      <c r="F15" s="400"/>
      <c r="G15" s="400"/>
      <c r="H15" s="400"/>
      <c r="I15" s="400"/>
      <c r="J15" s="403"/>
    </row>
    <row r="16" spans="1:10" ht="65.25" customHeight="1" x14ac:dyDescent="0.4">
      <c r="A16" s="644"/>
      <c r="B16" s="619"/>
      <c r="C16" s="91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1" ht="65.25" customHeight="1" x14ac:dyDescent="0.4">
      <c r="A17" s="644"/>
      <c r="B17" s="619"/>
      <c r="C17" s="91" t="s">
        <v>8</v>
      </c>
      <c r="D17" s="465"/>
      <c r="E17" s="466"/>
      <c r="F17" s="466"/>
      <c r="G17" s="466"/>
      <c r="H17" s="466"/>
      <c r="I17" s="466"/>
      <c r="J17" s="467"/>
    </row>
    <row r="18" spans="1:11" ht="65.25" customHeight="1" thickBot="1" x14ac:dyDescent="0.45">
      <c r="A18" s="645"/>
      <c r="B18" s="619"/>
      <c r="C18" s="92" t="s">
        <v>10</v>
      </c>
      <c r="D18" s="468"/>
      <c r="E18" s="411"/>
      <c r="F18" s="411"/>
      <c r="G18" s="469"/>
      <c r="H18" s="411"/>
      <c r="I18" s="469"/>
      <c r="J18" s="470"/>
      <c r="K18" s="73"/>
    </row>
    <row r="19" spans="1:11" ht="65.25" customHeight="1" x14ac:dyDescent="0.4">
      <c r="A19" s="643" t="s">
        <v>2</v>
      </c>
      <c r="B19" s="621">
        <f>B14+1</f>
        <v>46351</v>
      </c>
      <c r="C19" s="90" t="s">
        <v>5</v>
      </c>
      <c r="D19" s="462"/>
      <c r="E19" s="446"/>
      <c r="F19" s="446"/>
      <c r="G19" s="446"/>
      <c r="H19" s="446"/>
      <c r="I19" s="446"/>
      <c r="J19" s="447"/>
    </row>
    <row r="20" spans="1:11" ht="65.25" customHeight="1" x14ac:dyDescent="0.4">
      <c r="A20" s="644"/>
      <c r="B20" s="619"/>
      <c r="C20" s="91" t="s">
        <v>6</v>
      </c>
      <c r="D20" s="463"/>
      <c r="E20" s="448"/>
      <c r="F20" s="400"/>
      <c r="G20" s="400"/>
      <c r="H20" s="400"/>
      <c r="I20" s="400"/>
      <c r="J20" s="403"/>
    </row>
    <row r="21" spans="1:11" ht="65.25" customHeight="1" x14ac:dyDescent="0.4">
      <c r="A21" s="644"/>
      <c r="B21" s="619"/>
      <c r="C21" s="91" t="s">
        <v>7</v>
      </c>
      <c r="D21" s="651" t="s">
        <v>137</v>
      </c>
      <c r="E21" s="652"/>
      <c r="F21" s="652"/>
      <c r="G21" s="652"/>
      <c r="H21" s="652"/>
      <c r="I21" s="652"/>
      <c r="J21" s="653"/>
      <c r="K21" s="73"/>
    </row>
    <row r="22" spans="1:11" ht="65.25" customHeight="1" x14ac:dyDescent="0.4">
      <c r="A22" s="644"/>
      <c r="B22" s="619"/>
      <c r="C22" s="91" t="s">
        <v>8</v>
      </c>
      <c r="D22" s="465"/>
      <c r="E22" s="466"/>
      <c r="F22" s="466"/>
      <c r="G22" s="466"/>
      <c r="H22" s="466"/>
      <c r="I22" s="466"/>
      <c r="J22" s="467"/>
    </row>
    <row r="23" spans="1:11" ht="65.25" customHeight="1" thickBot="1" x14ac:dyDescent="0.45">
      <c r="A23" s="645"/>
      <c r="B23" s="619"/>
      <c r="C23" s="92" t="s">
        <v>10</v>
      </c>
      <c r="D23" s="468"/>
      <c r="E23" s="411"/>
      <c r="F23" s="411"/>
      <c r="G23" s="469"/>
      <c r="H23" s="411"/>
      <c r="I23" s="469"/>
      <c r="J23" s="470"/>
    </row>
    <row r="24" spans="1:11" ht="65.25" customHeight="1" x14ac:dyDescent="0.4">
      <c r="A24" s="643" t="s">
        <v>3</v>
      </c>
      <c r="B24" s="621">
        <f>B19+1</f>
        <v>46352</v>
      </c>
      <c r="C24" s="90" t="s">
        <v>5</v>
      </c>
      <c r="D24" s="462"/>
      <c r="E24" s="446"/>
      <c r="F24" s="446"/>
      <c r="G24" s="446"/>
      <c r="H24" s="446"/>
      <c r="I24" s="446"/>
      <c r="J24" s="447"/>
    </row>
    <row r="25" spans="1:11" ht="65.25" customHeight="1" x14ac:dyDescent="0.4">
      <c r="A25" s="649"/>
      <c r="B25" s="619"/>
      <c r="C25" s="91" t="s">
        <v>6</v>
      </c>
      <c r="D25" s="463"/>
      <c r="E25" s="448"/>
      <c r="F25" s="400"/>
      <c r="G25" s="400"/>
      <c r="H25" s="400"/>
      <c r="I25" s="400"/>
      <c r="J25" s="403"/>
    </row>
    <row r="26" spans="1:11" ht="65.25" customHeight="1" x14ac:dyDescent="0.4">
      <c r="A26" s="649"/>
      <c r="B26" s="619"/>
      <c r="C26" s="91" t="s">
        <v>7</v>
      </c>
      <c r="D26" s="651" t="s">
        <v>137</v>
      </c>
      <c r="E26" s="652"/>
      <c r="F26" s="652"/>
      <c r="G26" s="652"/>
      <c r="H26" s="652"/>
      <c r="I26" s="652"/>
      <c r="J26" s="653"/>
    </row>
    <row r="27" spans="1:11" ht="65.25" customHeight="1" x14ac:dyDescent="0.4">
      <c r="A27" s="649"/>
      <c r="B27" s="619"/>
      <c r="C27" s="91" t="s">
        <v>8</v>
      </c>
      <c r="D27" s="465"/>
      <c r="E27" s="466"/>
      <c r="F27" s="466"/>
      <c r="G27" s="466"/>
      <c r="H27" s="466"/>
      <c r="I27" s="466"/>
      <c r="J27" s="467"/>
    </row>
    <row r="28" spans="1:11" ht="65.25" customHeight="1" thickBot="1" x14ac:dyDescent="0.45">
      <c r="A28" s="650"/>
      <c r="B28" s="619"/>
      <c r="C28" s="92" t="s">
        <v>10</v>
      </c>
      <c r="D28" s="468"/>
      <c r="E28" s="411"/>
      <c r="F28" s="411"/>
      <c r="G28" s="469"/>
      <c r="H28" s="411"/>
      <c r="I28" s="469"/>
      <c r="J28" s="470"/>
    </row>
    <row r="29" spans="1:11" ht="65.25" customHeight="1" x14ac:dyDescent="0.4">
      <c r="A29" s="643" t="s">
        <v>4</v>
      </c>
      <c r="B29" s="621">
        <f>B24+1</f>
        <v>46353</v>
      </c>
      <c r="C29" s="46" t="s">
        <v>5</v>
      </c>
      <c r="D29" s="462"/>
      <c r="E29" s="446"/>
      <c r="F29" s="446"/>
      <c r="G29" s="446"/>
      <c r="H29" s="446"/>
      <c r="I29" s="446"/>
      <c r="J29" s="447"/>
    </row>
    <row r="30" spans="1:11" ht="65.25" customHeight="1" x14ac:dyDescent="0.4">
      <c r="A30" s="644"/>
      <c r="B30" s="619"/>
      <c r="C30" s="47" t="s">
        <v>6</v>
      </c>
      <c r="D30" s="463"/>
      <c r="E30" s="448"/>
      <c r="F30" s="400"/>
      <c r="G30" s="400"/>
      <c r="H30" s="400"/>
      <c r="I30" s="400"/>
      <c r="J30" s="403"/>
    </row>
    <row r="31" spans="1:11" ht="65.25" customHeight="1" x14ac:dyDescent="0.4">
      <c r="A31" s="644"/>
      <c r="B31" s="619"/>
      <c r="C31" s="47" t="s">
        <v>7</v>
      </c>
      <c r="D31" s="651" t="s">
        <v>137</v>
      </c>
      <c r="E31" s="652"/>
      <c r="F31" s="652"/>
      <c r="G31" s="652"/>
      <c r="H31" s="652"/>
      <c r="I31" s="652"/>
      <c r="J31" s="653"/>
    </row>
    <row r="32" spans="1:11" ht="65.25" customHeight="1" x14ac:dyDescent="0.4">
      <c r="A32" s="644"/>
      <c r="B32" s="619"/>
      <c r="C32" s="47" t="s">
        <v>8</v>
      </c>
      <c r="D32" s="465"/>
      <c r="E32" s="466"/>
      <c r="F32" s="466"/>
      <c r="G32" s="466"/>
      <c r="H32" s="466"/>
      <c r="I32" s="466"/>
      <c r="J32" s="467"/>
    </row>
    <row r="33" spans="1:10" ht="65.25" customHeight="1" thickBot="1" x14ac:dyDescent="0.45">
      <c r="A33" s="645"/>
      <c r="B33" s="619"/>
      <c r="C33" s="48" t="s">
        <v>10</v>
      </c>
      <c r="D33" s="468"/>
      <c r="E33" s="411"/>
      <c r="F33" s="411"/>
      <c r="G33" s="469"/>
      <c r="H33" s="411"/>
      <c r="I33" s="469"/>
      <c r="J33" s="470"/>
    </row>
    <row r="34" spans="1:10" ht="65.25" customHeight="1" x14ac:dyDescent="0.4">
      <c r="A34" s="619" t="s">
        <v>12</v>
      </c>
      <c r="B34" s="621">
        <f>B29+1</f>
        <v>46354</v>
      </c>
      <c r="C34" s="46" t="s">
        <v>5</v>
      </c>
      <c r="D34" s="462"/>
      <c r="E34" s="446"/>
      <c r="F34" s="446"/>
      <c r="G34" s="446"/>
      <c r="H34" s="446"/>
      <c r="I34" s="446"/>
      <c r="J34" s="447"/>
    </row>
    <row r="35" spans="1:10" ht="65.25" customHeight="1" x14ac:dyDescent="0.4">
      <c r="A35" s="619"/>
      <c r="B35" s="619"/>
      <c r="C35" s="47" t="s">
        <v>6</v>
      </c>
      <c r="D35" s="463"/>
      <c r="E35" s="448"/>
      <c r="F35" s="400"/>
      <c r="G35" s="400"/>
      <c r="H35" s="400"/>
      <c r="I35" s="400"/>
      <c r="J35" s="403"/>
    </row>
    <row r="36" spans="1:10" ht="65.25" customHeight="1" x14ac:dyDescent="0.4">
      <c r="A36" s="619"/>
      <c r="B36" s="619"/>
      <c r="C36" s="47" t="s">
        <v>7</v>
      </c>
      <c r="D36" s="651" t="s">
        <v>137</v>
      </c>
      <c r="E36" s="652"/>
      <c r="F36" s="652"/>
      <c r="G36" s="652"/>
      <c r="H36" s="652"/>
      <c r="I36" s="652"/>
      <c r="J36" s="653"/>
    </row>
    <row r="37" spans="1:10" ht="65.25" customHeight="1" x14ac:dyDescent="0.4">
      <c r="A37" s="619"/>
      <c r="B37" s="619"/>
      <c r="C37" s="47" t="s">
        <v>8</v>
      </c>
      <c r="D37" s="465"/>
      <c r="E37" s="466"/>
      <c r="F37" s="466"/>
      <c r="G37" s="466"/>
      <c r="H37" s="466"/>
      <c r="I37" s="466"/>
      <c r="J37" s="467"/>
    </row>
    <row r="38" spans="1:10" ht="65.25" customHeight="1" thickBot="1" x14ac:dyDescent="0.45">
      <c r="A38" s="620"/>
      <c r="B38" s="620"/>
      <c r="C38" s="48" t="s">
        <v>10</v>
      </c>
      <c r="D38" s="468"/>
      <c r="E38" s="411"/>
      <c r="F38" s="411"/>
      <c r="G38" s="469"/>
      <c r="H38" s="411"/>
      <c r="I38" s="469"/>
      <c r="J38" s="470"/>
    </row>
    <row r="39" spans="1:10" ht="27.75" x14ac:dyDescent="0.4">
      <c r="D39" s="136" t="s">
        <v>51</v>
      </c>
    </row>
    <row r="40" spans="1:10" x14ac:dyDescent="0.4">
      <c r="C40" s="55" t="str">
        <f>'01.09'!C40</f>
        <v>*Л. Основы медицинских знаний и спортивная медицина*</v>
      </c>
      <c r="D40" s="62">
        <f>'16.11'!D40+COUNTIF(D$9:D$38,$C40)</f>
        <v>8</v>
      </c>
      <c r="E40" s="62">
        <f>'16.11'!E40+COUNTIF(E$9:E$38,$C40)</f>
        <v>8</v>
      </c>
      <c r="F40" s="62">
        <f>'16.11'!F40+COUNTIF(F$9:F$38,$C40)</f>
        <v>8</v>
      </c>
      <c r="G40" s="62">
        <f>'16.11'!G40+COUNTIF(G$9:G$38,$C40)</f>
        <v>8</v>
      </c>
      <c r="H40" s="62">
        <f>'16.11'!H40+COUNTIF(H$9:H$38,$C40)</f>
        <v>8</v>
      </c>
      <c r="I40" s="62">
        <f>'16.11'!I40+COUNTIF(I$9:I$38,$C40)</f>
        <v>8</v>
      </c>
      <c r="J40" s="62">
        <f>'16.11'!J40+COUNTIF(J$9:J$38,$C40)</f>
        <v>8</v>
      </c>
    </row>
    <row r="41" spans="1:10" x14ac:dyDescent="0.4">
      <c r="C41" s="55" t="str">
        <f>'01.09'!C41</f>
        <v>*Пр. Основы медицинских знаний и спортивная медицина*</v>
      </c>
      <c r="D41" s="62">
        <f>'16.11'!D41+COUNTIF(D$9:D$38,$C41)</f>
        <v>14</v>
      </c>
      <c r="E41" s="62">
        <f>'16.11'!E41+COUNTIF(E$9:E$38,$C41)</f>
        <v>14</v>
      </c>
      <c r="F41" s="62">
        <f>'16.11'!F41+COUNTIF(F$9:F$38,$C41)</f>
        <v>13</v>
      </c>
      <c r="G41" s="62">
        <f>'16.11'!G41+COUNTIF(G$9:G$38,$C41)</f>
        <v>9</v>
      </c>
      <c r="H41" s="62">
        <f>'16.11'!H41+COUNTIF(H$9:H$38,$C41)</f>
        <v>14</v>
      </c>
      <c r="I41" s="62">
        <f>'16.11'!I41+COUNTIF(I$9:I$38,$C41)</f>
        <v>13</v>
      </c>
      <c r="J41" s="62">
        <f>'16.11'!J41+COUNTIF(J$9:J$38,$C41)</f>
        <v>13</v>
      </c>
    </row>
    <row r="42" spans="1:10" x14ac:dyDescent="0.4">
      <c r="C42" s="55" t="str">
        <f>'01.09'!C42</f>
        <v>*Л. Массаж*</v>
      </c>
      <c r="D42" s="62">
        <f>'16.11'!D42+COUNTIF(D$9:D$38,$C42)</f>
        <v>5</v>
      </c>
      <c r="E42" s="62">
        <f>'16.11'!E42+COUNTIF(E$9:E$38,$C42)</f>
        <v>5</v>
      </c>
      <c r="F42" s="62">
        <f>'16.11'!F42+COUNTIF(F$9:F$38,$C42)</f>
        <v>5</v>
      </c>
      <c r="G42" s="62">
        <f>'16.11'!G42+COUNTIF(G$9:G$38,$C42)</f>
        <v>5</v>
      </c>
      <c r="H42" s="62">
        <f>'16.11'!H42+COUNTIF(H$9:H$38,$C42)</f>
        <v>5</v>
      </c>
      <c r="I42" s="62">
        <f>'16.11'!I42+COUNTIF(I$9:I$38,$C42)</f>
        <v>5</v>
      </c>
      <c r="J42" s="62">
        <f>'16.11'!J42+COUNTIF(J$9:J$38,$C42)</f>
        <v>5</v>
      </c>
    </row>
    <row r="43" spans="1:10" x14ac:dyDescent="0.4">
      <c r="C43" s="55" t="str">
        <f>'01.09'!C43</f>
        <v>*Пр. Массаж*</v>
      </c>
      <c r="D43" s="62">
        <f>'16.11'!D43+COUNTIF(D$9:D$38,$C43)</f>
        <v>13</v>
      </c>
      <c r="E43" s="62">
        <f>'16.11'!E43+COUNTIF(E$9:E$38,$C43)</f>
        <v>13</v>
      </c>
      <c r="F43" s="62">
        <f>'16.11'!F43+COUNTIF(F$9:F$38,$C43)</f>
        <v>13</v>
      </c>
      <c r="G43" s="62">
        <f>'16.11'!G43+COUNTIF(G$9:G$38,$C43)</f>
        <v>14</v>
      </c>
      <c r="H43" s="62">
        <f>'16.11'!H43+COUNTIF(H$9:H$38,$C43)</f>
        <v>14</v>
      </c>
      <c r="I43" s="62">
        <f>'16.11'!I43+COUNTIF(I$9:I$38,$C43)</f>
        <v>14</v>
      </c>
      <c r="J43" s="62">
        <f>'16.11'!J43+COUNTIF(J$9:J$38,$C43)</f>
        <v>14</v>
      </c>
    </row>
    <row r="44" spans="1:10" x14ac:dyDescent="0.4">
      <c r="C44" s="55" t="str">
        <f>'01.09'!C44</f>
        <v>*Л. Правовые основы профессиональной деятельности*</v>
      </c>
      <c r="D44" s="62">
        <f>'16.11'!D44+COUNTIF(D$9:D$38,$C44)</f>
        <v>5</v>
      </c>
      <c r="E44" s="62">
        <f>'16.11'!E44+COUNTIF(E$9:E$38,$C44)</f>
        <v>5</v>
      </c>
      <c r="F44" s="62">
        <f>'16.11'!F44+COUNTIF(F$9:F$38,$C44)</f>
        <v>5</v>
      </c>
      <c r="G44" s="62">
        <f>'16.11'!G44+COUNTIF(G$9:G$38,$C44)</f>
        <v>5</v>
      </c>
      <c r="H44" s="62">
        <f>'16.11'!H44+COUNTIF(H$9:H$38,$C44)</f>
        <v>5</v>
      </c>
      <c r="I44" s="62">
        <f>'16.11'!I44+COUNTIF(I$9:I$38,$C44)</f>
        <v>5</v>
      </c>
      <c r="J44" s="62">
        <f>'16.11'!J44+COUNTIF(J$9:J$38,$C44)</f>
        <v>5</v>
      </c>
    </row>
    <row r="45" spans="1:10" x14ac:dyDescent="0.4">
      <c r="C45" s="55" t="str">
        <f>'01.09'!C45</f>
        <v>*Пр. Правовые основы профессиональной деятельности*</v>
      </c>
      <c r="D45" s="62">
        <f>'16.11'!D45+COUNTIF(D$9:D$38,$C45)</f>
        <v>7</v>
      </c>
      <c r="E45" s="62">
        <f>'16.11'!E45+COUNTIF(E$9:E$38,$C45)</f>
        <v>8</v>
      </c>
      <c r="F45" s="62">
        <f>'16.11'!F45+COUNTIF(F$9:F$38,$C45)</f>
        <v>7</v>
      </c>
      <c r="G45" s="62">
        <f>'16.11'!G45+COUNTIF(G$9:G$38,$C45)</f>
        <v>7</v>
      </c>
      <c r="H45" s="62">
        <f>'16.11'!H45+COUNTIF(H$9:H$38,$C45)</f>
        <v>7</v>
      </c>
      <c r="I45" s="62">
        <f>'16.11'!I45+COUNTIF(I$9:I$38,$C45)</f>
        <v>6</v>
      </c>
      <c r="J45" s="62">
        <f>'16.11'!J45+COUNTIF(J$9:J$38,$C45)</f>
        <v>7</v>
      </c>
    </row>
    <row r="46" spans="1:10" x14ac:dyDescent="0.4">
      <c r="C46" s="55" t="str">
        <f>'01.09'!C46</f>
        <v>*Л. Теория и методика*</v>
      </c>
      <c r="D46" s="62">
        <f>'16.11'!D46+COUNTIF(D$9:D$38,$C46)</f>
        <v>4</v>
      </c>
      <c r="E46" s="62">
        <f>'16.11'!E46+COUNTIF(E$9:E$38,$C46)</f>
        <v>4</v>
      </c>
      <c r="F46" s="62">
        <f>'16.11'!F46+COUNTIF(F$9:F$38,$C46)</f>
        <v>4</v>
      </c>
      <c r="G46" s="62">
        <f>'16.11'!G46+COUNTIF(G$9:G$38,$C46)</f>
        <v>4</v>
      </c>
      <c r="H46" s="62">
        <f>'16.11'!H46+COUNTIF(H$9:H$38,$C46)</f>
        <v>4</v>
      </c>
      <c r="I46" s="62">
        <f>'16.11'!I46+COUNTIF(I$9:I$38,$C46)</f>
        <v>4</v>
      </c>
      <c r="J46" s="62">
        <f>'16.11'!J46+COUNTIF(J$9:J$38,$C46)</f>
        <v>4</v>
      </c>
    </row>
    <row r="47" spans="1:10" x14ac:dyDescent="0.4">
      <c r="C47" s="55" t="str">
        <f>'01.09'!C47</f>
        <v>*Пр. Теория и методика*</v>
      </c>
      <c r="D47" s="62">
        <f>'16.11'!D47+COUNTIF(D$9:D$38,$C47)</f>
        <v>30</v>
      </c>
      <c r="E47" s="62">
        <f>'16.11'!E47+COUNTIF(E$9:E$38,$C47)</f>
        <v>30</v>
      </c>
      <c r="F47" s="62">
        <f>'16.11'!F47+COUNTIF(F$9:F$38,$C47)</f>
        <v>31</v>
      </c>
      <c r="G47" s="62">
        <f>'16.11'!G47+COUNTIF(G$9:G$38,$C47)</f>
        <v>35</v>
      </c>
      <c r="H47" s="62">
        <f>'16.11'!H47+COUNTIF(H$9:H$38,$C47)</f>
        <v>35</v>
      </c>
      <c r="I47" s="62">
        <f>'16.11'!I47+COUNTIF(I$9:I$38,$C47)</f>
        <v>37</v>
      </c>
      <c r="J47" s="62">
        <f>'16.11'!J47+COUNTIF(J$9:J$38,$C47)</f>
        <v>37</v>
      </c>
    </row>
    <row r="48" spans="1:10" x14ac:dyDescent="0.4">
      <c r="C48" s="55" t="str">
        <f>'01.09'!C48</f>
        <v>*Л. Спортивная метрология*</v>
      </c>
      <c r="D48" s="62">
        <f>'16.11'!D48+COUNTIF(D$9:D$38,$C48)</f>
        <v>5</v>
      </c>
      <c r="E48" s="62">
        <f>'16.11'!E48+COUNTIF(E$9:E$38,$C48)</f>
        <v>5</v>
      </c>
      <c r="F48" s="62">
        <f>'16.11'!F48+COUNTIF(F$9:F$38,$C48)</f>
        <v>5</v>
      </c>
      <c r="G48" s="62">
        <f>'16.11'!G48+COUNTIF(G$9:G$38,$C48)</f>
        <v>5</v>
      </c>
      <c r="H48" s="62">
        <f>'16.11'!H48+COUNTIF(H$9:H$38,$C48)</f>
        <v>5</v>
      </c>
      <c r="I48" s="62">
        <f>'16.11'!I48+COUNTIF(I$9:I$38,$C48)</f>
        <v>5</v>
      </c>
      <c r="J48" s="62">
        <f>'16.11'!J48+COUNTIF(J$9:J$38,$C48)</f>
        <v>5</v>
      </c>
    </row>
    <row r="49" spans="3:10" x14ac:dyDescent="0.4">
      <c r="C49" s="55" t="str">
        <f>'01.09'!C49</f>
        <v>*Пр. Спортивная метрология*</v>
      </c>
      <c r="D49" s="62">
        <f>'16.11'!D49+COUNTIF(D$9:D$38,$C49)</f>
        <v>7</v>
      </c>
      <c r="E49" s="62">
        <f>'16.11'!E49+COUNTIF(E$9:E$38,$C49)</f>
        <v>7</v>
      </c>
      <c r="F49" s="62">
        <f>'16.11'!F49+COUNTIF(F$9:F$38,$C49)</f>
        <v>7</v>
      </c>
      <c r="G49" s="62">
        <f>'16.11'!G49+COUNTIF(G$9:G$38,$C49)</f>
        <v>7</v>
      </c>
      <c r="H49" s="62">
        <f>'16.11'!H49+COUNTIF(H$9:H$38,$C49)</f>
        <v>7</v>
      </c>
      <c r="I49" s="62">
        <f>'16.11'!I49+COUNTIF(I$9:I$38,$C49)</f>
        <v>7</v>
      </c>
      <c r="J49" s="62">
        <f>'16.11'!J49+COUNTIF(J$9:J$38,$C49)</f>
        <v>7</v>
      </c>
    </row>
    <row r="50" spans="3:10" x14ac:dyDescent="0.4">
      <c r="C50" s="55" t="str">
        <f>'01.09'!C50</f>
        <v>*Л.  Теория и методика циклических и сложнокоординационных*</v>
      </c>
      <c r="D50" s="62">
        <f>'16.11'!D50+COUNTIF(D$9:D$38,$C50)</f>
        <v>0</v>
      </c>
      <c r="E50" s="62">
        <f>'16.11'!E50+COUNTIF(E$9:E$38,$C50)</f>
        <v>0</v>
      </c>
      <c r="F50" s="62">
        <f>'16.11'!F50+COUNTIF(F$9:F$38,$C50)</f>
        <v>0</v>
      </c>
      <c r="G50" s="62">
        <f>'16.11'!G50+COUNTIF(G$9:G$38,$C50)</f>
        <v>0</v>
      </c>
      <c r="H50" s="62">
        <f>'16.11'!H50+COUNTIF(H$9:H$38,$C50)</f>
        <v>4</v>
      </c>
      <c r="I50" s="62">
        <f>'16.11'!I50+COUNTIF(I$9:I$38,$C50)</f>
        <v>0</v>
      </c>
      <c r="J50" s="62">
        <f>'16.11'!J50+COUNTIF(J$9:J$38,$C50)</f>
        <v>0</v>
      </c>
    </row>
    <row r="51" spans="3:10" x14ac:dyDescent="0.4">
      <c r="C51" s="55" t="str">
        <f>'01.09'!C51</f>
        <v>*Пр.  Теория и методика циклических и сложнокоординационных*</v>
      </c>
      <c r="D51" s="62">
        <f>'16.11'!D51+COUNTIF(D$9:D$38,$C51)</f>
        <v>0</v>
      </c>
      <c r="E51" s="62">
        <f>'16.11'!E51+COUNTIF(E$9:E$38,$C51)</f>
        <v>0</v>
      </c>
      <c r="F51" s="62">
        <f>'16.11'!F51+COUNTIF(F$9:F$38,$C51)</f>
        <v>0</v>
      </c>
      <c r="G51" s="62">
        <f>'16.11'!G51+COUNTIF(G$9:G$38,$C51)</f>
        <v>0</v>
      </c>
      <c r="H51" s="62">
        <f>'16.11'!H51+COUNTIF(H$9:H$38,$C51)</f>
        <v>39</v>
      </c>
      <c r="I51" s="62">
        <f>'16.11'!I51+COUNTIF(I$9:I$38,$C51)</f>
        <v>0</v>
      </c>
      <c r="J51" s="62">
        <f>'16.11'!J51+COUNTIF(J$9:J$38,$C51)</f>
        <v>0</v>
      </c>
    </row>
    <row r="52" spans="3:10" x14ac:dyDescent="0.4">
      <c r="C52" s="55">
        <f>'01.09'!C52</f>
        <v>0</v>
      </c>
      <c r="D52" s="62">
        <f>'16.11'!D52+COUNTIF(D$9:D$38,$C52)</f>
        <v>0</v>
      </c>
      <c r="E52" s="62">
        <f>'16.11'!E52+COUNTIF(E$9:E$38,$C52)</f>
        <v>0</v>
      </c>
      <c r="F52" s="62">
        <f>'16.11'!F52+COUNTIF(F$9:F$38,$C52)</f>
        <v>0</v>
      </c>
      <c r="G52" s="62">
        <f>'16.11'!G52+COUNTIF(G$9:G$38,$C52)</f>
        <v>0</v>
      </c>
      <c r="H52" s="62">
        <f>'16.11'!H52+COUNTIF(H$9:H$38,$C52)</f>
        <v>0</v>
      </c>
      <c r="I52" s="62">
        <f>'16.11'!I52+COUNTIF(I$9:I$38,$C52)</f>
        <v>0</v>
      </c>
      <c r="J52" s="62">
        <f>'16.11'!J52+COUNTIF(J$9:J$38,$C52)</f>
        <v>0</v>
      </c>
    </row>
    <row r="53" spans="3:10" x14ac:dyDescent="0.4">
      <c r="C53" s="55">
        <f>'01.09'!C53</f>
        <v>0</v>
      </c>
      <c r="D53" s="62">
        <f>'16.11'!D53+COUNTIF(D$9:D$38,$C53)</f>
        <v>0</v>
      </c>
      <c r="E53" s="62">
        <f>'16.11'!E53+COUNTIF(E$9:E$38,$C53)</f>
        <v>0</v>
      </c>
      <c r="F53" s="62">
        <f>'16.11'!F53+COUNTIF(F$9:F$38,$C53)</f>
        <v>0</v>
      </c>
      <c r="G53" s="62">
        <f>'16.11'!G53+COUNTIF(G$9:G$38,$C53)</f>
        <v>0</v>
      </c>
      <c r="H53" s="62">
        <f>'16.11'!H53+COUNTIF(H$9:H$38,$C53)</f>
        <v>0</v>
      </c>
      <c r="I53" s="62">
        <f>'16.11'!I53+COUNTIF(I$9:I$38,$C53)</f>
        <v>0</v>
      </c>
      <c r="J53" s="62">
        <f>'16.11'!J53+COUNTIF(J$9:J$38,$C53)</f>
        <v>0</v>
      </c>
    </row>
    <row r="54" spans="3:10" x14ac:dyDescent="0.4">
      <c r="C54" s="55">
        <f>'01.09'!C54</f>
        <v>0</v>
      </c>
      <c r="D54" s="62">
        <f>'16.11'!D54+COUNTIF(D$9:D$38,$C54)</f>
        <v>0</v>
      </c>
      <c r="E54" s="62">
        <f>'16.11'!E54+COUNTIF(E$9:E$38,$C54)</f>
        <v>0</v>
      </c>
      <c r="F54" s="62">
        <f>'16.11'!F54+COUNTIF(F$9:F$38,$C54)</f>
        <v>0</v>
      </c>
      <c r="G54" s="62">
        <f>'16.11'!G54+COUNTIF(G$9:G$38,$C54)</f>
        <v>0</v>
      </c>
      <c r="H54" s="62">
        <f>'16.11'!H54+COUNTIF(H$9:H$38,$C54)</f>
        <v>0</v>
      </c>
      <c r="I54" s="62">
        <f>'16.11'!I54+COUNTIF(I$9:I$38,$C54)</f>
        <v>0</v>
      </c>
      <c r="J54" s="62">
        <f>'16.11'!J54+COUNTIF(J$9:J$38,$C54)</f>
        <v>0</v>
      </c>
    </row>
    <row r="55" spans="3:10" x14ac:dyDescent="0.4">
      <c r="C55" s="55">
        <f>'01.09'!C55</f>
        <v>0</v>
      </c>
      <c r="D55" s="62">
        <f>'16.11'!D55+COUNTIF(D$9:D$38,$C55)</f>
        <v>0</v>
      </c>
      <c r="E55" s="62">
        <f>'16.11'!E55+COUNTIF(E$9:E$38,$C55)</f>
        <v>0</v>
      </c>
      <c r="F55" s="62">
        <f>'16.11'!F55+COUNTIF(F$9:F$38,$C55)</f>
        <v>0</v>
      </c>
      <c r="G55" s="62">
        <f>'16.11'!G55+COUNTIF(G$9:G$38,$C55)</f>
        <v>0</v>
      </c>
      <c r="H55" s="62">
        <f>'16.11'!H55+COUNTIF(H$9:H$38,$C55)</f>
        <v>0</v>
      </c>
      <c r="I55" s="62">
        <f>'16.11'!I55+COUNTIF(I$9:I$38,$C55)</f>
        <v>0</v>
      </c>
      <c r="J55" s="62">
        <f>'16.11'!J55+COUNTIF(J$9:J$38,$C55)</f>
        <v>0</v>
      </c>
    </row>
    <row r="56" spans="3:10" x14ac:dyDescent="0.4">
      <c r="C56" s="55">
        <f>'01.09'!C56</f>
        <v>0</v>
      </c>
      <c r="D56" s="62">
        <f>'16.11'!D56+COUNTIF(D$9:D$38,$C56)</f>
        <v>0</v>
      </c>
      <c r="E56" s="62">
        <f>'16.11'!E56+COUNTIF(E$9:E$38,$C56)</f>
        <v>0</v>
      </c>
      <c r="F56" s="62">
        <f>'16.11'!F56+COUNTIF(F$9:F$38,$C56)</f>
        <v>0</v>
      </c>
      <c r="G56" s="62">
        <f>'16.11'!G56+COUNTIF(G$9:G$38,$C56)</f>
        <v>0</v>
      </c>
      <c r="H56" s="62">
        <f>'16.11'!H56+COUNTIF(H$9:H$38,$C56)</f>
        <v>0</v>
      </c>
      <c r="I56" s="62">
        <f>'16.11'!I56+COUNTIF(I$9:I$38,$C56)</f>
        <v>0</v>
      </c>
      <c r="J56" s="62">
        <f>'16.11'!J56+COUNTIF(J$9:J$38,$C56)</f>
        <v>0</v>
      </c>
    </row>
    <row r="57" spans="3:10" x14ac:dyDescent="0.4">
      <c r="C57" s="55">
        <f>'01.09'!C57</f>
        <v>0</v>
      </c>
      <c r="D57" s="62">
        <f>'16.11'!D57+COUNTIF(D$9:D$38,$C57)</f>
        <v>0</v>
      </c>
      <c r="E57" s="62">
        <f>'16.11'!E57+COUNTIF(E$9:E$38,$C57)</f>
        <v>0</v>
      </c>
      <c r="F57" s="62">
        <f>'16.11'!F57+COUNTIF(F$9:F$38,$C57)</f>
        <v>0</v>
      </c>
      <c r="G57" s="62">
        <f>'16.11'!G57+COUNTIF(G$9:G$38,$C57)</f>
        <v>0</v>
      </c>
      <c r="H57" s="62">
        <f>'16.11'!H57+COUNTIF(H$9:H$38,$C57)</f>
        <v>0</v>
      </c>
      <c r="I57" s="62">
        <f>'16.11'!I57+COUNTIF(I$9:I$38,$C57)</f>
        <v>0</v>
      </c>
      <c r="J57" s="62">
        <f>'16.11'!J57+COUNTIF(J$9:J$38,$C57)</f>
        <v>0</v>
      </c>
    </row>
    <row r="58" spans="3:10" x14ac:dyDescent="0.4">
      <c r="C58" s="55">
        <f>'01.09'!C58</f>
        <v>0</v>
      </c>
      <c r="D58" s="62">
        <f>'16.11'!D58+COUNTIF(D$9:D$38,$C58)</f>
        <v>0</v>
      </c>
      <c r="E58" s="62">
        <f>'16.11'!E58+COUNTIF(E$9:E$38,$C58)</f>
        <v>0</v>
      </c>
      <c r="F58" s="62">
        <f>'16.11'!F58+COUNTIF(F$9:F$38,$C58)</f>
        <v>0</v>
      </c>
      <c r="G58" s="62">
        <f>'16.11'!G58+COUNTIF(G$9:G$38,$C58)</f>
        <v>0</v>
      </c>
      <c r="H58" s="62">
        <f>'16.11'!H58+COUNTIF(H$9:H$38,$C58)</f>
        <v>0</v>
      </c>
      <c r="I58" s="62">
        <f>'16.11'!I58+COUNTIF(I$9:I$38,$C58)</f>
        <v>0</v>
      </c>
      <c r="J58" s="62">
        <f>'16.11'!J58+COUNTIF(J$9:J$38,$C58)</f>
        <v>0</v>
      </c>
    </row>
    <row r="59" spans="3:10" x14ac:dyDescent="0.4">
      <c r="C59" s="55">
        <f>'01.09'!C59</f>
        <v>0</v>
      </c>
      <c r="D59" s="62">
        <f>'16.11'!D59+COUNTIF(D$9:D$38,$C59)</f>
        <v>0</v>
      </c>
      <c r="E59" s="62">
        <f>'16.11'!E59+COUNTIF(E$9:E$38,$C59)</f>
        <v>0</v>
      </c>
      <c r="F59" s="62">
        <f>'16.11'!F59+COUNTIF(F$9:F$38,$C59)</f>
        <v>0</v>
      </c>
      <c r="G59" s="62">
        <f>'16.11'!G59+COUNTIF(G$9:G$38,$C59)</f>
        <v>0</v>
      </c>
      <c r="H59" s="62">
        <f>'16.11'!H59+COUNTIF(H$9:H$38,$C59)</f>
        <v>0</v>
      </c>
      <c r="I59" s="62">
        <f>'16.11'!I59+COUNTIF(I$9:I$38,$C59)</f>
        <v>0</v>
      </c>
      <c r="J59" s="62">
        <f>'16.11'!J59+COUNTIF(J$9:J$38,$C59)</f>
        <v>0</v>
      </c>
    </row>
    <row r="60" spans="3:10" x14ac:dyDescent="0.4">
      <c r="C60" s="55">
        <f>'01.09'!C60</f>
        <v>0</v>
      </c>
      <c r="D60" s="62">
        <f>'16.11'!D60+COUNTIF(D$9:D$38,$C60)</f>
        <v>0</v>
      </c>
      <c r="E60" s="62">
        <f>'16.11'!E60+COUNTIF(E$9:E$38,$C60)</f>
        <v>0</v>
      </c>
      <c r="F60" s="62">
        <f>'16.11'!F60+COUNTIF(F$9:F$38,$C60)</f>
        <v>0</v>
      </c>
      <c r="G60" s="62">
        <f>'16.11'!G60+COUNTIF(G$9:G$38,$C60)</f>
        <v>0</v>
      </c>
      <c r="H60" s="62">
        <f>'16.11'!H60+COUNTIF(H$9:H$38,$C60)</f>
        <v>0</v>
      </c>
      <c r="I60" s="62">
        <f>'16.11'!I60+COUNTIF(I$9:I$38,$C60)</f>
        <v>0</v>
      </c>
      <c r="J60" s="62">
        <f>'16.11'!J60+COUNTIF(J$9:J$38,$C60)</f>
        <v>0</v>
      </c>
    </row>
    <row r="61" spans="3:10" x14ac:dyDescent="0.4">
      <c r="C61" s="55">
        <f>'01.09'!C61</f>
        <v>0</v>
      </c>
      <c r="D61" s="62">
        <f>'16.11'!D61+COUNTIF(D$9:D$38,$C61)</f>
        <v>0</v>
      </c>
      <c r="E61" s="62">
        <f>'16.11'!E61+COUNTIF(E$9:E$38,$C61)</f>
        <v>0</v>
      </c>
      <c r="F61" s="62">
        <f>'16.11'!F61+COUNTIF(F$9:F$38,$C61)</f>
        <v>0</v>
      </c>
      <c r="G61" s="62">
        <f>'16.11'!G61+COUNTIF(G$9:G$38,$C61)</f>
        <v>0</v>
      </c>
      <c r="H61" s="62">
        <f>'16.11'!H61+COUNTIF(H$9:H$38,$C61)</f>
        <v>0</v>
      </c>
      <c r="I61" s="62">
        <f>'16.11'!I61+COUNTIF(I$9:I$38,$C61)</f>
        <v>0</v>
      </c>
      <c r="J61" s="62">
        <f>'16.11'!J61+COUNTIF(J$9:J$38,$C61)</f>
        <v>0</v>
      </c>
    </row>
    <row r="62" spans="3:10" x14ac:dyDescent="0.4">
      <c r="C62" s="55">
        <f>'01.09'!C62</f>
        <v>0</v>
      </c>
      <c r="D62" s="62">
        <f>'16.11'!D62+COUNTIF(D$9:D$38,$C62)</f>
        <v>0</v>
      </c>
      <c r="E62" s="62">
        <f>'16.11'!E62+COUNTIF(E$9:E$38,$C62)</f>
        <v>0</v>
      </c>
      <c r="F62" s="62">
        <f>'16.11'!F62+COUNTIF(F$9:F$38,$C62)</f>
        <v>0</v>
      </c>
      <c r="G62" s="62">
        <f>'16.11'!G62+COUNTIF(G$9:G$38,$C62)</f>
        <v>0</v>
      </c>
      <c r="H62" s="62">
        <f>'16.11'!H62+COUNTIF(H$9:H$38,$C62)</f>
        <v>0</v>
      </c>
      <c r="I62" s="62">
        <f>'16.11'!I62+COUNTIF(I$9:I$38,$C62)</f>
        <v>0</v>
      </c>
      <c r="J62" s="62">
        <f>'16.11'!J62+COUNTIF(J$9:J$38,$C62)</f>
        <v>0</v>
      </c>
    </row>
    <row r="63" spans="3:10" x14ac:dyDescent="0.4">
      <c r="C63" s="55">
        <f>'01.09'!C63</f>
        <v>0</v>
      </c>
      <c r="D63" s="62">
        <f>'16.11'!D63+COUNTIF(D$9:D$38,$C63)</f>
        <v>0</v>
      </c>
      <c r="E63" s="62">
        <f>'16.11'!E63+COUNTIF(E$9:E$38,$C63)</f>
        <v>0</v>
      </c>
      <c r="F63" s="62">
        <f>'16.11'!F63+COUNTIF(F$9:F$38,$C63)</f>
        <v>0</v>
      </c>
      <c r="G63" s="62">
        <f>'16.11'!G63+COUNTIF(G$9:G$38,$C63)</f>
        <v>0</v>
      </c>
      <c r="H63" s="62">
        <f>'16.11'!H63+COUNTIF(H$9:H$38,$C63)</f>
        <v>0</v>
      </c>
      <c r="I63" s="62">
        <f>'16.11'!I63+COUNTIF(I$9:I$38,$C63)</f>
        <v>0</v>
      </c>
      <c r="J63" s="62">
        <f>'16.11'!J63+COUNTIF(J$9:J$38,$C63)</f>
        <v>0</v>
      </c>
    </row>
    <row r="64" spans="3:10" x14ac:dyDescent="0.4">
      <c r="C64" s="55">
        <f>'01.09'!C64</f>
        <v>0</v>
      </c>
      <c r="D64" s="62">
        <f>'16.11'!D64+COUNTIF(D$9:D$38,$C64)</f>
        <v>0</v>
      </c>
      <c r="E64" s="62">
        <f>'16.11'!E64+COUNTIF(E$9:E$38,$C64)</f>
        <v>0</v>
      </c>
      <c r="F64" s="62">
        <f>'16.11'!F64+COUNTIF(F$9:F$38,$C64)</f>
        <v>0</v>
      </c>
      <c r="G64" s="62">
        <f>'16.11'!G64+COUNTIF(G$9:G$38,$C64)</f>
        <v>0</v>
      </c>
      <c r="H64" s="62">
        <f>'16.11'!H64+COUNTIF(H$9:H$38,$C64)</f>
        <v>0</v>
      </c>
      <c r="I64" s="62">
        <f>'16.11'!I64+COUNTIF(I$9:I$38,$C64)</f>
        <v>0</v>
      </c>
      <c r="J64" s="62">
        <f>'16.11'!J64+COUNTIF(J$9:J$38,$C64)</f>
        <v>0</v>
      </c>
    </row>
    <row r="65" spans="3:10" x14ac:dyDescent="0.4">
      <c r="C65" s="55">
        <f>'01.09'!C65</f>
        <v>0</v>
      </c>
      <c r="D65" s="62">
        <f>'16.11'!D65+COUNTIF(D$9:D$38,$C65)</f>
        <v>0</v>
      </c>
      <c r="E65" s="62">
        <f>'16.11'!E65+COUNTIF(E$9:E$38,$C65)</f>
        <v>0</v>
      </c>
      <c r="F65" s="62">
        <f>'16.11'!F65+COUNTIF(F$9:F$38,$C65)</f>
        <v>0</v>
      </c>
      <c r="G65" s="62">
        <f>'16.11'!G65+COUNTIF(G$9:G$38,$C65)</f>
        <v>0</v>
      </c>
      <c r="H65" s="62">
        <f>'16.11'!H65+COUNTIF(H$9:H$38,$C65)</f>
        <v>0</v>
      </c>
      <c r="I65" s="62">
        <f>'16.11'!I65+COUNTIF(I$9:I$38,$C65)</f>
        <v>0</v>
      </c>
      <c r="J65" s="62">
        <f>'16.11'!J65+COUNTIF(J$9:J$38,$C65)</f>
        <v>0</v>
      </c>
    </row>
    <row r="66" spans="3:10" x14ac:dyDescent="0.4">
      <c r="C66" s="55">
        <f>'01.09'!C66</f>
        <v>0</v>
      </c>
      <c r="D66" s="62">
        <f>'16.11'!D66+COUNTIF(D$9:D$38,$C66)</f>
        <v>0</v>
      </c>
      <c r="E66" s="62">
        <f>'16.11'!E66+COUNTIF(E$9:E$38,$C66)</f>
        <v>0</v>
      </c>
      <c r="F66" s="62">
        <f>'16.11'!F66+COUNTIF(F$9:F$38,$C66)</f>
        <v>0</v>
      </c>
      <c r="G66" s="62">
        <f>'16.11'!G66+COUNTIF(G$9:G$38,$C66)</f>
        <v>0</v>
      </c>
      <c r="H66" s="62">
        <f>'16.11'!H66+COUNTIF(H$9:H$38,$C66)</f>
        <v>0</v>
      </c>
      <c r="I66" s="62">
        <f>'16.11'!I66+COUNTIF(I$9:I$38,$C66)</f>
        <v>0</v>
      </c>
      <c r="J66" s="62">
        <f>'16.11'!J66+COUNTIF(J$9:J$38,$C66)</f>
        <v>0</v>
      </c>
    </row>
  </sheetData>
  <mergeCells count="26">
    <mergeCell ref="D36:J36"/>
    <mergeCell ref="B1:J1"/>
    <mergeCell ref="A3:J3"/>
    <mergeCell ref="B5:J5"/>
    <mergeCell ref="A9:A13"/>
    <mergeCell ref="B2:J2"/>
    <mergeCell ref="B4:J4"/>
    <mergeCell ref="A7:A8"/>
    <mergeCell ref="C7:C8"/>
    <mergeCell ref="B9:B13"/>
    <mergeCell ref="D11:J11"/>
    <mergeCell ref="B14:B18"/>
    <mergeCell ref="B7:B8"/>
    <mergeCell ref="D16:J16"/>
    <mergeCell ref="A34:A38"/>
    <mergeCell ref="B34:B38"/>
    <mergeCell ref="A14:A18"/>
    <mergeCell ref="D21:J21"/>
    <mergeCell ref="D26:J26"/>
    <mergeCell ref="D31:J31"/>
    <mergeCell ref="A29:A33"/>
    <mergeCell ref="B19:B23"/>
    <mergeCell ref="B24:B28"/>
    <mergeCell ref="B29:B33"/>
    <mergeCell ref="A19:A23"/>
    <mergeCell ref="A24:A28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67"/>
  <sheetViews>
    <sheetView view="pageBreakPreview" topLeftCell="A22" zoomScale="39" zoomScaleNormal="40" zoomScaleSheetLayoutView="39" zoomScalePageLayoutView="38" workbookViewId="0">
      <selection activeCell="I32" sqref="I32"/>
    </sheetView>
  </sheetViews>
  <sheetFormatPr defaultColWidth="9.140625" defaultRowHeight="26.25" x14ac:dyDescent="0.25"/>
  <cols>
    <col min="1" max="2" width="4.42578125" style="74" customWidth="1"/>
    <col min="3" max="3" width="27.140625" style="74" customWidth="1"/>
    <col min="4" max="10" width="52.42578125" style="74" customWidth="1"/>
    <col min="11" max="16384" width="9.140625" style="74"/>
  </cols>
  <sheetData>
    <row r="1" spans="1:10" ht="24.75" customHeight="1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7" customHeight="1" x14ac:dyDescent="0.2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2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2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7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68.75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63" customHeight="1" x14ac:dyDescent="0.25">
      <c r="A9" s="657" t="s">
        <v>0</v>
      </c>
      <c r="B9" s="628">
        <v>46356</v>
      </c>
      <c r="C9" s="175" t="s">
        <v>5</v>
      </c>
      <c r="D9" s="462"/>
      <c r="E9" s="446"/>
      <c r="F9" s="446"/>
      <c r="G9" s="446"/>
      <c r="H9" s="446"/>
      <c r="I9" s="446"/>
      <c r="J9" s="447"/>
    </row>
    <row r="10" spans="1:10" ht="63" customHeight="1" x14ac:dyDescent="0.25">
      <c r="A10" s="661"/>
      <c r="B10" s="624"/>
      <c r="C10" s="176" t="s">
        <v>6</v>
      </c>
      <c r="D10" s="463"/>
      <c r="E10" s="448"/>
      <c r="F10" s="400"/>
      <c r="G10" s="400"/>
      <c r="H10" s="400"/>
      <c r="I10" s="400"/>
      <c r="J10" s="403"/>
    </row>
    <row r="11" spans="1:10" ht="63" customHeight="1" x14ac:dyDescent="0.25">
      <c r="A11" s="661"/>
      <c r="B11" s="624"/>
      <c r="C11" s="176" t="s">
        <v>7</v>
      </c>
      <c r="D11" s="651" t="s">
        <v>137</v>
      </c>
      <c r="E11" s="652"/>
      <c r="F11" s="652"/>
      <c r="G11" s="652"/>
      <c r="H11" s="652"/>
      <c r="I11" s="652"/>
      <c r="J11" s="653"/>
    </row>
    <row r="12" spans="1:10" ht="63" customHeight="1" x14ac:dyDescent="0.25">
      <c r="A12" s="661"/>
      <c r="B12" s="624"/>
      <c r="C12" s="176" t="s">
        <v>8</v>
      </c>
      <c r="D12" s="465"/>
      <c r="E12" s="466"/>
      <c r="F12" s="466"/>
      <c r="G12" s="466"/>
      <c r="H12" s="466"/>
      <c r="I12" s="466"/>
      <c r="J12" s="467"/>
    </row>
    <row r="13" spans="1:10" ht="63" customHeight="1" thickBot="1" x14ac:dyDescent="0.3">
      <c r="A13" s="662"/>
      <c r="B13" s="624"/>
      <c r="C13" s="177" t="s">
        <v>10</v>
      </c>
      <c r="D13" s="468"/>
      <c r="E13" s="411"/>
      <c r="F13" s="411"/>
      <c r="G13" s="469"/>
      <c r="H13" s="411"/>
      <c r="I13" s="469"/>
      <c r="J13" s="470"/>
    </row>
    <row r="14" spans="1:10" ht="63" customHeight="1" x14ac:dyDescent="0.25">
      <c r="A14" s="657" t="s">
        <v>1</v>
      </c>
      <c r="B14" s="626">
        <f>B9+1</f>
        <v>46357</v>
      </c>
      <c r="C14" s="175" t="s">
        <v>5</v>
      </c>
      <c r="D14" s="462"/>
      <c r="E14" s="446"/>
      <c r="F14" s="446"/>
      <c r="G14" s="446"/>
      <c r="H14" s="446"/>
      <c r="I14" s="446"/>
      <c r="J14" s="447"/>
    </row>
    <row r="15" spans="1:10" ht="63" customHeight="1" x14ac:dyDescent="0.25">
      <c r="A15" s="661"/>
      <c r="B15" s="624"/>
      <c r="C15" s="176" t="s">
        <v>6</v>
      </c>
      <c r="D15" s="463"/>
      <c r="E15" s="448"/>
      <c r="F15" s="400"/>
      <c r="G15" s="400"/>
      <c r="H15" s="400"/>
      <c r="I15" s="400"/>
      <c r="J15" s="403"/>
    </row>
    <row r="16" spans="1:10" ht="63" customHeight="1" x14ac:dyDescent="0.25">
      <c r="A16" s="661"/>
      <c r="B16" s="624"/>
      <c r="C16" s="176" t="s">
        <v>7</v>
      </c>
      <c r="D16" s="651" t="s">
        <v>137</v>
      </c>
      <c r="E16" s="652"/>
      <c r="F16" s="652"/>
      <c r="G16" s="652"/>
      <c r="H16" s="652"/>
      <c r="I16" s="652"/>
      <c r="J16" s="653"/>
    </row>
    <row r="17" spans="1:11" ht="63" customHeight="1" x14ac:dyDescent="0.25">
      <c r="A17" s="661"/>
      <c r="B17" s="624"/>
      <c r="C17" s="176" t="s">
        <v>8</v>
      </c>
      <c r="D17" s="465"/>
      <c r="E17" s="466"/>
      <c r="F17" s="466"/>
      <c r="G17" s="466"/>
      <c r="H17" s="466"/>
      <c r="I17" s="466"/>
      <c r="J17" s="467"/>
    </row>
    <row r="18" spans="1:11" ht="63" customHeight="1" thickBot="1" x14ac:dyDescent="0.3">
      <c r="A18" s="662"/>
      <c r="B18" s="624"/>
      <c r="C18" s="177" t="s">
        <v>10</v>
      </c>
      <c r="D18" s="468"/>
      <c r="E18" s="411"/>
      <c r="F18" s="411"/>
      <c r="G18" s="469"/>
      <c r="H18" s="411"/>
      <c r="I18" s="469"/>
      <c r="J18" s="470"/>
      <c r="K18" s="75"/>
    </row>
    <row r="19" spans="1:11" ht="78.75" customHeight="1" x14ac:dyDescent="0.25">
      <c r="A19" s="643" t="s">
        <v>2</v>
      </c>
      <c r="B19" s="621">
        <f>B14+1</f>
        <v>46358</v>
      </c>
      <c r="C19" s="120" t="s">
        <v>5</v>
      </c>
      <c r="D19" s="430"/>
      <c r="E19" s="186"/>
      <c r="F19" s="186"/>
      <c r="G19" s="186"/>
      <c r="H19" s="238"/>
      <c r="I19" s="186"/>
      <c r="J19" s="187"/>
    </row>
    <row r="20" spans="1:11" ht="78.75" customHeight="1" x14ac:dyDescent="0.25">
      <c r="A20" s="644"/>
      <c r="B20" s="619"/>
      <c r="C20" s="39" t="s">
        <v>6</v>
      </c>
      <c r="D20" s="450"/>
      <c r="E20" s="147"/>
      <c r="F20" s="147"/>
      <c r="G20" s="147"/>
      <c r="H20" s="237"/>
      <c r="I20" s="451"/>
      <c r="J20" s="452"/>
    </row>
    <row r="21" spans="1:11" ht="78.75" customHeight="1" x14ac:dyDescent="0.25">
      <c r="A21" s="644"/>
      <c r="B21" s="619"/>
      <c r="C21" s="39" t="s">
        <v>7</v>
      </c>
      <c r="D21" s="152"/>
      <c r="E21" s="451"/>
      <c r="F21" s="451"/>
      <c r="G21" s="147"/>
      <c r="H21" s="451"/>
      <c r="I21" s="451"/>
      <c r="J21" s="452"/>
      <c r="K21" s="75"/>
    </row>
    <row r="22" spans="1:11" ht="78.75" customHeight="1" x14ac:dyDescent="0.25">
      <c r="A22" s="644"/>
      <c r="B22" s="619"/>
      <c r="C22" s="39" t="s">
        <v>8</v>
      </c>
      <c r="D22" s="152"/>
      <c r="E22" s="147"/>
      <c r="F22" s="147"/>
      <c r="G22" s="147"/>
      <c r="H22" s="184"/>
      <c r="I22" s="451"/>
      <c r="J22" s="452"/>
    </row>
    <row r="23" spans="1:11" ht="78.75" customHeight="1" thickBot="1" x14ac:dyDescent="0.3">
      <c r="A23" s="645"/>
      <c r="B23" s="619"/>
      <c r="C23" s="40" t="s">
        <v>10</v>
      </c>
      <c r="D23" s="153"/>
      <c r="E23" s="154"/>
      <c r="F23" s="195"/>
      <c r="G23" s="154"/>
      <c r="H23" s="154"/>
      <c r="I23" s="195"/>
      <c r="J23" s="155"/>
    </row>
    <row r="24" spans="1:11" ht="78.75" customHeight="1" x14ac:dyDescent="0.25">
      <c r="A24" s="643" t="s">
        <v>3</v>
      </c>
      <c r="B24" s="621">
        <f>B19+1</f>
        <v>46359</v>
      </c>
      <c r="C24" s="120" t="s">
        <v>5</v>
      </c>
      <c r="D24" s="196"/>
      <c r="E24" s="205"/>
      <c r="F24" s="183"/>
      <c r="G24" s="205"/>
      <c r="H24" s="205"/>
      <c r="I24" s="205"/>
      <c r="J24" s="383"/>
    </row>
    <row r="25" spans="1:11" ht="78.75" customHeight="1" x14ac:dyDescent="0.25">
      <c r="A25" s="671"/>
      <c r="B25" s="619"/>
      <c r="C25" s="39" t="s">
        <v>6</v>
      </c>
      <c r="D25" s="450"/>
      <c r="E25" s="147"/>
      <c r="F25" s="147"/>
      <c r="G25" s="147"/>
      <c r="H25" s="147"/>
      <c r="I25" s="451"/>
      <c r="J25" s="242"/>
    </row>
    <row r="26" spans="1:11" ht="78.75" customHeight="1" x14ac:dyDescent="0.25">
      <c r="A26" s="671"/>
      <c r="B26" s="619"/>
      <c r="C26" s="39" t="s">
        <v>7</v>
      </c>
      <c r="D26" s="152"/>
      <c r="E26" s="147"/>
      <c r="F26" s="147"/>
      <c r="G26" s="451"/>
      <c r="H26" s="184"/>
      <c r="I26" s="147"/>
      <c r="J26" s="148"/>
    </row>
    <row r="27" spans="1:11" ht="78.75" customHeight="1" x14ac:dyDescent="0.25">
      <c r="A27" s="671"/>
      <c r="B27" s="619"/>
      <c r="C27" s="39" t="s">
        <v>8</v>
      </c>
      <c r="D27" s="152"/>
      <c r="E27" s="147"/>
      <c r="F27" s="147"/>
      <c r="G27" s="451"/>
      <c r="H27" s="147"/>
      <c r="I27" s="147"/>
      <c r="J27" s="148"/>
    </row>
    <row r="28" spans="1:11" ht="78.75" customHeight="1" thickBot="1" x14ac:dyDescent="0.3">
      <c r="A28" s="672"/>
      <c r="B28" s="619"/>
      <c r="C28" s="40" t="s">
        <v>10</v>
      </c>
      <c r="D28" s="428"/>
      <c r="E28" s="429"/>
      <c r="F28" s="194"/>
      <c r="G28" s="212"/>
      <c r="H28" s="199"/>
      <c r="I28" s="212"/>
      <c r="J28" s="308"/>
    </row>
    <row r="29" spans="1:11" ht="78.75" customHeight="1" x14ac:dyDescent="0.25">
      <c r="A29" s="643" t="s">
        <v>4</v>
      </c>
      <c r="B29" s="621">
        <f>B24+1</f>
        <v>46360</v>
      </c>
      <c r="C29" s="120" t="s">
        <v>5</v>
      </c>
      <c r="D29" s="196"/>
      <c r="E29" s="236"/>
      <c r="F29" s="183"/>
      <c r="G29" s="205"/>
      <c r="H29" s="236"/>
      <c r="I29" s="236"/>
      <c r="J29" s="197"/>
    </row>
    <row r="30" spans="1:11" ht="78.75" customHeight="1" x14ac:dyDescent="0.25">
      <c r="A30" s="644"/>
      <c r="B30" s="619"/>
      <c r="C30" s="39" t="s">
        <v>6</v>
      </c>
      <c r="D30" s="152"/>
      <c r="E30" s="237"/>
      <c r="F30" s="147"/>
      <c r="G30" s="147"/>
      <c r="H30" s="237"/>
      <c r="I30" s="237"/>
      <c r="J30" s="148"/>
    </row>
    <row r="31" spans="1:11" ht="78.75" customHeight="1" x14ac:dyDescent="0.25">
      <c r="A31" s="644"/>
      <c r="B31" s="619"/>
      <c r="C31" s="39" t="s">
        <v>7</v>
      </c>
      <c r="D31" s="450"/>
      <c r="E31" s="147"/>
      <c r="F31" s="147"/>
      <c r="G31" s="451"/>
      <c r="H31" s="147"/>
      <c r="I31" s="147"/>
      <c r="J31" s="288"/>
    </row>
    <row r="32" spans="1:11" ht="78.75" customHeight="1" x14ac:dyDescent="0.25">
      <c r="A32" s="644"/>
      <c r="B32" s="619"/>
      <c r="C32" s="39" t="s">
        <v>8</v>
      </c>
      <c r="D32" s="450"/>
      <c r="E32" s="147"/>
      <c r="F32" s="147"/>
      <c r="G32" s="147"/>
      <c r="H32" s="147"/>
      <c r="I32" s="240"/>
      <c r="J32" s="190"/>
    </row>
    <row r="33" spans="1:10" ht="78.75" customHeight="1" thickBot="1" x14ac:dyDescent="0.3">
      <c r="A33" s="645"/>
      <c r="B33" s="619"/>
      <c r="C33" s="40" t="s">
        <v>10</v>
      </c>
      <c r="D33" s="153"/>
      <c r="E33" s="154"/>
      <c r="F33" s="154"/>
      <c r="G33" s="154"/>
      <c r="H33" s="154"/>
      <c r="I33" s="154"/>
      <c r="J33" s="188"/>
    </row>
    <row r="34" spans="1:10" ht="39" customHeight="1" x14ac:dyDescent="0.25">
      <c r="A34" s="619" t="s">
        <v>12</v>
      </c>
      <c r="B34" s="621">
        <f>B29+1</f>
        <v>46361</v>
      </c>
      <c r="C34" s="120" t="s">
        <v>5</v>
      </c>
      <c r="D34" s="162"/>
      <c r="E34" s="163"/>
      <c r="F34" s="163"/>
      <c r="G34" s="163"/>
      <c r="H34" s="163"/>
      <c r="I34" s="163"/>
      <c r="J34" s="187"/>
    </row>
    <row r="35" spans="1:10" ht="39" customHeight="1" x14ac:dyDescent="0.25">
      <c r="A35" s="619"/>
      <c r="B35" s="619"/>
      <c r="C35" s="39" t="s">
        <v>6</v>
      </c>
      <c r="D35" s="29"/>
      <c r="E35" s="30"/>
      <c r="F35" s="30"/>
      <c r="G35" s="30"/>
      <c r="H35" s="30"/>
      <c r="I35" s="30"/>
      <c r="J35" s="148"/>
    </row>
    <row r="36" spans="1:10" ht="39" customHeight="1" x14ac:dyDescent="0.25">
      <c r="A36" s="619"/>
      <c r="B36" s="619"/>
      <c r="C36" s="39" t="s">
        <v>7</v>
      </c>
      <c r="D36" s="29"/>
      <c r="E36" s="30"/>
      <c r="F36" s="30"/>
      <c r="G36" s="30"/>
      <c r="H36" s="30"/>
      <c r="I36" s="30"/>
      <c r="J36" s="38"/>
    </row>
    <row r="37" spans="1:10" ht="39" customHeight="1" x14ac:dyDescent="0.25">
      <c r="A37" s="619"/>
      <c r="B37" s="619"/>
      <c r="C37" s="39" t="s">
        <v>8</v>
      </c>
      <c r="D37" s="29"/>
      <c r="E37" s="30"/>
      <c r="F37" s="30"/>
      <c r="G37" s="121"/>
      <c r="H37" s="30"/>
      <c r="I37" s="121"/>
      <c r="J37" s="38"/>
    </row>
    <row r="38" spans="1:10" ht="39" customHeight="1" thickBot="1" x14ac:dyDescent="0.3">
      <c r="A38" s="620"/>
      <c r="B38" s="620"/>
      <c r="C38" s="40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25">
      <c r="D39" s="136" t="s">
        <v>51</v>
      </c>
    </row>
    <row r="40" spans="1:10" x14ac:dyDescent="0.25">
      <c r="C40" s="76" t="str">
        <f>'01.09'!C40</f>
        <v>*Л. Основы медицинских знаний и спортивная медицина*</v>
      </c>
      <c r="D40" s="62">
        <f>'23.11'!D40+COUNTIF(D$9:D$38,$C40)</f>
        <v>8</v>
      </c>
      <c r="E40" s="62">
        <f>'23.11'!E40+COUNTIF(E$9:E$38,$C40)</f>
        <v>8</v>
      </c>
      <c r="F40" s="62">
        <f>'23.11'!F40+COUNTIF(F$9:F$38,$C40)</f>
        <v>8</v>
      </c>
      <c r="G40" s="62">
        <f>'23.11'!G40+COUNTIF(G$9:G$38,$C40)</f>
        <v>8</v>
      </c>
      <c r="H40" s="62">
        <f>'23.11'!H40+COUNTIF(H$9:H$38,$C40)</f>
        <v>8</v>
      </c>
      <c r="I40" s="62">
        <f>'23.11'!I40+COUNTIF(I$9:I$38,$C40)</f>
        <v>8</v>
      </c>
      <c r="J40" s="62">
        <f>'23.11'!J40+COUNTIF(J$9:J$38,$C40)</f>
        <v>8</v>
      </c>
    </row>
    <row r="41" spans="1:10" x14ac:dyDescent="0.25">
      <c r="C41" s="76" t="str">
        <f>'01.09'!C41</f>
        <v>*Пр. Основы медицинских знаний и спортивная медицина*</v>
      </c>
      <c r="D41" s="62">
        <f>'23.11'!D41+COUNTIF(D$9:D$38,$C41)</f>
        <v>14</v>
      </c>
      <c r="E41" s="62">
        <f>'23.11'!E41+COUNTIF(E$9:E$38,$C41)</f>
        <v>14</v>
      </c>
      <c r="F41" s="62">
        <f>'23.11'!F41+COUNTIF(F$9:F$38,$C41)</f>
        <v>13</v>
      </c>
      <c r="G41" s="62">
        <f>'23.11'!G41+COUNTIF(G$9:G$38,$C41)</f>
        <v>9</v>
      </c>
      <c r="H41" s="62">
        <f>'23.11'!H41+COUNTIF(H$9:H$38,$C41)</f>
        <v>14</v>
      </c>
      <c r="I41" s="62">
        <f>'23.11'!I41+COUNTIF(I$9:I$38,$C41)</f>
        <v>13</v>
      </c>
      <c r="J41" s="62">
        <f>'23.11'!J41+COUNTIF(J$9:J$38,$C41)</f>
        <v>13</v>
      </c>
    </row>
    <row r="42" spans="1:10" x14ac:dyDescent="0.25">
      <c r="C42" s="76" t="str">
        <f>'01.09'!C42</f>
        <v>*Л. Массаж*</v>
      </c>
      <c r="D42" s="62">
        <f>'23.11'!D42+COUNTIF(D$9:D$38,$C42)</f>
        <v>5</v>
      </c>
      <c r="E42" s="62">
        <f>'23.11'!E42+COUNTIF(E$9:E$38,$C42)</f>
        <v>5</v>
      </c>
      <c r="F42" s="62">
        <f>'23.11'!F42+COUNTIF(F$9:F$38,$C42)</f>
        <v>5</v>
      </c>
      <c r="G42" s="62">
        <f>'23.11'!G42+COUNTIF(G$9:G$38,$C42)</f>
        <v>5</v>
      </c>
      <c r="H42" s="62">
        <f>'23.11'!H42+COUNTIF(H$9:H$38,$C42)</f>
        <v>5</v>
      </c>
      <c r="I42" s="62">
        <f>'23.11'!I42+COUNTIF(I$9:I$38,$C42)</f>
        <v>5</v>
      </c>
      <c r="J42" s="62">
        <f>'23.11'!J42+COUNTIF(J$9:J$38,$C42)</f>
        <v>5</v>
      </c>
    </row>
    <row r="43" spans="1:10" x14ac:dyDescent="0.25">
      <c r="C43" s="76" t="str">
        <f>'01.09'!C43</f>
        <v>*Пр. Массаж*</v>
      </c>
      <c r="D43" s="62">
        <f>'23.11'!D43+COUNTIF(D$9:D$38,$C43)</f>
        <v>13</v>
      </c>
      <c r="E43" s="62">
        <f>'23.11'!E43+COUNTIF(E$9:E$38,$C43)</f>
        <v>13</v>
      </c>
      <c r="F43" s="62">
        <f>'23.11'!F43+COUNTIF(F$9:F$38,$C43)</f>
        <v>13</v>
      </c>
      <c r="G43" s="62">
        <f>'23.11'!G43+COUNTIF(G$9:G$38,$C43)</f>
        <v>14</v>
      </c>
      <c r="H43" s="62">
        <f>'23.11'!H43+COUNTIF(H$9:H$38,$C43)</f>
        <v>14</v>
      </c>
      <c r="I43" s="62">
        <f>'23.11'!I43+COUNTIF(I$9:I$38,$C43)</f>
        <v>14</v>
      </c>
      <c r="J43" s="62">
        <f>'23.11'!J43+COUNTIF(J$9:J$38,$C43)</f>
        <v>14</v>
      </c>
    </row>
    <row r="44" spans="1:10" x14ac:dyDescent="0.25">
      <c r="C44" s="76" t="str">
        <f>'01.09'!C44</f>
        <v>*Л. Правовые основы профессиональной деятельности*</v>
      </c>
      <c r="D44" s="62">
        <f>'23.11'!D44+COUNTIF(D$9:D$38,$C44)</f>
        <v>5</v>
      </c>
      <c r="E44" s="62">
        <f>'23.11'!E44+COUNTIF(E$9:E$38,$C44)</f>
        <v>5</v>
      </c>
      <c r="F44" s="62">
        <f>'23.11'!F44+COUNTIF(F$9:F$38,$C44)</f>
        <v>5</v>
      </c>
      <c r="G44" s="62">
        <f>'23.11'!G44+COUNTIF(G$9:G$38,$C44)</f>
        <v>5</v>
      </c>
      <c r="H44" s="62">
        <f>'23.11'!H44+COUNTIF(H$9:H$38,$C44)</f>
        <v>5</v>
      </c>
      <c r="I44" s="62">
        <f>'23.11'!I44+COUNTIF(I$9:I$38,$C44)</f>
        <v>5</v>
      </c>
      <c r="J44" s="62">
        <f>'23.11'!J44+COUNTIF(J$9:J$38,$C44)</f>
        <v>5</v>
      </c>
    </row>
    <row r="45" spans="1:10" x14ac:dyDescent="0.25">
      <c r="C45" s="76" t="str">
        <f>'01.09'!C45</f>
        <v>*Пр. Правовые основы профессиональной деятельности*</v>
      </c>
      <c r="D45" s="62">
        <f>'23.11'!D45+COUNTIF(D$9:D$38,$C45)</f>
        <v>7</v>
      </c>
      <c r="E45" s="62">
        <f>'23.11'!E45+COUNTIF(E$9:E$38,$C45)</f>
        <v>8</v>
      </c>
      <c r="F45" s="62">
        <f>'23.11'!F45+COUNTIF(F$9:F$38,$C45)</f>
        <v>7</v>
      </c>
      <c r="G45" s="62">
        <f>'23.11'!G45+COUNTIF(G$9:G$38,$C45)</f>
        <v>7</v>
      </c>
      <c r="H45" s="62">
        <f>'23.11'!H45+COUNTIF(H$9:H$38,$C45)</f>
        <v>7</v>
      </c>
      <c r="I45" s="62">
        <f>'23.11'!I45+COUNTIF(I$9:I$38,$C45)</f>
        <v>6</v>
      </c>
      <c r="J45" s="62">
        <f>'23.11'!J45+COUNTIF(J$9:J$38,$C45)</f>
        <v>7</v>
      </c>
    </row>
    <row r="46" spans="1:10" x14ac:dyDescent="0.25">
      <c r="C46" s="76" t="str">
        <f>'01.09'!C46</f>
        <v>*Л. Теория и методика*</v>
      </c>
      <c r="D46" s="62">
        <f>'23.11'!D46+COUNTIF(D$9:D$38,$C46)</f>
        <v>4</v>
      </c>
      <c r="E46" s="62">
        <f>'23.11'!E46+COUNTIF(E$9:E$38,$C46)</f>
        <v>4</v>
      </c>
      <c r="F46" s="62">
        <f>'23.11'!F46+COUNTIF(F$9:F$38,$C46)</f>
        <v>4</v>
      </c>
      <c r="G46" s="62">
        <f>'23.11'!G46+COUNTIF(G$9:G$38,$C46)</f>
        <v>4</v>
      </c>
      <c r="H46" s="62">
        <f>'23.11'!H46+COUNTIF(H$9:H$38,$C46)</f>
        <v>4</v>
      </c>
      <c r="I46" s="62">
        <f>'23.11'!I46+COUNTIF(I$9:I$38,$C46)</f>
        <v>4</v>
      </c>
      <c r="J46" s="62">
        <f>'23.11'!J46+COUNTIF(J$9:J$38,$C46)</f>
        <v>4</v>
      </c>
    </row>
    <row r="47" spans="1:10" x14ac:dyDescent="0.25">
      <c r="C47" s="76" t="str">
        <f>'01.09'!C47</f>
        <v>*Пр. Теория и методика*</v>
      </c>
      <c r="D47" s="62">
        <f>'23.11'!D47+COUNTIF(D$9:D$38,$C47)</f>
        <v>30</v>
      </c>
      <c r="E47" s="62">
        <f>'23.11'!E47+COUNTIF(E$9:E$38,$C47)</f>
        <v>30</v>
      </c>
      <c r="F47" s="62">
        <f>'23.11'!F47+COUNTIF(F$9:F$38,$C47)</f>
        <v>31</v>
      </c>
      <c r="G47" s="62">
        <f>'23.11'!G47+COUNTIF(G$9:G$38,$C47)</f>
        <v>35</v>
      </c>
      <c r="H47" s="62">
        <f>'23.11'!H47+COUNTIF(H$9:H$38,$C47)</f>
        <v>35</v>
      </c>
      <c r="I47" s="62">
        <f>'23.11'!I47+COUNTIF(I$9:I$38,$C47)</f>
        <v>37</v>
      </c>
      <c r="J47" s="62">
        <f>'23.11'!J47+COUNTIF(J$9:J$38,$C47)</f>
        <v>37</v>
      </c>
    </row>
    <row r="48" spans="1:10" x14ac:dyDescent="0.25">
      <c r="C48" s="76" t="str">
        <f>'01.09'!C48</f>
        <v>*Л. Спортивная метрология*</v>
      </c>
      <c r="D48" s="62">
        <f>'23.11'!D48+COUNTIF(D$9:D$38,$C48)</f>
        <v>5</v>
      </c>
      <c r="E48" s="62">
        <f>'23.11'!E48+COUNTIF(E$9:E$38,$C48)</f>
        <v>5</v>
      </c>
      <c r="F48" s="62">
        <f>'23.11'!F48+COUNTIF(F$9:F$38,$C48)</f>
        <v>5</v>
      </c>
      <c r="G48" s="62">
        <f>'23.11'!G48+COUNTIF(G$9:G$38,$C48)</f>
        <v>5</v>
      </c>
      <c r="H48" s="62">
        <f>'23.11'!H48+COUNTIF(H$9:H$38,$C48)</f>
        <v>5</v>
      </c>
      <c r="I48" s="62">
        <f>'23.11'!I48+COUNTIF(I$9:I$38,$C48)</f>
        <v>5</v>
      </c>
      <c r="J48" s="62">
        <f>'23.11'!J48+COUNTIF(J$9:J$38,$C48)</f>
        <v>5</v>
      </c>
    </row>
    <row r="49" spans="3:10" x14ac:dyDescent="0.25">
      <c r="C49" s="76" t="str">
        <f>'01.09'!C49</f>
        <v>*Пр. Спортивная метрология*</v>
      </c>
      <c r="D49" s="62">
        <f>'23.11'!D49+COUNTIF(D$9:D$38,$C49)</f>
        <v>7</v>
      </c>
      <c r="E49" s="62">
        <f>'23.11'!E49+COUNTIF(E$9:E$38,$C49)</f>
        <v>7</v>
      </c>
      <c r="F49" s="62">
        <f>'23.11'!F49+COUNTIF(F$9:F$38,$C49)</f>
        <v>7</v>
      </c>
      <c r="G49" s="62">
        <f>'23.11'!G49+COUNTIF(G$9:G$38,$C49)</f>
        <v>7</v>
      </c>
      <c r="H49" s="62">
        <f>'23.11'!H49+COUNTIF(H$9:H$38,$C49)</f>
        <v>7</v>
      </c>
      <c r="I49" s="62">
        <f>'23.11'!I49+COUNTIF(I$9:I$38,$C49)</f>
        <v>7</v>
      </c>
      <c r="J49" s="62">
        <f>'23.11'!J49+COUNTIF(J$9:J$38,$C49)</f>
        <v>7</v>
      </c>
    </row>
    <row r="50" spans="3:10" x14ac:dyDescent="0.25">
      <c r="C50" s="76" t="str">
        <f>'01.09'!C50</f>
        <v>*Л.  Теория и методика циклических и сложнокоординационных*</v>
      </c>
      <c r="D50" s="62">
        <f>'23.11'!D50+COUNTIF(D$9:D$38,$C50)</f>
        <v>0</v>
      </c>
      <c r="E50" s="62">
        <f>'23.11'!E50+COUNTIF(E$9:E$38,$C50)</f>
        <v>0</v>
      </c>
      <c r="F50" s="62">
        <f>'23.11'!F50+COUNTIF(F$9:F$38,$C50)</f>
        <v>0</v>
      </c>
      <c r="G50" s="62">
        <f>'23.11'!G50+COUNTIF(G$9:G$38,$C50)</f>
        <v>0</v>
      </c>
      <c r="H50" s="62">
        <f>'23.11'!H50+COUNTIF(H$9:H$38,$C50)</f>
        <v>4</v>
      </c>
      <c r="I50" s="62">
        <f>'23.11'!I50+COUNTIF(I$9:I$38,$C50)</f>
        <v>0</v>
      </c>
      <c r="J50" s="62">
        <f>'23.11'!J50+COUNTIF(J$9:J$38,$C50)</f>
        <v>0</v>
      </c>
    </row>
    <row r="51" spans="3:10" x14ac:dyDescent="0.25">
      <c r="C51" s="76" t="str">
        <f>'01.09'!C51</f>
        <v>*Пр.  Теория и методика циклических и сложнокоординационных*</v>
      </c>
      <c r="D51" s="62">
        <f>'23.11'!D51+COUNTIF(D$9:D$38,$C51)</f>
        <v>0</v>
      </c>
      <c r="E51" s="62">
        <f>'23.11'!E51+COUNTIF(E$9:E$38,$C51)</f>
        <v>0</v>
      </c>
      <c r="F51" s="62">
        <f>'23.11'!F51+COUNTIF(F$9:F$38,$C51)</f>
        <v>0</v>
      </c>
      <c r="G51" s="62">
        <f>'23.11'!G51+COUNTIF(G$9:G$38,$C51)</f>
        <v>0</v>
      </c>
      <c r="H51" s="62">
        <f>'23.11'!H51+COUNTIF(H$9:H$38,$C51)</f>
        <v>39</v>
      </c>
      <c r="I51" s="62">
        <f>'23.11'!I51+COUNTIF(I$9:I$38,$C51)</f>
        <v>0</v>
      </c>
      <c r="J51" s="62">
        <f>'23.11'!J51+COUNTIF(J$9:J$38,$C51)</f>
        <v>0</v>
      </c>
    </row>
    <row r="52" spans="3:10" x14ac:dyDescent="0.25">
      <c r="C52" s="76">
        <f>'01.09'!C52</f>
        <v>0</v>
      </c>
      <c r="D52" s="62">
        <f>'23.11'!D52+COUNTIF(D$9:D$38,$C52)</f>
        <v>0</v>
      </c>
      <c r="E52" s="62">
        <f>'23.11'!E52+COUNTIF(E$9:E$38,$C52)</f>
        <v>0</v>
      </c>
      <c r="F52" s="62">
        <f>'23.11'!F52+COUNTIF(F$9:F$38,$C52)</f>
        <v>0</v>
      </c>
      <c r="G52" s="62">
        <f>'23.11'!G52+COUNTIF(G$9:G$38,$C52)</f>
        <v>0</v>
      </c>
      <c r="H52" s="62">
        <f>'23.11'!H52+COUNTIF(H$9:H$38,$C52)</f>
        <v>0</v>
      </c>
      <c r="I52" s="62">
        <f>'23.11'!I52+COUNTIF(I$9:I$38,$C52)</f>
        <v>0</v>
      </c>
      <c r="J52" s="62">
        <f>'23.11'!J52+COUNTIF(J$9:J$38,$C52)</f>
        <v>0</v>
      </c>
    </row>
    <row r="53" spans="3:10" x14ac:dyDescent="0.25">
      <c r="C53" s="76">
        <f>'01.09'!C53</f>
        <v>0</v>
      </c>
      <c r="D53" s="62">
        <f>'23.11'!D53+COUNTIF(D$9:D$38,$C53)</f>
        <v>0</v>
      </c>
      <c r="E53" s="62">
        <f>'23.11'!E53+COUNTIF(E$9:E$38,$C53)</f>
        <v>0</v>
      </c>
      <c r="F53" s="62">
        <f>'23.11'!F53+COUNTIF(F$9:F$38,$C53)</f>
        <v>0</v>
      </c>
      <c r="G53" s="62">
        <f>'23.11'!G53+COUNTIF(G$9:G$38,$C53)</f>
        <v>0</v>
      </c>
      <c r="H53" s="62">
        <f>'23.11'!H53+COUNTIF(H$9:H$38,$C53)</f>
        <v>0</v>
      </c>
      <c r="I53" s="62">
        <f>'23.11'!I53+COUNTIF(I$9:I$38,$C53)</f>
        <v>0</v>
      </c>
      <c r="J53" s="62">
        <f>'23.11'!J53+COUNTIF(J$9:J$38,$C53)</f>
        <v>0</v>
      </c>
    </row>
    <row r="54" spans="3:10" x14ac:dyDescent="0.25">
      <c r="C54" s="76">
        <f>'01.09'!C54</f>
        <v>0</v>
      </c>
      <c r="D54" s="62">
        <f>'23.11'!D54+COUNTIF(D$9:D$38,$C54)</f>
        <v>0</v>
      </c>
      <c r="E54" s="62">
        <f>'23.11'!E54+COUNTIF(E$9:E$38,$C54)</f>
        <v>0</v>
      </c>
      <c r="F54" s="62">
        <f>'23.11'!F54+COUNTIF(F$9:F$38,$C54)</f>
        <v>0</v>
      </c>
      <c r="G54" s="62">
        <f>'23.11'!G54+COUNTIF(G$9:G$38,$C54)</f>
        <v>0</v>
      </c>
      <c r="H54" s="62">
        <f>'23.11'!H54+COUNTIF(H$9:H$38,$C54)</f>
        <v>0</v>
      </c>
      <c r="I54" s="62">
        <f>'23.11'!I54+COUNTIF(I$9:I$38,$C54)</f>
        <v>0</v>
      </c>
      <c r="J54" s="62">
        <f>'23.11'!J54+COUNTIF(J$9:J$38,$C54)</f>
        <v>0</v>
      </c>
    </row>
    <row r="55" spans="3:10" x14ac:dyDescent="0.25">
      <c r="C55" s="76">
        <f>'01.09'!C55</f>
        <v>0</v>
      </c>
      <c r="D55" s="62">
        <f>'23.11'!D55+COUNTIF(D$9:D$38,$C55)</f>
        <v>0</v>
      </c>
      <c r="E55" s="62">
        <f>'23.11'!E55+COUNTIF(E$9:E$38,$C55)</f>
        <v>0</v>
      </c>
      <c r="F55" s="62">
        <f>'23.11'!F55+COUNTIF(F$9:F$38,$C55)</f>
        <v>0</v>
      </c>
      <c r="G55" s="62">
        <f>'23.11'!G55+COUNTIF(G$9:G$38,$C55)</f>
        <v>0</v>
      </c>
      <c r="H55" s="62">
        <f>'23.11'!H55+COUNTIF(H$9:H$38,$C55)</f>
        <v>0</v>
      </c>
      <c r="I55" s="62">
        <f>'23.11'!I55+COUNTIF(I$9:I$38,$C55)</f>
        <v>0</v>
      </c>
      <c r="J55" s="62">
        <f>'23.11'!J55+COUNTIF(J$9:J$38,$C55)</f>
        <v>0</v>
      </c>
    </row>
    <row r="56" spans="3:10" x14ac:dyDescent="0.25">
      <c r="C56" s="76">
        <f>'01.09'!C56</f>
        <v>0</v>
      </c>
      <c r="D56" s="62">
        <f>'23.11'!D56+COUNTIF(D$9:D$38,$C56)</f>
        <v>0</v>
      </c>
      <c r="E56" s="62">
        <f>'23.11'!E56+COUNTIF(E$9:E$38,$C56)</f>
        <v>0</v>
      </c>
      <c r="F56" s="62">
        <f>'23.11'!F56+COUNTIF(F$9:F$38,$C56)</f>
        <v>0</v>
      </c>
      <c r="G56" s="62">
        <f>'23.11'!G56+COUNTIF(G$9:G$38,$C56)</f>
        <v>0</v>
      </c>
      <c r="H56" s="62">
        <f>'23.11'!H56+COUNTIF(H$9:H$38,$C56)</f>
        <v>0</v>
      </c>
      <c r="I56" s="62">
        <f>'23.11'!I56+COUNTIF(I$9:I$38,$C56)</f>
        <v>0</v>
      </c>
      <c r="J56" s="62">
        <f>'23.11'!J56+COUNTIF(J$9:J$38,$C56)</f>
        <v>0</v>
      </c>
    </row>
    <row r="57" spans="3:10" x14ac:dyDescent="0.25">
      <c r="C57" s="76">
        <f>'01.09'!C57</f>
        <v>0</v>
      </c>
      <c r="D57" s="62">
        <f>'23.11'!D57+COUNTIF(D$9:D$38,$C57)</f>
        <v>0</v>
      </c>
      <c r="E57" s="62">
        <f>'23.11'!E57+COUNTIF(E$9:E$38,$C57)</f>
        <v>0</v>
      </c>
      <c r="F57" s="62">
        <f>'23.11'!F57+COUNTIF(F$9:F$38,$C57)</f>
        <v>0</v>
      </c>
      <c r="G57" s="62">
        <f>'23.11'!G57+COUNTIF(G$9:G$38,$C57)</f>
        <v>0</v>
      </c>
      <c r="H57" s="62">
        <f>'23.11'!H57+COUNTIF(H$9:H$38,$C57)</f>
        <v>0</v>
      </c>
      <c r="I57" s="62">
        <f>'23.11'!I57+COUNTIF(I$9:I$38,$C57)</f>
        <v>0</v>
      </c>
      <c r="J57" s="62">
        <f>'23.11'!J57+COUNTIF(J$9:J$38,$C57)</f>
        <v>0</v>
      </c>
    </row>
    <row r="58" spans="3:10" x14ac:dyDescent="0.25">
      <c r="C58" s="76">
        <f>'01.09'!C58</f>
        <v>0</v>
      </c>
      <c r="D58" s="62">
        <f>'23.11'!D58+COUNTIF(D$9:D$38,$C58)</f>
        <v>0</v>
      </c>
      <c r="E58" s="62">
        <f>'23.11'!E58+COUNTIF(E$9:E$38,$C58)</f>
        <v>0</v>
      </c>
      <c r="F58" s="62">
        <f>'23.11'!F58+COUNTIF(F$9:F$38,$C58)</f>
        <v>0</v>
      </c>
      <c r="G58" s="62">
        <f>'23.11'!G58+COUNTIF(G$9:G$38,$C58)</f>
        <v>0</v>
      </c>
      <c r="H58" s="62">
        <f>'23.11'!H58+COUNTIF(H$9:H$38,$C58)</f>
        <v>0</v>
      </c>
      <c r="I58" s="62">
        <f>'23.11'!I58+COUNTIF(I$9:I$38,$C58)</f>
        <v>0</v>
      </c>
      <c r="J58" s="62">
        <f>'23.11'!J58+COUNTIF(J$9:J$38,$C58)</f>
        <v>0</v>
      </c>
    </row>
    <row r="59" spans="3:10" x14ac:dyDescent="0.25">
      <c r="C59" s="76">
        <f>'01.09'!C59</f>
        <v>0</v>
      </c>
      <c r="D59" s="62">
        <f>'23.11'!D59+COUNTIF(D$9:D$38,$C59)</f>
        <v>0</v>
      </c>
      <c r="E59" s="62">
        <f>'23.11'!E59+COUNTIF(E$9:E$38,$C59)</f>
        <v>0</v>
      </c>
      <c r="F59" s="62">
        <f>'23.11'!F59+COUNTIF(F$9:F$38,$C59)</f>
        <v>0</v>
      </c>
      <c r="G59" s="62">
        <f>'23.11'!G59+COUNTIF(G$9:G$38,$C59)</f>
        <v>0</v>
      </c>
      <c r="H59" s="62">
        <f>'23.11'!H59+COUNTIF(H$9:H$38,$C59)</f>
        <v>0</v>
      </c>
      <c r="I59" s="62">
        <f>'23.11'!I59+COUNTIF(I$9:I$38,$C59)</f>
        <v>0</v>
      </c>
      <c r="J59" s="62">
        <f>'23.11'!J59+COUNTIF(J$9:J$38,$C59)</f>
        <v>0</v>
      </c>
    </row>
    <row r="60" spans="3:10" x14ac:dyDescent="0.25">
      <c r="C60" s="76">
        <f>'01.09'!C60</f>
        <v>0</v>
      </c>
      <c r="D60" s="62">
        <f>'23.11'!D60+COUNTIF(D$9:D$38,$C60)</f>
        <v>0</v>
      </c>
      <c r="E60" s="62">
        <f>'23.11'!E60+COUNTIF(E$9:E$38,$C60)</f>
        <v>0</v>
      </c>
      <c r="F60" s="62">
        <f>'23.11'!F60+COUNTIF(F$9:F$38,$C60)</f>
        <v>0</v>
      </c>
      <c r="G60" s="62">
        <f>'23.11'!G60+COUNTIF(G$9:G$38,$C60)</f>
        <v>0</v>
      </c>
      <c r="H60" s="62">
        <f>'23.11'!H60+COUNTIF(H$9:H$38,$C60)</f>
        <v>0</v>
      </c>
      <c r="I60" s="62">
        <f>'23.11'!I60+COUNTIF(I$9:I$38,$C60)</f>
        <v>0</v>
      </c>
      <c r="J60" s="62">
        <f>'23.11'!J60+COUNTIF(J$9:J$38,$C60)</f>
        <v>0</v>
      </c>
    </row>
    <row r="61" spans="3:10" x14ac:dyDescent="0.25">
      <c r="C61" s="76">
        <f>'01.09'!C61</f>
        <v>0</v>
      </c>
      <c r="D61" s="62">
        <f>'23.11'!D61+COUNTIF(D$9:D$38,$C61)</f>
        <v>0</v>
      </c>
      <c r="E61" s="62">
        <f>'23.11'!E61+COUNTIF(E$9:E$38,$C61)</f>
        <v>0</v>
      </c>
      <c r="F61" s="62">
        <f>'23.11'!F61+COUNTIF(F$9:F$38,$C61)</f>
        <v>0</v>
      </c>
      <c r="G61" s="62">
        <f>'23.11'!G61+COUNTIF(G$9:G$38,$C61)</f>
        <v>0</v>
      </c>
      <c r="H61" s="62">
        <f>'23.11'!H61+COUNTIF(H$9:H$38,$C61)</f>
        <v>0</v>
      </c>
      <c r="I61" s="62">
        <f>'23.11'!I61+COUNTIF(I$9:I$38,$C61)</f>
        <v>0</v>
      </c>
      <c r="J61" s="62">
        <f>'23.11'!J61+COUNTIF(J$9:J$38,$C61)</f>
        <v>0</v>
      </c>
    </row>
    <row r="62" spans="3:10" x14ac:dyDescent="0.25">
      <c r="C62" s="76">
        <f>'01.09'!C62</f>
        <v>0</v>
      </c>
      <c r="D62" s="62">
        <f>'23.11'!D62+COUNTIF(D$9:D$38,$C62)</f>
        <v>0</v>
      </c>
      <c r="E62" s="62">
        <f>'23.11'!E62+COUNTIF(E$9:E$38,$C62)</f>
        <v>0</v>
      </c>
      <c r="F62" s="62">
        <f>'23.11'!F62+COUNTIF(F$9:F$38,$C62)</f>
        <v>0</v>
      </c>
      <c r="G62" s="62">
        <f>'23.11'!G62+COUNTIF(G$9:G$38,$C62)</f>
        <v>0</v>
      </c>
      <c r="H62" s="62">
        <f>'23.11'!H62+COUNTIF(H$9:H$38,$C62)</f>
        <v>0</v>
      </c>
      <c r="I62" s="62">
        <f>'23.11'!I62+COUNTIF(I$9:I$38,$C62)</f>
        <v>0</v>
      </c>
      <c r="J62" s="62">
        <f>'23.11'!J62+COUNTIF(J$9:J$38,$C62)</f>
        <v>0</v>
      </c>
    </row>
    <row r="63" spans="3:10" x14ac:dyDescent="0.25">
      <c r="C63" s="76">
        <f>'01.09'!C63</f>
        <v>0</v>
      </c>
      <c r="D63" s="62">
        <f>'23.11'!D63+COUNTIF(D$9:D$38,$C63)</f>
        <v>0</v>
      </c>
      <c r="E63" s="62">
        <f>'23.11'!E63+COUNTIF(E$9:E$38,$C63)</f>
        <v>0</v>
      </c>
      <c r="F63" s="62">
        <f>'23.11'!F63+COUNTIF(F$9:F$38,$C63)</f>
        <v>0</v>
      </c>
      <c r="G63" s="62">
        <f>'23.11'!G63+COUNTIF(G$9:G$38,$C63)</f>
        <v>0</v>
      </c>
      <c r="H63" s="62">
        <f>'23.11'!H63+COUNTIF(H$9:H$38,$C63)</f>
        <v>0</v>
      </c>
      <c r="I63" s="62">
        <f>'23.11'!I63+COUNTIF(I$9:I$38,$C63)</f>
        <v>0</v>
      </c>
      <c r="J63" s="62">
        <f>'23.11'!J63+COUNTIF(J$9:J$38,$C63)</f>
        <v>0</v>
      </c>
    </row>
    <row r="64" spans="3:10" x14ac:dyDescent="0.25">
      <c r="C64" s="76">
        <f>'01.09'!C64</f>
        <v>0</v>
      </c>
      <c r="D64" s="62">
        <f>'23.11'!D64+COUNTIF(D$9:D$38,$C64)</f>
        <v>0</v>
      </c>
      <c r="E64" s="62">
        <f>'23.11'!E64+COUNTIF(E$9:E$38,$C64)</f>
        <v>0</v>
      </c>
      <c r="F64" s="62">
        <f>'23.11'!F64+COUNTIF(F$9:F$38,$C64)</f>
        <v>0</v>
      </c>
      <c r="G64" s="62">
        <f>'23.11'!G64+COUNTIF(G$9:G$38,$C64)</f>
        <v>0</v>
      </c>
      <c r="H64" s="62">
        <f>'23.11'!H64+COUNTIF(H$9:H$38,$C64)</f>
        <v>0</v>
      </c>
      <c r="I64" s="62">
        <f>'23.11'!I64+COUNTIF(I$9:I$38,$C64)</f>
        <v>0</v>
      </c>
      <c r="J64" s="62">
        <f>'23.11'!J64+COUNTIF(J$9:J$38,$C64)</f>
        <v>0</v>
      </c>
    </row>
    <row r="65" spans="3:10" x14ac:dyDescent="0.25">
      <c r="C65" s="76">
        <f>'01.09'!C65</f>
        <v>0</v>
      </c>
      <c r="D65" s="62">
        <f>'23.11'!D65+COUNTIF(D$9:D$38,$C65)</f>
        <v>0</v>
      </c>
      <c r="E65" s="62">
        <f>'23.11'!E65+COUNTIF(E$9:E$38,$C65)</f>
        <v>0</v>
      </c>
      <c r="F65" s="62">
        <f>'23.11'!F65+COUNTIF(F$9:F$38,$C65)</f>
        <v>0</v>
      </c>
      <c r="G65" s="62">
        <f>'23.11'!G65+COUNTIF(G$9:G$38,$C65)</f>
        <v>0</v>
      </c>
      <c r="H65" s="62">
        <f>'23.11'!H65+COUNTIF(H$9:H$38,$C65)</f>
        <v>0</v>
      </c>
      <c r="I65" s="62">
        <f>'23.11'!I65+COUNTIF(I$9:I$38,$C65)</f>
        <v>0</v>
      </c>
      <c r="J65" s="62">
        <f>'23.11'!J65+COUNTIF(J$9:J$38,$C65)</f>
        <v>0</v>
      </c>
    </row>
    <row r="66" spans="3:10" x14ac:dyDescent="0.25">
      <c r="C66" s="76">
        <f>'01.09'!C66</f>
        <v>0</v>
      </c>
      <c r="D66" s="62">
        <f>'23.11'!D66+COUNTIF(D$9:D$38,$C66)</f>
        <v>0</v>
      </c>
      <c r="E66" s="62">
        <f>'23.11'!E66+COUNTIF(E$9:E$38,$C66)</f>
        <v>0</v>
      </c>
      <c r="F66" s="62">
        <f>'23.11'!F66+COUNTIF(F$9:F$38,$C66)</f>
        <v>0</v>
      </c>
      <c r="G66" s="62">
        <f>'23.11'!G66+COUNTIF(G$9:G$38,$C66)</f>
        <v>0</v>
      </c>
      <c r="H66" s="62">
        <f>'23.11'!H66+COUNTIF(H$9:H$38,$C66)</f>
        <v>0</v>
      </c>
      <c r="I66" s="62">
        <f>'23.11'!I66+COUNTIF(I$9:I$38,$C66)</f>
        <v>0</v>
      </c>
      <c r="J66" s="62">
        <f>'23.11'!J66+COUNTIF(J$9:J$38,$C66)</f>
        <v>0</v>
      </c>
    </row>
    <row r="67" spans="3:10" x14ac:dyDescent="0.25">
      <c r="C67" s="76">
        <f>'01.09'!C67</f>
        <v>0</v>
      </c>
      <c r="D67" s="62">
        <f>'23.11'!D67+COUNTIF(D$9:D$38,$C67)</f>
        <v>0</v>
      </c>
      <c r="E67" s="62">
        <f>'23.11'!E67+COUNTIF(E$9:E$38,$C67)</f>
        <v>0</v>
      </c>
      <c r="F67" s="62">
        <f>'23.11'!F67+COUNTIF(F$9:F$38,$C67)</f>
        <v>0</v>
      </c>
      <c r="G67" s="62">
        <f>'23.11'!G67+COUNTIF(G$9:G$38,$C67)</f>
        <v>0</v>
      </c>
      <c r="H67" s="62">
        <f>'23.11'!H67+COUNTIF(H$9:H$38,$C67)</f>
        <v>0</v>
      </c>
      <c r="I67" s="62">
        <f>'23.11'!I67+COUNTIF(I$9:I$38,$C67)</f>
        <v>0</v>
      </c>
      <c r="J67" s="62">
        <f>'23.11'!J67+COUNTIF(J$9:J$38,$C67)</f>
        <v>0</v>
      </c>
    </row>
  </sheetData>
  <mergeCells count="22">
    <mergeCell ref="B1:J1"/>
    <mergeCell ref="A3:J3"/>
    <mergeCell ref="B5:J5"/>
    <mergeCell ref="C7:C8"/>
    <mergeCell ref="B2:J2"/>
    <mergeCell ref="B4:J4"/>
    <mergeCell ref="A9:A13"/>
    <mergeCell ref="A14:A18"/>
    <mergeCell ref="A7:A8"/>
    <mergeCell ref="B7:B8"/>
    <mergeCell ref="D11:J11"/>
    <mergeCell ref="B9:B13"/>
    <mergeCell ref="D16:J16"/>
    <mergeCell ref="B14:B1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4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K67"/>
  <sheetViews>
    <sheetView view="pageBreakPreview" zoomScale="39" zoomScaleNormal="40" zoomScaleSheetLayoutView="39" zoomScalePageLayoutView="38" workbookViewId="0">
      <selection activeCell="I8" sqref="I8"/>
    </sheetView>
  </sheetViews>
  <sheetFormatPr defaultRowHeight="26.25" x14ac:dyDescent="0.4"/>
  <cols>
    <col min="1" max="1" width="4.42578125" style="72" customWidth="1"/>
    <col min="2" max="2" width="7.7109375" style="72" customWidth="1"/>
    <col min="3" max="3" width="22.7109375" style="72" customWidth="1"/>
    <col min="4" max="4" width="49.28515625" style="72" customWidth="1"/>
    <col min="5" max="5" width="50.42578125" style="72" customWidth="1"/>
    <col min="6" max="6" width="50" style="72" customWidth="1"/>
    <col min="7" max="7" width="63.42578125" style="72" customWidth="1"/>
    <col min="8" max="8" width="73.140625" style="72" customWidth="1"/>
    <col min="9" max="9" width="53.42578125" style="72" customWidth="1"/>
    <col min="10" max="10" width="61.28515625" style="72" customWidth="1"/>
    <col min="11" max="16384" width="9.140625" style="72"/>
  </cols>
  <sheetData>
    <row r="1" spans="1:10" s="77" customFormat="1" ht="31.5" x14ac:dyDescent="0.5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s="77" customFormat="1" ht="31.5" x14ac:dyDescent="0.5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77" customFormat="1" ht="31.5" customHeight="1" x14ac:dyDescent="0.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77" customFormat="1" ht="31.5" x14ac:dyDescent="0.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s="77" customFormat="1" ht="31.5" x14ac:dyDescent="0.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8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72.5" customHeight="1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87.75" customHeight="1" x14ac:dyDescent="0.4">
      <c r="A9" s="657" t="s">
        <v>0</v>
      </c>
      <c r="B9" s="628">
        <v>46363</v>
      </c>
      <c r="C9" s="67" t="s">
        <v>5</v>
      </c>
      <c r="D9" s="243"/>
      <c r="E9" s="286"/>
      <c r="F9" s="286"/>
      <c r="G9" s="286"/>
      <c r="H9" s="286"/>
      <c r="I9" s="286"/>
      <c r="J9" s="287"/>
    </row>
    <row r="10" spans="1:10" ht="87.75" customHeight="1" x14ac:dyDescent="0.4">
      <c r="A10" s="661"/>
      <c r="B10" s="624"/>
      <c r="C10" s="68" t="s">
        <v>6</v>
      </c>
      <c r="D10" s="239"/>
      <c r="E10" s="240"/>
      <c r="F10" s="240"/>
      <c r="G10" s="240"/>
      <c r="H10" s="240"/>
      <c r="I10" s="240"/>
      <c r="J10" s="288"/>
    </row>
    <row r="11" spans="1:10" ht="87.75" customHeight="1" x14ac:dyDescent="0.4">
      <c r="A11" s="661"/>
      <c r="B11" s="624"/>
      <c r="C11" s="68" t="s">
        <v>7</v>
      </c>
      <c r="D11" s="450"/>
      <c r="E11" s="237"/>
      <c r="F11" s="147"/>
      <c r="G11" s="451"/>
      <c r="H11" s="237"/>
      <c r="I11" s="237"/>
      <c r="J11" s="242"/>
    </row>
    <row r="12" spans="1:10" ht="87.75" customHeight="1" x14ac:dyDescent="0.4">
      <c r="A12" s="661"/>
      <c r="B12" s="624"/>
      <c r="C12" s="68" t="s">
        <v>8</v>
      </c>
      <c r="D12" s="450"/>
      <c r="E12" s="237"/>
      <c r="F12" s="147"/>
      <c r="G12" s="451"/>
      <c r="H12" s="237"/>
      <c r="I12" s="237"/>
      <c r="J12" s="242"/>
    </row>
    <row r="13" spans="1:10" ht="87.75" customHeight="1" thickBot="1" x14ac:dyDescent="0.45">
      <c r="A13" s="661"/>
      <c r="B13" s="624"/>
      <c r="C13" s="69" t="s">
        <v>10</v>
      </c>
      <c r="D13" s="391"/>
      <c r="E13" s="392"/>
      <c r="F13" s="392"/>
      <c r="G13" s="392"/>
      <c r="H13" s="392"/>
      <c r="I13" s="392"/>
      <c r="J13" s="393"/>
    </row>
    <row r="14" spans="1:10" ht="87.75" customHeight="1" x14ac:dyDescent="0.4">
      <c r="A14" s="657" t="s">
        <v>1</v>
      </c>
      <c r="B14" s="626">
        <f>B9+1</f>
        <v>46364</v>
      </c>
      <c r="C14" s="67" t="s">
        <v>5</v>
      </c>
      <c r="D14" s="289"/>
      <c r="E14" s="205"/>
      <c r="F14" s="205"/>
      <c r="G14" s="205"/>
      <c r="H14" s="205"/>
      <c r="I14" s="205"/>
      <c r="J14" s="197"/>
    </row>
    <row r="15" spans="1:10" ht="87.75" customHeight="1" x14ac:dyDescent="0.4">
      <c r="A15" s="661"/>
      <c r="B15" s="624"/>
      <c r="C15" s="68" t="s">
        <v>6</v>
      </c>
      <c r="D15" s="255"/>
      <c r="E15" s="427"/>
      <c r="F15" s="237"/>
      <c r="G15" s="237"/>
      <c r="H15" s="237"/>
      <c r="I15" s="237"/>
      <c r="J15" s="242"/>
    </row>
    <row r="16" spans="1:10" ht="87.75" customHeight="1" x14ac:dyDescent="0.4">
      <c r="A16" s="661"/>
      <c r="B16" s="624"/>
      <c r="C16" s="68" t="s">
        <v>7</v>
      </c>
      <c r="D16" s="450"/>
      <c r="E16" s="237"/>
      <c r="F16" s="147"/>
      <c r="G16" s="451"/>
      <c r="H16" s="451"/>
      <c r="I16" s="237"/>
      <c r="J16" s="452"/>
    </row>
    <row r="17" spans="1:11" ht="87.75" customHeight="1" x14ac:dyDescent="0.4">
      <c r="A17" s="661"/>
      <c r="B17" s="624"/>
      <c r="C17" s="68" t="s">
        <v>8</v>
      </c>
      <c r="D17" s="432"/>
      <c r="E17" s="433"/>
      <c r="F17" s="433"/>
      <c r="G17" s="433"/>
      <c r="H17" s="433"/>
      <c r="I17" s="433"/>
      <c r="J17" s="434"/>
    </row>
    <row r="18" spans="1:11" ht="87.75" customHeight="1" thickBot="1" x14ac:dyDescent="0.45">
      <c r="A18" s="662"/>
      <c r="B18" s="624"/>
      <c r="C18" s="69" t="s">
        <v>10</v>
      </c>
      <c r="D18" s="384"/>
      <c r="E18" s="154"/>
      <c r="F18" s="154"/>
      <c r="G18" s="195"/>
      <c r="H18" s="154"/>
      <c r="I18" s="195"/>
      <c r="J18" s="155"/>
      <c r="K18" s="73"/>
    </row>
    <row r="19" spans="1:11" ht="87.75" customHeight="1" x14ac:dyDescent="0.4">
      <c r="A19" s="643" t="s">
        <v>2</v>
      </c>
      <c r="B19" s="621">
        <f>B14+1</f>
        <v>46365</v>
      </c>
      <c r="C19" s="90" t="s">
        <v>5</v>
      </c>
      <c r="D19" s="430"/>
      <c r="E19" s="186"/>
      <c r="F19" s="186"/>
      <c r="G19" s="186"/>
      <c r="H19" s="238"/>
      <c r="I19" s="186"/>
      <c r="J19" s="187"/>
    </row>
    <row r="20" spans="1:11" ht="87.75" customHeight="1" x14ac:dyDescent="0.4">
      <c r="A20" s="644"/>
      <c r="B20" s="619"/>
      <c r="C20" s="91" t="s">
        <v>6</v>
      </c>
      <c r="D20" s="450"/>
      <c r="E20" s="147"/>
      <c r="F20" s="147"/>
      <c r="G20" s="147"/>
      <c r="H20" s="237"/>
      <c r="I20" s="451"/>
      <c r="J20" s="452"/>
    </row>
    <row r="21" spans="1:11" ht="87.75" customHeight="1" x14ac:dyDescent="0.4">
      <c r="A21" s="644"/>
      <c r="B21" s="619"/>
      <c r="C21" s="91" t="s">
        <v>7</v>
      </c>
      <c r="D21" s="152"/>
      <c r="E21" s="451"/>
      <c r="F21" s="451"/>
      <c r="G21" s="147"/>
      <c r="H21" s="451"/>
      <c r="I21" s="451"/>
      <c r="J21" s="452"/>
      <c r="K21" s="73"/>
    </row>
    <row r="22" spans="1:11" ht="87.75" customHeight="1" x14ac:dyDescent="0.4">
      <c r="A22" s="644"/>
      <c r="B22" s="619"/>
      <c r="C22" s="91" t="s">
        <v>8</v>
      </c>
      <c r="D22" s="152"/>
      <c r="E22" s="147"/>
      <c r="F22" s="147"/>
      <c r="G22" s="147"/>
      <c r="H22" s="184"/>
      <c r="I22" s="451"/>
      <c r="J22" s="452"/>
    </row>
    <row r="23" spans="1:11" ht="87.75" customHeight="1" thickBot="1" x14ac:dyDescent="0.45">
      <c r="A23" s="645"/>
      <c r="B23" s="619"/>
      <c r="C23" s="92" t="s">
        <v>10</v>
      </c>
      <c r="D23" s="153"/>
      <c r="E23" s="154"/>
      <c r="F23" s="195"/>
      <c r="G23" s="154"/>
      <c r="H23" s="154"/>
      <c r="I23" s="195"/>
      <c r="J23" s="155"/>
    </row>
    <row r="24" spans="1:11" ht="87.75" customHeight="1" x14ac:dyDescent="0.4">
      <c r="A24" s="643" t="s">
        <v>3</v>
      </c>
      <c r="B24" s="621">
        <f>B19+1</f>
        <v>46366</v>
      </c>
      <c r="C24" s="90" t="s">
        <v>5</v>
      </c>
      <c r="D24" s="196"/>
      <c r="E24" s="205"/>
      <c r="F24" s="183"/>
      <c r="G24" s="205"/>
      <c r="H24" s="205"/>
      <c r="I24" s="205"/>
      <c r="J24" s="383"/>
    </row>
    <row r="25" spans="1:11" ht="87.75" customHeight="1" x14ac:dyDescent="0.4">
      <c r="A25" s="649"/>
      <c r="B25" s="619"/>
      <c r="C25" s="91" t="s">
        <v>6</v>
      </c>
      <c r="D25" s="450"/>
      <c r="E25" s="147"/>
      <c r="F25" s="147"/>
      <c r="G25" s="147"/>
      <c r="H25" s="147"/>
      <c r="I25" s="451"/>
      <c r="J25" s="242"/>
    </row>
    <row r="26" spans="1:11" ht="87.75" customHeight="1" x14ac:dyDescent="0.4">
      <c r="A26" s="649"/>
      <c r="B26" s="619"/>
      <c r="C26" s="91" t="s">
        <v>7</v>
      </c>
      <c r="D26" s="152"/>
      <c r="E26" s="147"/>
      <c r="F26" s="147"/>
      <c r="G26" s="451"/>
      <c r="H26" s="184"/>
      <c r="I26" s="147"/>
      <c r="J26" s="148"/>
    </row>
    <row r="27" spans="1:11" ht="87.75" customHeight="1" x14ac:dyDescent="0.4">
      <c r="A27" s="649"/>
      <c r="B27" s="619"/>
      <c r="C27" s="91" t="s">
        <v>8</v>
      </c>
      <c r="D27" s="152"/>
      <c r="E27" s="147"/>
      <c r="F27" s="147"/>
      <c r="G27" s="451"/>
      <c r="H27" s="147"/>
      <c r="I27" s="147"/>
      <c r="J27" s="148"/>
    </row>
    <row r="28" spans="1:11" ht="87.75" customHeight="1" thickBot="1" x14ac:dyDescent="0.45">
      <c r="A28" s="650"/>
      <c r="B28" s="619"/>
      <c r="C28" s="92" t="s">
        <v>10</v>
      </c>
      <c r="D28" s="428"/>
      <c r="E28" s="429"/>
      <c r="F28" s="194"/>
      <c r="G28" s="212"/>
      <c r="H28" s="199"/>
      <c r="I28" s="212"/>
      <c r="J28" s="308"/>
    </row>
    <row r="29" spans="1:11" ht="87.75" customHeight="1" x14ac:dyDescent="0.4">
      <c r="A29" s="643" t="s">
        <v>4</v>
      </c>
      <c r="B29" s="621">
        <f>B24+1</f>
        <v>46367</v>
      </c>
      <c r="C29" s="90" t="s">
        <v>5</v>
      </c>
      <c r="D29" s="196"/>
      <c r="E29" s="236"/>
      <c r="F29" s="183"/>
      <c r="G29" s="205"/>
      <c r="H29" s="236"/>
      <c r="I29" s="236"/>
      <c r="J29" s="197"/>
    </row>
    <row r="30" spans="1:11" ht="87.75" customHeight="1" x14ac:dyDescent="0.4">
      <c r="A30" s="644"/>
      <c r="B30" s="619"/>
      <c r="C30" s="91" t="s">
        <v>6</v>
      </c>
      <c r="D30" s="152"/>
      <c r="E30" s="237"/>
      <c r="F30" s="147"/>
      <c r="G30" s="147"/>
      <c r="H30" s="237"/>
      <c r="I30" s="237"/>
      <c r="J30" s="148"/>
    </row>
    <row r="31" spans="1:11" ht="87.75" customHeight="1" x14ac:dyDescent="0.4">
      <c r="A31" s="644"/>
      <c r="B31" s="619"/>
      <c r="C31" s="91" t="s">
        <v>7</v>
      </c>
      <c r="D31" s="450"/>
      <c r="E31" s="147"/>
      <c r="F31" s="147"/>
      <c r="G31" s="451"/>
      <c r="H31" s="147"/>
      <c r="I31" s="147"/>
      <c r="J31" s="288"/>
    </row>
    <row r="32" spans="1:11" ht="87.75" customHeight="1" x14ac:dyDescent="0.4">
      <c r="A32" s="644"/>
      <c r="B32" s="619"/>
      <c r="C32" s="91" t="s">
        <v>8</v>
      </c>
      <c r="D32" s="450"/>
      <c r="E32" s="147"/>
      <c r="F32" s="147"/>
      <c r="G32" s="147"/>
      <c r="H32" s="147"/>
      <c r="I32" s="240"/>
      <c r="J32" s="190"/>
    </row>
    <row r="33" spans="1:10" s="335" customFormat="1" ht="87.75" customHeight="1" thickBot="1" x14ac:dyDescent="0.4">
      <c r="A33" s="645"/>
      <c r="B33" s="619"/>
      <c r="C33" s="224" t="s">
        <v>10</v>
      </c>
      <c r="D33" s="153"/>
      <c r="E33" s="154"/>
      <c r="F33" s="154"/>
      <c r="G33" s="154"/>
      <c r="H33" s="154"/>
      <c r="I33" s="154"/>
      <c r="J33" s="188"/>
    </row>
    <row r="34" spans="1:10" ht="45" customHeight="1" x14ac:dyDescent="0.4">
      <c r="A34" s="673" t="s">
        <v>12</v>
      </c>
      <c r="B34" s="675">
        <f>B29+1</f>
        <v>46368</v>
      </c>
      <c r="C34" s="165" t="s">
        <v>5</v>
      </c>
      <c r="D34" s="162"/>
      <c r="E34" s="163"/>
      <c r="F34" s="163"/>
      <c r="G34" s="163"/>
      <c r="H34" s="163"/>
      <c r="I34" s="163"/>
      <c r="J34" s="187"/>
    </row>
    <row r="35" spans="1:10" ht="45" customHeight="1" x14ac:dyDescent="0.4">
      <c r="A35" s="673"/>
      <c r="B35" s="673"/>
      <c r="C35" s="166" t="s">
        <v>6</v>
      </c>
      <c r="D35" s="29"/>
      <c r="E35" s="30"/>
      <c r="F35" s="30"/>
      <c r="G35" s="30"/>
      <c r="H35" s="30"/>
      <c r="I35" s="30"/>
      <c r="J35" s="148"/>
    </row>
    <row r="36" spans="1:10" ht="45" customHeight="1" x14ac:dyDescent="0.4">
      <c r="A36" s="673"/>
      <c r="B36" s="673"/>
      <c r="C36" s="166" t="s">
        <v>7</v>
      </c>
      <c r="D36" s="29"/>
      <c r="E36" s="30"/>
      <c r="F36" s="30"/>
      <c r="G36" s="30"/>
      <c r="H36" s="30"/>
      <c r="I36" s="30"/>
      <c r="J36" s="38"/>
    </row>
    <row r="37" spans="1:10" ht="45" customHeight="1" x14ac:dyDescent="0.4">
      <c r="A37" s="673"/>
      <c r="B37" s="673"/>
      <c r="C37" s="166" t="s">
        <v>8</v>
      </c>
      <c r="D37" s="29"/>
      <c r="E37" s="30"/>
      <c r="F37" s="30"/>
      <c r="G37" s="121"/>
      <c r="H37" s="30"/>
      <c r="I37" s="121"/>
      <c r="J37" s="38"/>
    </row>
    <row r="38" spans="1:10" ht="45" customHeight="1" thickBot="1" x14ac:dyDescent="0.45">
      <c r="A38" s="674"/>
      <c r="B38" s="674"/>
      <c r="C38" s="167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4">
      <c r="D39" s="136" t="s">
        <v>51</v>
      </c>
    </row>
    <row r="40" spans="1:10" x14ac:dyDescent="0.4">
      <c r="B40" s="60">
        <v>8</v>
      </c>
      <c r="C40" s="55" t="str">
        <f>'01.09'!C40</f>
        <v>*Л. Основы медицинских знаний и спортивная медицина*</v>
      </c>
      <c r="D40" s="62">
        <f>'30.11'!D40+COUNTIF(D$9:D$38,$C40)</f>
        <v>8</v>
      </c>
      <c r="E40" s="62">
        <f>'30.11'!E40+COUNTIF(E$9:E$38,$C40)</f>
        <v>8</v>
      </c>
      <c r="F40" s="62">
        <f>'30.11'!F40+COUNTIF(F$9:F$38,$C40)</f>
        <v>8</v>
      </c>
      <c r="G40" s="62">
        <f>'30.11'!G40+COUNTIF(G$9:G$38,$C40)</f>
        <v>8</v>
      </c>
      <c r="H40" s="62">
        <f>'30.11'!H40+COUNTIF(H$9:H$38,$C40)</f>
        <v>8</v>
      </c>
      <c r="I40" s="62">
        <f>'30.11'!I40+COUNTIF(I$9:I$38,$C40)</f>
        <v>8</v>
      </c>
      <c r="J40" s="62">
        <f>'30.11'!J40+COUNTIF(J$9:J$38,$C40)</f>
        <v>8</v>
      </c>
    </row>
    <row r="41" spans="1:10" x14ac:dyDescent="0.4">
      <c r="B41" s="60">
        <v>16</v>
      </c>
      <c r="C41" s="55" t="str">
        <f>'01.09'!C41</f>
        <v>*Пр. Основы медицинских знаний и спортивная медицина*</v>
      </c>
      <c r="D41" s="62">
        <f>'30.11'!D41+COUNTIF(D$9:D$38,$C41)</f>
        <v>14</v>
      </c>
      <c r="E41" s="62">
        <f>'30.11'!E41+COUNTIF(E$9:E$38,$C41)</f>
        <v>14</v>
      </c>
      <c r="F41" s="62">
        <f>'30.11'!F41+COUNTIF(F$9:F$38,$C41)</f>
        <v>13</v>
      </c>
      <c r="G41" s="62">
        <f>'30.11'!G41+COUNTIF(G$9:G$38,$C41)</f>
        <v>9</v>
      </c>
      <c r="H41" s="62">
        <f>'30.11'!H41+COUNTIF(H$9:H$38,$C41)</f>
        <v>14</v>
      </c>
      <c r="I41" s="62">
        <f>'30.11'!I41+COUNTIF(I$9:I$38,$C41)</f>
        <v>13</v>
      </c>
      <c r="J41" s="62">
        <f>'30.11'!J41+COUNTIF(J$9:J$38,$C41)</f>
        <v>13</v>
      </c>
    </row>
    <row r="42" spans="1:10" x14ac:dyDescent="0.4">
      <c r="B42" s="60">
        <v>5</v>
      </c>
      <c r="C42" s="55" t="str">
        <f>'01.09'!C42</f>
        <v>*Л. Массаж*</v>
      </c>
      <c r="D42" s="62">
        <f>'30.11'!D42+COUNTIF(D$9:D$38,$C42)</f>
        <v>5</v>
      </c>
      <c r="E42" s="62">
        <f>'30.11'!E42+COUNTIF(E$9:E$38,$C42)</f>
        <v>5</v>
      </c>
      <c r="F42" s="62">
        <f>'30.11'!F42+COUNTIF(F$9:F$38,$C42)</f>
        <v>5</v>
      </c>
      <c r="G42" s="62">
        <f>'30.11'!G42+COUNTIF(G$9:G$38,$C42)</f>
        <v>5</v>
      </c>
      <c r="H42" s="62">
        <f>'30.11'!H42+COUNTIF(H$9:H$38,$C42)</f>
        <v>5</v>
      </c>
      <c r="I42" s="62">
        <f>'30.11'!I42+COUNTIF(I$9:I$38,$C42)</f>
        <v>5</v>
      </c>
      <c r="J42" s="62">
        <f>'30.11'!J42+COUNTIF(J$9:J$38,$C42)</f>
        <v>5</v>
      </c>
    </row>
    <row r="43" spans="1:10" x14ac:dyDescent="0.4">
      <c r="B43" s="60">
        <v>11</v>
      </c>
      <c r="C43" s="55" t="str">
        <f>'01.09'!C43</f>
        <v>*Пр. Массаж*</v>
      </c>
      <c r="D43" s="62">
        <f>'30.11'!D43+COUNTIF(D$9:D$38,$C43)</f>
        <v>13</v>
      </c>
      <c r="E43" s="62">
        <f>'30.11'!E43+COUNTIF(E$9:E$38,$C43)</f>
        <v>13</v>
      </c>
      <c r="F43" s="62">
        <f>'30.11'!F43+COUNTIF(F$9:F$38,$C43)</f>
        <v>13</v>
      </c>
      <c r="G43" s="62">
        <f>'30.11'!G43+COUNTIF(G$9:G$38,$C43)</f>
        <v>14</v>
      </c>
      <c r="H43" s="62">
        <f>'30.11'!H43+COUNTIF(H$9:H$38,$C43)</f>
        <v>14</v>
      </c>
      <c r="I43" s="62">
        <f>'30.11'!I43+COUNTIF(I$9:I$38,$C43)</f>
        <v>14</v>
      </c>
      <c r="J43" s="62">
        <f>'30.11'!J43+COUNTIF(J$9:J$38,$C43)</f>
        <v>14</v>
      </c>
    </row>
    <row r="44" spans="1:10" x14ac:dyDescent="0.4">
      <c r="B44" s="60">
        <v>7</v>
      </c>
      <c r="C44" s="55" t="str">
        <f>'01.09'!C44</f>
        <v>*Л. Правовые основы профессиональной деятельности*</v>
      </c>
      <c r="D44" s="62">
        <f>'30.11'!D44+COUNTIF(D$9:D$38,$C44)</f>
        <v>5</v>
      </c>
      <c r="E44" s="62">
        <f>'30.11'!E44+COUNTIF(E$9:E$38,$C44)</f>
        <v>5</v>
      </c>
      <c r="F44" s="62">
        <f>'30.11'!F44+COUNTIF(F$9:F$38,$C44)</f>
        <v>5</v>
      </c>
      <c r="G44" s="62">
        <f>'30.11'!G44+COUNTIF(G$9:G$38,$C44)</f>
        <v>5</v>
      </c>
      <c r="H44" s="62">
        <f>'30.11'!H44+COUNTIF(H$9:H$38,$C44)</f>
        <v>5</v>
      </c>
      <c r="I44" s="62">
        <f>'30.11'!I44+COUNTIF(I$9:I$38,$C44)</f>
        <v>5</v>
      </c>
      <c r="J44" s="62">
        <f>'30.11'!J44+COUNTIF(J$9:J$38,$C44)</f>
        <v>5</v>
      </c>
    </row>
    <row r="45" spans="1:10" x14ac:dyDescent="0.4">
      <c r="B45" s="60">
        <v>22</v>
      </c>
      <c r="C45" s="55" t="str">
        <f>'01.09'!C45</f>
        <v>*Пр. Правовые основы профессиональной деятельности*</v>
      </c>
      <c r="D45" s="62">
        <f>'30.11'!D45+COUNTIF(D$9:D$38,$C45)</f>
        <v>7</v>
      </c>
      <c r="E45" s="62">
        <f>'30.11'!E45+COUNTIF(E$9:E$38,$C45)</f>
        <v>8</v>
      </c>
      <c r="F45" s="62">
        <f>'30.11'!F45+COUNTIF(F$9:F$38,$C45)</f>
        <v>7</v>
      </c>
      <c r="G45" s="62">
        <f>'30.11'!G45+COUNTIF(G$9:G$38,$C45)</f>
        <v>7</v>
      </c>
      <c r="H45" s="62">
        <f>'30.11'!H45+COUNTIF(H$9:H$38,$C45)</f>
        <v>7</v>
      </c>
      <c r="I45" s="62">
        <f>'30.11'!I45+COUNTIF(I$9:I$38,$C45)</f>
        <v>6</v>
      </c>
      <c r="J45" s="62">
        <f>'30.11'!J45+COUNTIF(J$9:J$38,$C45)</f>
        <v>7</v>
      </c>
    </row>
    <row r="46" spans="1:10" x14ac:dyDescent="0.4">
      <c r="B46" s="60">
        <v>5</v>
      </c>
      <c r="C46" s="55" t="str">
        <f>'01.09'!C46</f>
        <v>*Л. Теория и методика*</v>
      </c>
      <c r="D46" s="62">
        <f>'30.11'!D46+COUNTIF(D$9:D$38,$C46)</f>
        <v>4</v>
      </c>
      <c r="E46" s="62">
        <f>'30.11'!E46+COUNTIF(E$9:E$38,$C46)</f>
        <v>4</v>
      </c>
      <c r="F46" s="62">
        <f>'30.11'!F46+COUNTIF(F$9:F$38,$C46)</f>
        <v>4</v>
      </c>
      <c r="G46" s="62">
        <f>'30.11'!G46+COUNTIF(G$9:G$38,$C46)</f>
        <v>4</v>
      </c>
      <c r="H46" s="62">
        <f>'30.11'!H46+COUNTIF(H$9:H$38,$C46)</f>
        <v>4</v>
      </c>
      <c r="I46" s="62">
        <f>'30.11'!I46+COUNTIF(I$9:I$38,$C46)</f>
        <v>4</v>
      </c>
      <c r="J46" s="62">
        <f>'30.11'!J46+COUNTIF(J$9:J$38,$C46)</f>
        <v>4</v>
      </c>
    </row>
    <row r="47" spans="1:10" x14ac:dyDescent="0.4">
      <c r="B47" s="60">
        <v>50</v>
      </c>
      <c r="C47" s="55" t="str">
        <f>'01.09'!C47</f>
        <v>*Пр. Теория и методика*</v>
      </c>
      <c r="D47" s="62">
        <f>'30.11'!D47+COUNTIF(D$9:D$38,$C47)</f>
        <v>30</v>
      </c>
      <c r="E47" s="62">
        <f>'30.11'!E47+COUNTIF(E$9:E$38,$C47)</f>
        <v>30</v>
      </c>
      <c r="F47" s="62">
        <f>'30.11'!F47+COUNTIF(F$9:F$38,$C47)</f>
        <v>31</v>
      </c>
      <c r="G47" s="62">
        <f>'30.11'!G47+COUNTIF(G$9:G$38,$C47)</f>
        <v>35</v>
      </c>
      <c r="H47" s="62">
        <f>'30.11'!H47+COUNTIF(H$9:H$38,$C47)</f>
        <v>35</v>
      </c>
      <c r="I47" s="62">
        <f>'30.11'!I47+COUNTIF(I$9:I$38,$C47)</f>
        <v>37</v>
      </c>
      <c r="J47" s="62">
        <f>'30.11'!J47+COUNTIF(J$9:J$38,$C47)</f>
        <v>37</v>
      </c>
    </row>
    <row r="48" spans="1:10" x14ac:dyDescent="0.4">
      <c r="B48" s="60">
        <v>5</v>
      </c>
      <c r="C48" s="55" t="str">
        <f>'01.09'!C48</f>
        <v>*Л. Спортивная метрология*</v>
      </c>
      <c r="D48" s="62">
        <f>'30.11'!D48+COUNTIF(D$9:D$38,$C48)</f>
        <v>5</v>
      </c>
      <c r="E48" s="62">
        <f>'30.11'!E48+COUNTIF(E$9:E$38,$C48)</f>
        <v>5</v>
      </c>
      <c r="F48" s="62">
        <f>'30.11'!F48+COUNTIF(F$9:F$38,$C48)</f>
        <v>5</v>
      </c>
      <c r="G48" s="62">
        <f>'30.11'!G48+COUNTIF(G$9:G$38,$C48)</f>
        <v>5</v>
      </c>
      <c r="H48" s="62">
        <f>'30.11'!H48+COUNTIF(H$9:H$38,$C48)</f>
        <v>5</v>
      </c>
      <c r="I48" s="62">
        <f>'30.11'!I48+COUNTIF(I$9:I$38,$C48)</f>
        <v>5</v>
      </c>
      <c r="J48" s="62">
        <f>'30.11'!J48+COUNTIF(J$9:J$38,$C48)</f>
        <v>5</v>
      </c>
    </row>
    <row r="49" spans="2:10" x14ac:dyDescent="0.4">
      <c r="B49" s="60">
        <v>6</v>
      </c>
      <c r="C49" s="55" t="str">
        <f>'01.09'!C49</f>
        <v>*Пр. Спортивная метрология*</v>
      </c>
      <c r="D49" s="62">
        <f>'30.11'!D49+COUNTIF(D$9:D$38,$C49)</f>
        <v>7</v>
      </c>
      <c r="E49" s="62">
        <f>'30.11'!E49+COUNTIF(E$9:E$38,$C49)</f>
        <v>7</v>
      </c>
      <c r="F49" s="62">
        <f>'30.11'!F49+COUNTIF(F$9:F$38,$C49)</f>
        <v>7</v>
      </c>
      <c r="G49" s="62">
        <f>'30.11'!G49+COUNTIF(G$9:G$38,$C49)</f>
        <v>7</v>
      </c>
      <c r="H49" s="62">
        <f>'30.11'!H49+COUNTIF(H$9:H$38,$C49)</f>
        <v>7</v>
      </c>
      <c r="I49" s="62">
        <f>'30.11'!I49+COUNTIF(I$9:I$38,$C49)</f>
        <v>7</v>
      </c>
      <c r="J49" s="62">
        <f>'30.11'!J49+COUNTIF(J$9:J$38,$C49)</f>
        <v>7</v>
      </c>
    </row>
    <row r="50" spans="2:10" x14ac:dyDescent="0.4">
      <c r="B50" s="60">
        <v>5</v>
      </c>
      <c r="C50" s="55" t="str">
        <f>'01.09'!C50</f>
        <v>*Л.  Теория и методика циклических и сложнокоординационных*</v>
      </c>
      <c r="D50" s="62">
        <f>'30.11'!D50+COUNTIF(D$9:D$38,$C50)</f>
        <v>0</v>
      </c>
      <c r="E50" s="62">
        <f>'30.11'!E50+COUNTIF(E$9:E$38,$C50)</f>
        <v>0</v>
      </c>
      <c r="F50" s="62">
        <f>'30.11'!F50+COUNTIF(F$9:F$38,$C50)</f>
        <v>0</v>
      </c>
      <c r="G50" s="62">
        <f>'30.11'!G50+COUNTIF(G$9:G$38,$C50)</f>
        <v>0</v>
      </c>
      <c r="H50" s="62">
        <f>'30.11'!H50+COUNTIF(H$9:H$38,$C50)</f>
        <v>4</v>
      </c>
      <c r="I50" s="62">
        <f>'30.11'!I50+COUNTIF(I$9:I$38,$C50)</f>
        <v>0</v>
      </c>
      <c r="J50" s="62">
        <f>'30.11'!J50+COUNTIF(J$9:J$38,$C50)</f>
        <v>0</v>
      </c>
    </row>
    <row r="51" spans="2:10" x14ac:dyDescent="0.4">
      <c r="B51" s="60">
        <v>11</v>
      </c>
      <c r="C51" s="55" t="str">
        <f>'01.09'!C51</f>
        <v>*Пр.  Теория и методика циклических и сложнокоординационных*</v>
      </c>
      <c r="D51" s="62">
        <f>'30.11'!D51+COUNTIF(D$9:D$38,$C51)</f>
        <v>0</v>
      </c>
      <c r="E51" s="62">
        <f>'30.11'!E51+COUNTIF(E$9:E$38,$C51)</f>
        <v>0</v>
      </c>
      <c r="F51" s="62">
        <f>'30.11'!F51+COUNTIF(F$9:F$38,$C51)</f>
        <v>0</v>
      </c>
      <c r="G51" s="62">
        <f>'30.11'!G51+COUNTIF(G$9:G$38,$C51)</f>
        <v>0</v>
      </c>
      <c r="H51" s="62">
        <f>'30.11'!H51+COUNTIF(H$9:H$38,$C51)</f>
        <v>39</v>
      </c>
      <c r="I51" s="62">
        <f>'30.11'!I51+COUNTIF(I$9:I$38,$C51)</f>
        <v>0</v>
      </c>
      <c r="J51" s="62">
        <f>'30.11'!J51+COUNTIF(J$9:J$38,$C51)</f>
        <v>0</v>
      </c>
    </row>
    <row r="52" spans="2:10" x14ac:dyDescent="0.4">
      <c r="B52" s="60">
        <v>3</v>
      </c>
      <c r="C52" s="55">
        <f>'01.09'!C52</f>
        <v>0</v>
      </c>
      <c r="D52" s="62">
        <f>'30.11'!D52+COUNTIF(D$9:D$38,$C52)</f>
        <v>0</v>
      </c>
      <c r="E52" s="62">
        <f>'30.11'!E52+COUNTIF(E$9:E$38,$C52)</f>
        <v>0</v>
      </c>
      <c r="F52" s="62">
        <f>'30.11'!F52+COUNTIF(F$9:F$38,$C52)</f>
        <v>0</v>
      </c>
      <c r="G52" s="62">
        <f>'30.11'!G52+COUNTIF(G$9:G$38,$C52)</f>
        <v>0</v>
      </c>
      <c r="H52" s="62">
        <f>'30.11'!H52+COUNTIF(H$9:H$38,$C52)</f>
        <v>0</v>
      </c>
      <c r="I52" s="62">
        <f>'30.11'!I52+COUNTIF(I$9:I$38,$C52)</f>
        <v>0</v>
      </c>
      <c r="J52" s="62">
        <f>'30.11'!J52+COUNTIF(J$9:J$38,$C52)</f>
        <v>0</v>
      </c>
    </row>
    <row r="53" spans="2:10" x14ac:dyDescent="0.4">
      <c r="B53" s="60">
        <v>13</v>
      </c>
      <c r="C53" s="55">
        <f>'01.09'!C53</f>
        <v>0</v>
      </c>
      <c r="D53" s="62">
        <f>'30.11'!D53+COUNTIF(D$9:D$38,$C53)</f>
        <v>0</v>
      </c>
      <c r="E53" s="62">
        <f>'30.11'!E53+COUNTIF(E$9:E$38,$C53)</f>
        <v>0</v>
      </c>
      <c r="F53" s="62">
        <f>'30.11'!F53+COUNTIF(F$9:F$38,$C53)</f>
        <v>0</v>
      </c>
      <c r="G53" s="62">
        <f>'30.11'!G53+COUNTIF(G$9:G$38,$C53)</f>
        <v>0</v>
      </c>
      <c r="H53" s="62">
        <f>'30.11'!H53+COUNTIF(H$9:H$38,$C53)</f>
        <v>0</v>
      </c>
      <c r="I53" s="62">
        <f>'30.11'!I53+COUNTIF(I$9:I$38,$C53)</f>
        <v>0</v>
      </c>
      <c r="J53" s="62">
        <f>'30.11'!J53+COUNTIF(J$9:J$38,$C53)</f>
        <v>0</v>
      </c>
    </row>
    <row r="54" spans="2:10" x14ac:dyDescent="0.4">
      <c r="B54" s="60">
        <v>1</v>
      </c>
      <c r="C54" s="55">
        <f>'01.09'!C54</f>
        <v>0</v>
      </c>
      <c r="D54" s="62">
        <f>'30.11'!D54+COUNTIF(D$9:D$38,$C54)</f>
        <v>0</v>
      </c>
      <c r="E54" s="62">
        <f>'30.11'!E54+COUNTIF(E$9:E$38,$C54)</f>
        <v>0</v>
      </c>
      <c r="F54" s="62">
        <f>'30.11'!F54+COUNTIF(F$9:F$38,$C54)</f>
        <v>0</v>
      </c>
      <c r="G54" s="62">
        <f>'30.11'!G54+COUNTIF(G$9:G$38,$C54)</f>
        <v>0</v>
      </c>
      <c r="H54" s="62">
        <f>'30.11'!H54+COUNTIF(H$9:H$38,$C54)</f>
        <v>0</v>
      </c>
      <c r="I54" s="62">
        <f>'30.11'!I54+COUNTIF(I$9:I$38,$C54)</f>
        <v>0</v>
      </c>
      <c r="J54" s="62">
        <f>'30.11'!J54+COUNTIF(J$9:J$38,$C54)</f>
        <v>0</v>
      </c>
    </row>
    <row r="55" spans="2:10" x14ac:dyDescent="0.4">
      <c r="B55" s="60">
        <v>23</v>
      </c>
      <c r="C55" s="55">
        <f>'01.09'!C55</f>
        <v>0</v>
      </c>
      <c r="D55" s="62">
        <f>'30.11'!D55+COUNTIF(D$9:D$38,$C55)</f>
        <v>0</v>
      </c>
      <c r="E55" s="62">
        <f>'30.11'!E55+COUNTIF(E$9:E$38,$C55)</f>
        <v>0</v>
      </c>
      <c r="F55" s="62">
        <f>'30.11'!F55+COUNTIF(F$9:F$38,$C55)</f>
        <v>0</v>
      </c>
      <c r="G55" s="62">
        <f>'30.11'!G55+COUNTIF(G$9:G$38,$C55)</f>
        <v>0</v>
      </c>
      <c r="H55" s="62">
        <f>'30.11'!H55+COUNTIF(H$9:H$38,$C55)</f>
        <v>0</v>
      </c>
      <c r="I55" s="62">
        <f>'30.11'!I55+COUNTIF(I$9:I$38,$C55)</f>
        <v>0</v>
      </c>
      <c r="J55" s="62">
        <f>'30.11'!J55+COUNTIF(J$9:J$38,$C55)</f>
        <v>0</v>
      </c>
    </row>
    <row r="56" spans="2:10" x14ac:dyDescent="0.4">
      <c r="B56" s="60">
        <v>5</v>
      </c>
      <c r="C56" s="55">
        <f>'01.09'!C56</f>
        <v>0</v>
      </c>
      <c r="D56" s="62">
        <f>'30.11'!D56+COUNTIF(D$9:D$38,$C56)</f>
        <v>0</v>
      </c>
      <c r="E56" s="62">
        <f>'30.11'!E56+COUNTIF(E$9:E$38,$C56)</f>
        <v>0</v>
      </c>
      <c r="F56" s="62">
        <f>'30.11'!F56+COUNTIF(F$9:F$38,$C56)</f>
        <v>0</v>
      </c>
      <c r="G56" s="62">
        <f>'30.11'!G56+COUNTIF(G$9:G$38,$C56)</f>
        <v>0</v>
      </c>
      <c r="H56" s="62">
        <f>'30.11'!H56+COUNTIF(H$9:H$38,$C56)</f>
        <v>0</v>
      </c>
      <c r="I56" s="62">
        <f>'30.11'!I56+COUNTIF(I$9:I$38,$C56)</f>
        <v>0</v>
      </c>
      <c r="J56" s="62">
        <f>'30.11'!J56+COUNTIF(J$9:J$38,$C56)</f>
        <v>0</v>
      </c>
    </row>
    <row r="57" spans="2:10" x14ac:dyDescent="0.4">
      <c r="B57" s="60">
        <v>11</v>
      </c>
      <c r="C57" s="55">
        <f>'01.09'!C57</f>
        <v>0</v>
      </c>
      <c r="D57" s="62">
        <f>'30.11'!D57+COUNTIF(D$9:D$38,$C57)</f>
        <v>0</v>
      </c>
      <c r="E57" s="62">
        <f>'30.11'!E57+COUNTIF(E$9:E$38,$C57)</f>
        <v>0</v>
      </c>
      <c r="F57" s="62">
        <f>'30.11'!F57+COUNTIF(F$9:F$38,$C57)</f>
        <v>0</v>
      </c>
      <c r="G57" s="62">
        <f>'30.11'!G57+COUNTIF(G$9:G$38,$C57)</f>
        <v>0</v>
      </c>
      <c r="H57" s="62">
        <f>'30.11'!H57+COUNTIF(H$9:H$38,$C57)</f>
        <v>0</v>
      </c>
      <c r="I57" s="62">
        <f>'30.11'!I57+COUNTIF(I$9:I$38,$C57)</f>
        <v>0</v>
      </c>
      <c r="J57" s="62">
        <f>'30.11'!J57+COUNTIF(J$9:J$38,$C57)</f>
        <v>0</v>
      </c>
    </row>
    <row r="58" spans="2:10" x14ac:dyDescent="0.4">
      <c r="C58" s="55">
        <f>'01.09'!C58</f>
        <v>0</v>
      </c>
      <c r="D58" s="62">
        <f>'30.11'!D58+COUNTIF(D$9:D$38,$C58)</f>
        <v>0</v>
      </c>
      <c r="E58" s="62">
        <f>'30.11'!E58+COUNTIF(E$9:E$38,$C58)</f>
        <v>0</v>
      </c>
      <c r="F58" s="62">
        <f>'30.11'!F58+COUNTIF(F$9:F$38,$C58)</f>
        <v>0</v>
      </c>
      <c r="G58" s="62">
        <f>'30.11'!G58+COUNTIF(G$9:G$38,$C58)</f>
        <v>0</v>
      </c>
      <c r="H58" s="62">
        <f>'30.11'!H58+COUNTIF(H$9:H$38,$C58)</f>
        <v>0</v>
      </c>
      <c r="I58" s="62">
        <f>'30.11'!I58+COUNTIF(I$9:I$38,$C58)</f>
        <v>0</v>
      </c>
      <c r="J58" s="62">
        <f>'30.11'!J58+COUNTIF(J$9:J$38,$C58)</f>
        <v>0</v>
      </c>
    </row>
    <row r="59" spans="2:10" x14ac:dyDescent="0.4">
      <c r="C59" s="55">
        <f>'01.09'!C59</f>
        <v>0</v>
      </c>
      <c r="D59" s="62">
        <f>'30.11'!D59+COUNTIF(D$9:D$38,$C59)</f>
        <v>0</v>
      </c>
      <c r="E59" s="62">
        <f>'30.11'!E59+COUNTIF(E$9:E$38,$C59)</f>
        <v>0</v>
      </c>
      <c r="F59" s="62">
        <f>'30.11'!F59+COUNTIF(F$9:F$38,$C59)</f>
        <v>0</v>
      </c>
      <c r="G59" s="62">
        <f>'30.11'!G59+COUNTIF(G$9:G$38,$C59)</f>
        <v>0</v>
      </c>
      <c r="H59" s="62">
        <f>'30.11'!H59+COUNTIF(H$9:H$38,$C59)</f>
        <v>0</v>
      </c>
      <c r="I59" s="62">
        <f>'30.11'!I59+COUNTIF(I$9:I$38,$C59)</f>
        <v>0</v>
      </c>
      <c r="J59" s="62">
        <f>'30.11'!J59+COUNTIF(J$9:J$38,$C59)</f>
        <v>0</v>
      </c>
    </row>
    <row r="60" spans="2:10" x14ac:dyDescent="0.4">
      <c r="C60" s="55">
        <f>'01.09'!C60</f>
        <v>0</v>
      </c>
      <c r="D60" s="62">
        <f>'30.11'!D60+COUNTIF(D$9:D$38,$C60)</f>
        <v>0</v>
      </c>
      <c r="E60" s="62">
        <f>'30.11'!E60+COUNTIF(E$9:E$38,$C60)</f>
        <v>0</v>
      </c>
      <c r="F60" s="62">
        <f>'30.11'!F60+COUNTIF(F$9:F$38,$C60)</f>
        <v>0</v>
      </c>
      <c r="G60" s="62">
        <f>'30.11'!G60+COUNTIF(G$9:G$38,$C60)</f>
        <v>0</v>
      </c>
      <c r="H60" s="62">
        <f>'30.11'!H60+COUNTIF(H$9:H$38,$C60)</f>
        <v>0</v>
      </c>
      <c r="I60" s="62">
        <f>'30.11'!I60+COUNTIF(I$9:I$38,$C60)</f>
        <v>0</v>
      </c>
      <c r="J60" s="62">
        <f>'30.11'!J60+COUNTIF(J$9:J$38,$C60)</f>
        <v>0</v>
      </c>
    </row>
    <row r="61" spans="2:10" x14ac:dyDescent="0.4">
      <c r="C61" s="55">
        <f>'01.09'!C61</f>
        <v>0</v>
      </c>
      <c r="D61" s="62">
        <f>'30.11'!D61+COUNTIF(D$9:D$38,$C61)</f>
        <v>0</v>
      </c>
      <c r="E61" s="62">
        <f>'30.11'!E61+COUNTIF(E$9:E$38,$C61)</f>
        <v>0</v>
      </c>
      <c r="F61" s="62">
        <f>'30.11'!F61+COUNTIF(F$9:F$38,$C61)</f>
        <v>0</v>
      </c>
      <c r="G61" s="62">
        <f>'30.11'!G61+COUNTIF(G$9:G$38,$C61)</f>
        <v>0</v>
      </c>
      <c r="H61" s="62">
        <f>'30.11'!H61+COUNTIF(H$9:H$38,$C61)</f>
        <v>0</v>
      </c>
      <c r="I61" s="62">
        <f>'30.11'!I61+COUNTIF(I$9:I$38,$C61)</f>
        <v>0</v>
      </c>
      <c r="J61" s="62">
        <f>'30.11'!J61+COUNTIF(J$9:J$38,$C61)</f>
        <v>0</v>
      </c>
    </row>
    <row r="62" spans="2:10" x14ac:dyDescent="0.4">
      <c r="C62" s="55">
        <f>'01.09'!C62</f>
        <v>0</v>
      </c>
      <c r="D62" s="62">
        <f>'30.11'!D62+COUNTIF(D$9:D$38,$C62)</f>
        <v>0</v>
      </c>
      <c r="E62" s="62">
        <f>'30.11'!E62+COUNTIF(E$9:E$38,$C62)</f>
        <v>0</v>
      </c>
      <c r="F62" s="62">
        <f>'30.11'!F62+COUNTIF(F$9:F$38,$C62)</f>
        <v>0</v>
      </c>
      <c r="G62" s="62">
        <f>'30.11'!G62+COUNTIF(G$9:G$38,$C62)</f>
        <v>0</v>
      </c>
      <c r="H62" s="62">
        <f>'30.11'!H62+COUNTIF(H$9:H$38,$C62)</f>
        <v>0</v>
      </c>
      <c r="I62" s="62">
        <f>'30.11'!I62+COUNTIF(I$9:I$38,$C62)</f>
        <v>0</v>
      </c>
      <c r="J62" s="62">
        <f>'30.11'!J62+COUNTIF(J$9:J$38,$C62)</f>
        <v>0</v>
      </c>
    </row>
    <row r="63" spans="2:10" x14ac:dyDescent="0.4">
      <c r="C63" s="55">
        <f>'01.09'!C63</f>
        <v>0</v>
      </c>
      <c r="D63" s="62">
        <f>'30.11'!D63+COUNTIF(D$9:D$38,$C63)</f>
        <v>0</v>
      </c>
      <c r="E63" s="62">
        <f>'30.11'!E63+COUNTIF(E$9:E$38,$C63)</f>
        <v>0</v>
      </c>
      <c r="F63" s="62">
        <f>'30.11'!F63+COUNTIF(F$9:F$38,$C63)</f>
        <v>0</v>
      </c>
      <c r="G63" s="62">
        <f>'30.11'!G63+COUNTIF(G$9:G$38,$C63)</f>
        <v>0</v>
      </c>
      <c r="H63" s="62">
        <f>'30.11'!H63+COUNTIF(H$9:H$38,$C63)</f>
        <v>0</v>
      </c>
      <c r="I63" s="62">
        <f>'30.11'!I63+COUNTIF(I$9:I$38,$C63)</f>
        <v>0</v>
      </c>
      <c r="J63" s="62">
        <f>'30.11'!J63+COUNTIF(J$9:J$38,$C63)</f>
        <v>0</v>
      </c>
    </row>
    <row r="64" spans="2:10" x14ac:dyDescent="0.4">
      <c r="C64" s="55">
        <f>'01.09'!C64</f>
        <v>0</v>
      </c>
      <c r="D64" s="62">
        <f>'30.11'!D64+COUNTIF(D$9:D$38,$C64)</f>
        <v>0</v>
      </c>
      <c r="E64" s="62">
        <f>'30.11'!E64+COUNTIF(E$9:E$38,$C64)</f>
        <v>0</v>
      </c>
      <c r="F64" s="62">
        <f>'30.11'!F64+COUNTIF(F$9:F$38,$C64)</f>
        <v>0</v>
      </c>
      <c r="G64" s="62">
        <f>'30.11'!G64+COUNTIF(G$9:G$38,$C64)</f>
        <v>0</v>
      </c>
      <c r="H64" s="62">
        <f>'30.11'!H64+COUNTIF(H$9:H$38,$C64)</f>
        <v>0</v>
      </c>
      <c r="I64" s="62">
        <f>'30.11'!I64+COUNTIF(I$9:I$38,$C64)</f>
        <v>0</v>
      </c>
      <c r="J64" s="62">
        <f>'30.11'!J64+COUNTIF(J$9:J$38,$C64)</f>
        <v>0</v>
      </c>
    </row>
    <row r="65" spans="3:10" x14ac:dyDescent="0.4">
      <c r="C65" s="55">
        <f>'01.09'!C65</f>
        <v>0</v>
      </c>
      <c r="D65" s="62">
        <f>'30.11'!D65+COUNTIF(D$9:D$38,$C65)</f>
        <v>0</v>
      </c>
      <c r="E65" s="62">
        <f>'30.11'!E65+COUNTIF(E$9:E$38,$C65)</f>
        <v>0</v>
      </c>
      <c r="F65" s="62">
        <f>'30.11'!F65+COUNTIF(F$9:F$38,$C65)</f>
        <v>0</v>
      </c>
      <c r="G65" s="62">
        <f>'30.11'!G65+COUNTIF(G$9:G$38,$C65)</f>
        <v>0</v>
      </c>
      <c r="H65" s="62">
        <f>'30.11'!H65+COUNTIF(H$9:H$38,$C65)</f>
        <v>0</v>
      </c>
      <c r="I65" s="62">
        <f>'30.11'!I65+COUNTIF(I$9:I$38,$C65)</f>
        <v>0</v>
      </c>
      <c r="J65" s="62">
        <f>'30.11'!J65+COUNTIF(J$9:J$38,$C65)</f>
        <v>0</v>
      </c>
    </row>
    <row r="66" spans="3:10" x14ac:dyDescent="0.4">
      <c r="C66" s="55">
        <f>'01.09'!C66</f>
        <v>0</v>
      </c>
      <c r="D66" s="62">
        <f>'30.11'!D66+COUNTIF(D$9:D$38,$C66)</f>
        <v>0</v>
      </c>
      <c r="E66" s="62">
        <f>'30.11'!E66+COUNTIF(E$9:E$38,$C66)</f>
        <v>0</v>
      </c>
      <c r="F66" s="62">
        <f>'30.11'!F66+COUNTIF(F$9:F$38,$C66)</f>
        <v>0</v>
      </c>
      <c r="G66" s="62">
        <f>'30.11'!G66+COUNTIF(G$9:G$38,$C66)</f>
        <v>0</v>
      </c>
      <c r="H66" s="62">
        <f>'30.11'!H66+COUNTIF(H$9:H$38,$C66)</f>
        <v>0</v>
      </c>
      <c r="I66" s="62">
        <f>'30.11'!I66+COUNTIF(I$9:I$38,$C66)</f>
        <v>0</v>
      </c>
      <c r="J66" s="62">
        <f>'30.11'!J66+COUNTIF(J$9:J$38,$C66)</f>
        <v>0</v>
      </c>
    </row>
    <row r="67" spans="3:10" x14ac:dyDescent="0.4">
      <c r="C67" s="55">
        <f>'01.09'!C67</f>
        <v>0</v>
      </c>
      <c r="D67" s="62">
        <f>'30.11'!D67+COUNTIF(D$9:D$38,$C67)</f>
        <v>0</v>
      </c>
      <c r="E67" s="62">
        <f>'30.11'!E67+COUNTIF(E$9:E$38,$C67)</f>
        <v>0</v>
      </c>
      <c r="F67" s="62">
        <f>'30.11'!F67+COUNTIF(F$9:F$38,$C67)</f>
        <v>0</v>
      </c>
      <c r="G67" s="62">
        <f>'30.11'!G67+COUNTIF(G$9:G$38,$C67)</f>
        <v>0</v>
      </c>
      <c r="H67" s="62">
        <f>'30.11'!H67+COUNTIF(H$9:H$38,$C67)</f>
        <v>0</v>
      </c>
      <c r="I67" s="62">
        <f>'30.11'!I67+COUNTIF(I$9:I$38,$C67)</f>
        <v>0</v>
      </c>
      <c r="J67" s="62">
        <f>'30.11'!J67+COUNTIF(J$9:J$38,$C67)</f>
        <v>0</v>
      </c>
    </row>
  </sheetData>
  <mergeCells count="20"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  <mergeCell ref="B1:J1"/>
    <mergeCell ref="A3:J3"/>
    <mergeCell ref="B5:J5"/>
    <mergeCell ref="C7:C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2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67"/>
  <sheetViews>
    <sheetView view="pageBreakPreview" zoomScale="39" zoomScaleNormal="40" zoomScaleSheetLayoutView="39" zoomScalePageLayoutView="38" workbookViewId="0">
      <selection activeCell="I8" sqref="I8"/>
    </sheetView>
  </sheetViews>
  <sheetFormatPr defaultColWidth="9.140625" defaultRowHeight="26.25" x14ac:dyDescent="0.4"/>
  <cols>
    <col min="1" max="1" width="4.42578125" style="60" customWidth="1"/>
    <col min="2" max="2" width="8" style="60" customWidth="1"/>
    <col min="3" max="3" width="23.85546875" style="60" customWidth="1"/>
    <col min="4" max="4" width="59.5703125" style="60" customWidth="1"/>
    <col min="5" max="5" width="48.85546875" style="60" customWidth="1"/>
    <col min="6" max="6" width="50.28515625" style="60" customWidth="1"/>
    <col min="7" max="7" width="60.7109375" style="60" customWidth="1"/>
    <col min="8" max="8" width="68.5703125" style="60" customWidth="1"/>
    <col min="9" max="9" width="52.7109375" style="60" customWidth="1"/>
    <col min="10" max="10" width="57" style="60" customWidth="1"/>
    <col min="11" max="16384" width="9.140625" style="60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5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4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4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2.5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56.75" customHeight="1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75.75" customHeight="1" x14ac:dyDescent="0.4">
      <c r="A9" s="643" t="s">
        <v>0</v>
      </c>
      <c r="B9" s="648">
        <v>46370</v>
      </c>
      <c r="C9" s="50" t="s">
        <v>5</v>
      </c>
      <c r="D9" s="243"/>
      <c r="E9" s="286"/>
      <c r="F9" s="286"/>
      <c r="G9" s="286"/>
      <c r="H9" s="286"/>
      <c r="I9" s="286"/>
      <c r="J9" s="287"/>
    </row>
    <row r="10" spans="1:10" ht="75.75" customHeight="1" x14ac:dyDescent="0.4">
      <c r="A10" s="644"/>
      <c r="B10" s="619"/>
      <c r="C10" s="51" t="s">
        <v>6</v>
      </c>
      <c r="D10" s="239"/>
      <c r="E10" s="240"/>
      <c r="F10" s="240"/>
      <c r="G10" s="240"/>
      <c r="H10" s="240"/>
      <c r="I10" s="240"/>
      <c r="J10" s="288"/>
    </row>
    <row r="11" spans="1:10" ht="75.75" customHeight="1" x14ac:dyDescent="0.4">
      <c r="A11" s="644"/>
      <c r="B11" s="619"/>
      <c r="C11" s="51" t="s">
        <v>7</v>
      </c>
      <c r="D11" s="450"/>
      <c r="E11" s="237"/>
      <c r="F11" s="147"/>
      <c r="G11" s="451"/>
      <c r="H11" s="237"/>
      <c r="I11" s="237"/>
      <c r="J11" s="242"/>
    </row>
    <row r="12" spans="1:10" ht="75.75" customHeight="1" x14ac:dyDescent="0.4">
      <c r="A12" s="644"/>
      <c r="B12" s="619"/>
      <c r="C12" s="51" t="s">
        <v>8</v>
      </c>
      <c r="D12" s="450"/>
      <c r="E12" s="237"/>
      <c r="F12" s="147"/>
      <c r="G12" s="451"/>
      <c r="H12" s="237"/>
      <c r="I12" s="237"/>
      <c r="J12" s="242"/>
    </row>
    <row r="13" spans="1:10" ht="75.75" customHeight="1" thickBot="1" x14ac:dyDescent="0.45">
      <c r="A13" s="644"/>
      <c r="B13" s="619"/>
      <c r="C13" s="52" t="s">
        <v>10</v>
      </c>
      <c r="D13" s="391"/>
      <c r="E13" s="392"/>
      <c r="F13" s="392"/>
      <c r="G13" s="392"/>
      <c r="H13" s="392"/>
      <c r="I13" s="392"/>
      <c r="J13" s="393"/>
    </row>
    <row r="14" spans="1:10" ht="75.75" customHeight="1" x14ac:dyDescent="0.4">
      <c r="A14" s="643" t="s">
        <v>1</v>
      </c>
      <c r="B14" s="621">
        <f>B9+1</f>
        <v>46371</v>
      </c>
      <c r="C14" s="90" t="s">
        <v>5</v>
      </c>
      <c r="D14" s="289"/>
      <c r="E14" s="205"/>
      <c r="F14" s="205"/>
      <c r="G14" s="205"/>
      <c r="H14" s="205"/>
      <c r="I14" s="205"/>
      <c r="J14" s="197"/>
    </row>
    <row r="15" spans="1:10" ht="75.75" customHeight="1" x14ac:dyDescent="0.4">
      <c r="A15" s="644"/>
      <c r="B15" s="619"/>
      <c r="C15" s="91" t="s">
        <v>6</v>
      </c>
      <c r="D15" s="255"/>
      <c r="E15" s="427"/>
      <c r="F15" s="237"/>
      <c r="G15" s="237"/>
      <c r="H15" s="237"/>
      <c r="I15" s="237"/>
      <c r="J15" s="242"/>
    </row>
    <row r="16" spans="1:10" ht="75.75" customHeight="1" x14ac:dyDescent="0.4">
      <c r="A16" s="644"/>
      <c r="B16" s="619"/>
      <c r="C16" s="91" t="s">
        <v>7</v>
      </c>
      <c r="D16" s="450"/>
      <c r="E16" s="237"/>
      <c r="F16" s="147"/>
      <c r="G16" s="451"/>
      <c r="H16" s="451"/>
      <c r="I16" s="237"/>
      <c r="J16" s="452"/>
    </row>
    <row r="17" spans="1:10" ht="75.75" customHeight="1" x14ac:dyDescent="0.4">
      <c r="A17" s="644"/>
      <c r="B17" s="619"/>
      <c r="C17" s="91" t="s">
        <v>8</v>
      </c>
      <c r="D17" s="432"/>
      <c r="E17" s="433"/>
      <c r="F17" s="433"/>
      <c r="G17" s="433"/>
      <c r="H17" s="433"/>
      <c r="I17" s="433"/>
      <c r="J17" s="434"/>
    </row>
    <row r="18" spans="1:10" ht="75.75" customHeight="1" thickBot="1" x14ac:dyDescent="0.45">
      <c r="A18" s="645"/>
      <c r="B18" s="619"/>
      <c r="C18" s="92" t="s">
        <v>10</v>
      </c>
      <c r="D18" s="384"/>
      <c r="E18" s="154"/>
      <c r="F18" s="154"/>
      <c r="G18" s="195"/>
      <c r="H18" s="154"/>
      <c r="I18" s="195"/>
      <c r="J18" s="155"/>
    </row>
    <row r="19" spans="1:10" ht="75.75" customHeight="1" x14ac:dyDescent="0.4">
      <c r="A19" s="657" t="s">
        <v>2</v>
      </c>
      <c r="B19" s="626">
        <f>B14+1</f>
        <v>46372</v>
      </c>
      <c r="C19" s="67" t="s">
        <v>5</v>
      </c>
      <c r="D19" s="430"/>
      <c r="E19" s="186"/>
      <c r="F19" s="186"/>
      <c r="G19" s="186"/>
      <c r="H19" s="238"/>
      <c r="I19" s="186"/>
      <c r="J19" s="187"/>
    </row>
    <row r="20" spans="1:10" ht="75.75" customHeight="1" x14ac:dyDescent="0.4">
      <c r="A20" s="661"/>
      <c r="B20" s="624"/>
      <c r="C20" s="68" t="s">
        <v>6</v>
      </c>
      <c r="D20" s="450"/>
      <c r="E20" s="147"/>
      <c r="F20" s="147"/>
      <c r="G20" s="147"/>
      <c r="H20" s="237"/>
      <c r="I20" s="451"/>
      <c r="J20" s="452"/>
    </row>
    <row r="21" spans="1:10" ht="75.75" customHeight="1" x14ac:dyDescent="0.4">
      <c r="A21" s="661"/>
      <c r="B21" s="624"/>
      <c r="C21" s="68" t="s">
        <v>7</v>
      </c>
      <c r="D21" s="152"/>
      <c r="E21" s="451"/>
      <c r="F21" s="451"/>
      <c r="G21" s="147"/>
      <c r="H21" s="451"/>
      <c r="I21" s="451"/>
      <c r="J21" s="452"/>
    </row>
    <row r="22" spans="1:10" ht="75.75" customHeight="1" x14ac:dyDescent="0.4">
      <c r="A22" s="661"/>
      <c r="B22" s="624"/>
      <c r="C22" s="68" t="s">
        <v>8</v>
      </c>
      <c r="D22" s="152"/>
      <c r="E22" s="147"/>
      <c r="F22" s="147"/>
      <c r="G22" s="147"/>
      <c r="H22" s="184"/>
      <c r="I22" s="451"/>
      <c r="J22" s="452"/>
    </row>
    <row r="23" spans="1:10" ht="75.75" customHeight="1" thickBot="1" x14ac:dyDescent="0.45">
      <c r="A23" s="662"/>
      <c r="B23" s="624"/>
      <c r="C23" s="69" t="s">
        <v>10</v>
      </c>
      <c r="D23" s="153"/>
      <c r="E23" s="154"/>
      <c r="F23" s="195"/>
      <c r="G23" s="154"/>
      <c r="H23" s="154"/>
      <c r="I23" s="195"/>
      <c r="J23" s="155"/>
    </row>
    <row r="24" spans="1:10" ht="75.75" customHeight="1" x14ac:dyDescent="0.4">
      <c r="A24" s="657" t="s">
        <v>3</v>
      </c>
      <c r="B24" s="626">
        <f>B19+1</f>
        <v>46373</v>
      </c>
      <c r="C24" s="67" t="s">
        <v>5</v>
      </c>
      <c r="D24" s="196"/>
      <c r="E24" s="205"/>
      <c r="F24" s="183"/>
      <c r="G24" s="205"/>
      <c r="H24" s="205"/>
      <c r="I24" s="205"/>
      <c r="J24" s="383"/>
    </row>
    <row r="25" spans="1:10" ht="75.75" customHeight="1" x14ac:dyDescent="0.4">
      <c r="A25" s="658"/>
      <c r="B25" s="624"/>
      <c r="C25" s="68" t="s">
        <v>6</v>
      </c>
      <c r="D25" s="450"/>
      <c r="E25" s="147"/>
      <c r="F25" s="147"/>
      <c r="G25" s="147"/>
      <c r="H25" s="147"/>
      <c r="I25" s="451"/>
      <c r="J25" s="242"/>
    </row>
    <row r="26" spans="1:10" ht="75.75" customHeight="1" x14ac:dyDescent="0.4">
      <c r="A26" s="658"/>
      <c r="B26" s="624"/>
      <c r="C26" s="68" t="s">
        <v>7</v>
      </c>
      <c r="D26" s="152"/>
      <c r="E26" s="147"/>
      <c r="F26" s="147"/>
      <c r="G26" s="451"/>
      <c r="H26" s="184"/>
      <c r="I26" s="147"/>
      <c r="J26" s="148"/>
    </row>
    <row r="27" spans="1:10" ht="75.75" customHeight="1" x14ac:dyDescent="0.4">
      <c r="A27" s="658"/>
      <c r="B27" s="624"/>
      <c r="C27" s="68" t="s">
        <v>8</v>
      </c>
      <c r="D27" s="152"/>
      <c r="E27" s="147"/>
      <c r="F27" s="147"/>
      <c r="G27" s="451"/>
      <c r="H27" s="147"/>
      <c r="I27" s="147"/>
      <c r="J27" s="148"/>
    </row>
    <row r="28" spans="1:10" ht="75.75" customHeight="1" thickBot="1" x14ac:dyDescent="0.45">
      <c r="A28" s="659"/>
      <c r="B28" s="624"/>
      <c r="C28" s="69" t="s">
        <v>10</v>
      </c>
      <c r="D28" s="428"/>
      <c r="E28" s="429"/>
      <c r="F28" s="194"/>
      <c r="G28" s="212"/>
      <c r="H28" s="199"/>
      <c r="I28" s="212"/>
      <c r="J28" s="308"/>
    </row>
    <row r="29" spans="1:10" ht="75.75" customHeight="1" x14ac:dyDescent="0.4">
      <c r="A29" s="657" t="s">
        <v>4</v>
      </c>
      <c r="B29" s="626">
        <f>B24+1</f>
        <v>46374</v>
      </c>
      <c r="C29" s="67" t="s">
        <v>5</v>
      </c>
      <c r="D29" s="196"/>
      <c r="E29" s="236"/>
      <c r="F29" s="183"/>
      <c r="G29" s="205"/>
      <c r="H29" s="236"/>
      <c r="I29" s="236"/>
      <c r="J29" s="197"/>
    </row>
    <row r="30" spans="1:10" ht="75.75" customHeight="1" x14ac:dyDescent="0.4">
      <c r="A30" s="661"/>
      <c r="B30" s="624"/>
      <c r="C30" s="68" t="s">
        <v>6</v>
      </c>
      <c r="D30" s="152"/>
      <c r="E30" s="237"/>
      <c r="F30" s="147"/>
      <c r="G30" s="147"/>
      <c r="H30" s="237"/>
      <c r="I30" s="237"/>
      <c r="J30" s="148"/>
    </row>
    <row r="31" spans="1:10" ht="75.75" customHeight="1" x14ac:dyDescent="0.4">
      <c r="A31" s="661"/>
      <c r="B31" s="624"/>
      <c r="C31" s="68" t="s">
        <v>7</v>
      </c>
      <c r="D31" s="450"/>
      <c r="E31" s="147"/>
      <c r="F31" s="147"/>
      <c r="G31" s="451"/>
      <c r="H31" s="147"/>
      <c r="I31" s="147"/>
      <c r="J31" s="288"/>
    </row>
    <row r="32" spans="1:10" ht="75.75" customHeight="1" x14ac:dyDescent="0.4">
      <c r="A32" s="661"/>
      <c r="B32" s="624"/>
      <c r="C32" s="68" t="s">
        <v>8</v>
      </c>
      <c r="D32" s="450"/>
      <c r="E32" s="147"/>
      <c r="F32" s="147"/>
      <c r="G32" s="147"/>
      <c r="H32" s="147"/>
      <c r="I32" s="240"/>
      <c r="J32" s="190"/>
    </row>
    <row r="33" spans="1:10" ht="75.75" customHeight="1" thickBot="1" x14ac:dyDescent="0.45">
      <c r="A33" s="662"/>
      <c r="B33" s="624"/>
      <c r="C33" s="69" t="s">
        <v>10</v>
      </c>
      <c r="D33" s="153"/>
      <c r="E33" s="154"/>
      <c r="F33" s="154"/>
      <c r="G33" s="154"/>
      <c r="H33" s="154"/>
      <c r="I33" s="154"/>
      <c r="J33" s="188"/>
    </row>
    <row r="34" spans="1:10" ht="37.5" customHeight="1" x14ac:dyDescent="0.4">
      <c r="A34" s="624" t="s">
        <v>12</v>
      </c>
      <c r="B34" s="626">
        <f>B29+1</f>
        <v>46375</v>
      </c>
      <c r="C34" s="67" t="s">
        <v>5</v>
      </c>
      <c r="D34" s="162"/>
      <c r="E34" s="163"/>
      <c r="F34" s="163"/>
      <c r="G34" s="163"/>
      <c r="H34" s="163"/>
      <c r="I34" s="163"/>
      <c r="J34" s="187"/>
    </row>
    <row r="35" spans="1:10" ht="37.5" customHeight="1" x14ac:dyDescent="0.4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148"/>
    </row>
    <row r="36" spans="1:10" ht="37.5" customHeight="1" x14ac:dyDescent="0.4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0" ht="37.5" customHeight="1" x14ac:dyDescent="0.4">
      <c r="A37" s="624"/>
      <c r="B37" s="624"/>
      <c r="C37" s="68" t="s">
        <v>8</v>
      </c>
      <c r="D37" s="29"/>
      <c r="E37" s="30"/>
      <c r="F37" s="30"/>
      <c r="G37" s="121"/>
      <c r="H37" s="30"/>
      <c r="I37" s="121"/>
      <c r="J37" s="38"/>
    </row>
    <row r="38" spans="1:10" ht="37.5" customHeight="1" thickBot="1" x14ac:dyDescent="0.45">
      <c r="A38" s="660"/>
      <c r="B38" s="660"/>
      <c r="C38" s="69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4">
      <c r="D39" s="136" t="s">
        <v>51</v>
      </c>
    </row>
    <row r="40" spans="1:10" x14ac:dyDescent="0.4">
      <c r="B40" s="60">
        <v>8</v>
      </c>
      <c r="C40" s="55" t="str">
        <f>'01.09'!C40</f>
        <v>*Л. Основы медицинских знаний и спортивная медицина*</v>
      </c>
      <c r="D40" s="62">
        <f>'07.12'!D40+COUNTIF(D$9:D$38,$C40)</f>
        <v>8</v>
      </c>
      <c r="E40" s="62">
        <f>'07.12'!E40+COUNTIF(E$9:E$38,$C40)</f>
        <v>8</v>
      </c>
      <c r="F40" s="62">
        <f>'07.12'!F40+COUNTIF(F$9:F$38,$C40)</f>
        <v>8</v>
      </c>
      <c r="G40" s="62">
        <f>'07.12'!G40+COUNTIF(G$9:G$38,$C40)</f>
        <v>8</v>
      </c>
      <c r="H40" s="62">
        <f>'07.12'!H40+COUNTIF(H$9:H$38,$C40)</f>
        <v>8</v>
      </c>
      <c r="I40" s="62">
        <f>'07.12'!I40+COUNTIF(I$9:I$38,$C40)</f>
        <v>8</v>
      </c>
      <c r="J40" s="62">
        <f>'07.12'!J40+COUNTIF(J$9:J$38,$C40)</f>
        <v>8</v>
      </c>
    </row>
    <row r="41" spans="1:10" x14ac:dyDescent="0.4">
      <c r="B41" s="60">
        <v>16</v>
      </c>
      <c r="C41" s="55" t="str">
        <f>'01.09'!C41</f>
        <v>*Пр. Основы медицинских знаний и спортивная медицина*</v>
      </c>
      <c r="D41" s="62">
        <f>'07.12'!D41+COUNTIF(D$9:D$38,$C41)</f>
        <v>14</v>
      </c>
      <c r="E41" s="62">
        <f>'07.12'!E41+COUNTIF(E$9:E$38,$C41)</f>
        <v>14</v>
      </c>
      <c r="F41" s="62">
        <f>'07.12'!F41+COUNTIF(F$9:F$38,$C41)</f>
        <v>13</v>
      </c>
      <c r="G41" s="62">
        <f>'07.12'!G41+COUNTIF(G$9:G$38,$C41)</f>
        <v>9</v>
      </c>
      <c r="H41" s="62">
        <f>'07.12'!H41+COUNTIF(H$9:H$38,$C41)</f>
        <v>14</v>
      </c>
      <c r="I41" s="62">
        <f>'07.12'!I41+COUNTIF(I$9:I$38,$C41)</f>
        <v>13</v>
      </c>
      <c r="J41" s="62">
        <f>'07.12'!J41+COUNTIF(J$9:J$38,$C41)</f>
        <v>13</v>
      </c>
    </row>
    <row r="42" spans="1:10" x14ac:dyDescent="0.4">
      <c r="B42" s="60">
        <v>5</v>
      </c>
      <c r="C42" s="55" t="str">
        <f>'01.09'!C42</f>
        <v>*Л. Массаж*</v>
      </c>
      <c r="D42" s="62">
        <f>'07.12'!D42+COUNTIF(D$9:D$38,$C42)</f>
        <v>5</v>
      </c>
      <c r="E42" s="62">
        <f>'07.12'!E42+COUNTIF(E$9:E$38,$C42)</f>
        <v>5</v>
      </c>
      <c r="F42" s="62">
        <f>'07.12'!F42+COUNTIF(F$9:F$38,$C42)</f>
        <v>5</v>
      </c>
      <c r="G42" s="62">
        <f>'07.12'!G42+COUNTIF(G$9:G$38,$C42)</f>
        <v>5</v>
      </c>
      <c r="H42" s="62">
        <f>'07.12'!H42+COUNTIF(H$9:H$38,$C42)</f>
        <v>5</v>
      </c>
      <c r="I42" s="62">
        <f>'07.12'!I42+COUNTIF(I$9:I$38,$C42)</f>
        <v>5</v>
      </c>
      <c r="J42" s="62">
        <f>'07.12'!J42+COUNTIF(J$9:J$38,$C42)</f>
        <v>5</v>
      </c>
    </row>
    <row r="43" spans="1:10" x14ac:dyDescent="0.4">
      <c r="B43" s="60">
        <v>11</v>
      </c>
      <c r="C43" s="55" t="str">
        <f>'01.09'!C43</f>
        <v>*Пр. Массаж*</v>
      </c>
      <c r="D43" s="62">
        <f>'07.12'!D43+COUNTIF(D$9:D$38,$C43)</f>
        <v>13</v>
      </c>
      <c r="E43" s="62">
        <f>'07.12'!E43+COUNTIF(E$9:E$38,$C43)</f>
        <v>13</v>
      </c>
      <c r="F43" s="62">
        <f>'07.12'!F43+COUNTIF(F$9:F$38,$C43)</f>
        <v>13</v>
      </c>
      <c r="G43" s="62">
        <f>'07.12'!G43+COUNTIF(G$9:G$38,$C43)</f>
        <v>14</v>
      </c>
      <c r="H43" s="62">
        <f>'07.12'!H43+COUNTIF(H$9:H$38,$C43)</f>
        <v>14</v>
      </c>
      <c r="I43" s="62">
        <f>'07.12'!I43+COUNTIF(I$9:I$38,$C43)</f>
        <v>14</v>
      </c>
      <c r="J43" s="62">
        <f>'07.12'!J43+COUNTIF(J$9:J$38,$C43)</f>
        <v>14</v>
      </c>
    </row>
    <row r="44" spans="1:10" x14ac:dyDescent="0.4">
      <c r="B44" s="60">
        <v>7</v>
      </c>
      <c r="C44" s="55" t="str">
        <f>'01.09'!C44</f>
        <v>*Л. Правовые основы профессиональной деятельности*</v>
      </c>
      <c r="D44" s="62">
        <f>'07.12'!D44+COUNTIF(D$9:D$38,$C44)</f>
        <v>5</v>
      </c>
      <c r="E44" s="62">
        <f>'07.12'!E44+COUNTIF(E$9:E$38,$C44)</f>
        <v>5</v>
      </c>
      <c r="F44" s="62">
        <f>'07.12'!F44+COUNTIF(F$9:F$38,$C44)</f>
        <v>5</v>
      </c>
      <c r="G44" s="62">
        <f>'07.12'!G44+COUNTIF(G$9:G$38,$C44)</f>
        <v>5</v>
      </c>
      <c r="H44" s="62">
        <f>'07.12'!H44+COUNTIF(H$9:H$38,$C44)</f>
        <v>5</v>
      </c>
      <c r="I44" s="62">
        <f>'07.12'!I44+COUNTIF(I$9:I$38,$C44)</f>
        <v>5</v>
      </c>
      <c r="J44" s="62">
        <f>'07.12'!J44+COUNTIF(J$9:J$38,$C44)</f>
        <v>5</v>
      </c>
    </row>
    <row r="45" spans="1:10" x14ac:dyDescent="0.4">
      <c r="B45" s="60">
        <v>22</v>
      </c>
      <c r="C45" s="55" t="str">
        <f>'01.09'!C45</f>
        <v>*Пр. Правовые основы профессиональной деятельности*</v>
      </c>
      <c r="D45" s="62">
        <f>'07.12'!D45+COUNTIF(D$9:D$38,$C45)</f>
        <v>7</v>
      </c>
      <c r="E45" s="62">
        <f>'07.12'!E45+COUNTIF(E$9:E$38,$C45)</f>
        <v>8</v>
      </c>
      <c r="F45" s="62">
        <f>'07.12'!F45+COUNTIF(F$9:F$38,$C45)</f>
        <v>7</v>
      </c>
      <c r="G45" s="62">
        <f>'07.12'!G45+COUNTIF(G$9:G$38,$C45)</f>
        <v>7</v>
      </c>
      <c r="H45" s="62">
        <f>'07.12'!H45+COUNTIF(H$9:H$38,$C45)</f>
        <v>7</v>
      </c>
      <c r="I45" s="62">
        <f>'07.12'!I45+COUNTIF(I$9:I$38,$C45)</f>
        <v>6</v>
      </c>
      <c r="J45" s="62">
        <f>'07.12'!J45+COUNTIF(J$9:J$38,$C45)</f>
        <v>7</v>
      </c>
    </row>
    <row r="46" spans="1:10" x14ac:dyDescent="0.4">
      <c r="B46" s="60">
        <v>5</v>
      </c>
      <c r="C46" s="55" t="str">
        <f>'01.09'!C46</f>
        <v>*Л. Теория и методика*</v>
      </c>
      <c r="D46" s="62">
        <f>'07.12'!D46+COUNTIF(D$9:D$38,$C46)</f>
        <v>4</v>
      </c>
      <c r="E46" s="62">
        <f>'07.12'!E46+COUNTIF(E$9:E$38,$C46)</f>
        <v>4</v>
      </c>
      <c r="F46" s="62">
        <f>'07.12'!F46+COUNTIF(F$9:F$38,$C46)</f>
        <v>4</v>
      </c>
      <c r="G46" s="62">
        <f>'07.12'!G46+COUNTIF(G$9:G$38,$C46)</f>
        <v>4</v>
      </c>
      <c r="H46" s="62">
        <f>'07.12'!H46+COUNTIF(H$9:H$38,$C46)</f>
        <v>4</v>
      </c>
      <c r="I46" s="62">
        <f>'07.12'!I46+COUNTIF(I$9:I$38,$C46)</f>
        <v>4</v>
      </c>
      <c r="J46" s="62">
        <f>'07.12'!J46+COUNTIF(J$9:J$38,$C46)</f>
        <v>4</v>
      </c>
    </row>
    <row r="47" spans="1:10" x14ac:dyDescent="0.4">
      <c r="B47" s="60">
        <v>50</v>
      </c>
      <c r="C47" s="55" t="str">
        <f>'01.09'!C47</f>
        <v>*Пр. Теория и методика*</v>
      </c>
      <c r="D47" s="62">
        <f>'07.12'!D47+COUNTIF(D$9:D$38,$C47)</f>
        <v>30</v>
      </c>
      <c r="E47" s="62">
        <f>'07.12'!E47+COUNTIF(E$9:E$38,$C47)</f>
        <v>30</v>
      </c>
      <c r="F47" s="62">
        <f>'07.12'!F47+COUNTIF(F$9:F$38,$C47)</f>
        <v>31</v>
      </c>
      <c r="G47" s="62">
        <f>'07.12'!G47+COUNTIF(G$9:G$38,$C47)</f>
        <v>35</v>
      </c>
      <c r="H47" s="62">
        <f>'07.12'!H47+COUNTIF(H$9:H$38,$C47)</f>
        <v>35</v>
      </c>
      <c r="I47" s="62">
        <f>'07.12'!I47+COUNTIF(I$9:I$38,$C47)</f>
        <v>37</v>
      </c>
      <c r="J47" s="62">
        <f>'07.12'!J47+COUNTIF(J$9:J$38,$C47)</f>
        <v>37</v>
      </c>
    </row>
    <row r="48" spans="1:10" x14ac:dyDescent="0.4">
      <c r="B48" s="60">
        <v>5</v>
      </c>
      <c r="C48" s="55" t="str">
        <f>'01.09'!C48</f>
        <v>*Л. Спортивная метрология*</v>
      </c>
      <c r="D48" s="62">
        <f>'07.12'!D48+COUNTIF(D$9:D$38,$C48)</f>
        <v>5</v>
      </c>
      <c r="E48" s="62">
        <f>'07.12'!E48+COUNTIF(E$9:E$38,$C48)</f>
        <v>5</v>
      </c>
      <c r="F48" s="62">
        <f>'07.12'!F48+COUNTIF(F$9:F$38,$C48)</f>
        <v>5</v>
      </c>
      <c r="G48" s="62">
        <f>'07.12'!G48+COUNTIF(G$9:G$38,$C48)</f>
        <v>5</v>
      </c>
      <c r="H48" s="62">
        <f>'07.12'!H48+COUNTIF(H$9:H$38,$C48)</f>
        <v>5</v>
      </c>
      <c r="I48" s="62">
        <f>'07.12'!I48+COUNTIF(I$9:I$38,$C48)</f>
        <v>5</v>
      </c>
      <c r="J48" s="62">
        <f>'07.12'!J48+COUNTIF(J$9:J$38,$C48)</f>
        <v>5</v>
      </c>
    </row>
    <row r="49" spans="2:10" x14ac:dyDescent="0.4">
      <c r="B49" s="60">
        <v>6</v>
      </c>
      <c r="C49" s="55" t="str">
        <f>'01.09'!C49</f>
        <v>*Пр. Спортивная метрология*</v>
      </c>
      <c r="D49" s="62">
        <f>'07.12'!D49+COUNTIF(D$9:D$38,$C49)</f>
        <v>7</v>
      </c>
      <c r="E49" s="62">
        <f>'07.12'!E49+COUNTIF(E$9:E$38,$C49)</f>
        <v>7</v>
      </c>
      <c r="F49" s="62">
        <f>'07.12'!F49+COUNTIF(F$9:F$38,$C49)</f>
        <v>7</v>
      </c>
      <c r="G49" s="62">
        <f>'07.12'!G49+COUNTIF(G$9:G$38,$C49)</f>
        <v>7</v>
      </c>
      <c r="H49" s="62">
        <f>'07.12'!H49+COUNTIF(H$9:H$38,$C49)</f>
        <v>7</v>
      </c>
      <c r="I49" s="62">
        <f>'07.12'!I49+COUNTIF(I$9:I$38,$C49)</f>
        <v>7</v>
      </c>
      <c r="J49" s="62">
        <f>'07.12'!J49+COUNTIF(J$9:J$38,$C49)</f>
        <v>7</v>
      </c>
    </row>
    <row r="50" spans="2:10" x14ac:dyDescent="0.4">
      <c r="B50" s="60">
        <v>5</v>
      </c>
      <c r="C50" s="55" t="str">
        <f>'01.09'!C50</f>
        <v>*Л.  Теория и методика циклических и сложнокоординационных*</v>
      </c>
      <c r="D50" s="62">
        <f>'07.12'!D50+COUNTIF(D$9:D$38,$C50)</f>
        <v>0</v>
      </c>
      <c r="E50" s="62">
        <f>'07.12'!E50+COUNTIF(E$9:E$38,$C50)</f>
        <v>0</v>
      </c>
      <c r="F50" s="62">
        <f>'07.12'!F50+COUNTIF(F$9:F$38,$C50)</f>
        <v>0</v>
      </c>
      <c r="G50" s="62">
        <f>'07.12'!G50+COUNTIF(G$9:G$38,$C50)</f>
        <v>0</v>
      </c>
      <c r="H50" s="62">
        <f>'07.12'!H50+COUNTIF(H$9:H$38,$C50)</f>
        <v>4</v>
      </c>
      <c r="I50" s="62">
        <f>'07.12'!I50+COUNTIF(I$9:I$38,$C50)</f>
        <v>0</v>
      </c>
      <c r="J50" s="62">
        <f>'07.12'!J50+COUNTIF(J$9:J$38,$C50)</f>
        <v>0</v>
      </c>
    </row>
    <row r="51" spans="2:10" x14ac:dyDescent="0.4">
      <c r="B51" s="60">
        <v>11</v>
      </c>
      <c r="C51" s="55" t="str">
        <f>'01.09'!C51</f>
        <v>*Пр.  Теория и методика циклических и сложнокоординационных*</v>
      </c>
      <c r="D51" s="62">
        <f>'07.12'!D51+COUNTIF(D$9:D$38,$C51)</f>
        <v>0</v>
      </c>
      <c r="E51" s="62">
        <f>'07.12'!E51+COUNTIF(E$9:E$38,$C51)</f>
        <v>0</v>
      </c>
      <c r="F51" s="62">
        <f>'07.12'!F51+COUNTIF(F$9:F$38,$C51)</f>
        <v>0</v>
      </c>
      <c r="G51" s="62">
        <f>'07.12'!G51+COUNTIF(G$9:G$38,$C51)</f>
        <v>0</v>
      </c>
      <c r="H51" s="62">
        <f>'07.12'!H51+COUNTIF(H$9:H$38,$C51)</f>
        <v>39</v>
      </c>
      <c r="I51" s="62">
        <f>'07.12'!I51+COUNTIF(I$9:I$38,$C51)</f>
        <v>0</v>
      </c>
      <c r="J51" s="62">
        <f>'07.12'!J51+COUNTIF(J$9:J$38,$C51)</f>
        <v>0</v>
      </c>
    </row>
    <row r="52" spans="2:10" x14ac:dyDescent="0.4">
      <c r="B52" s="60">
        <v>3</v>
      </c>
      <c r="C52" s="55">
        <f>'01.09'!C52</f>
        <v>0</v>
      </c>
      <c r="D52" s="62">
        <f>'07.12'!D52+COUNTIF(D$9:D$38,$C52)</f>
        <v>0</v>
      </c>
      <c r="E52" s="62">
        <f>'07.12'!E52+COUNTIF(E$9:E$38,$C52)</f>
        <v>0</v>
      </c>
      <c r="F52" s="62">
        <f>'07.12'!F52+COUNTIF(F$9:F$38,$C52)</f>
        <v>0</v>
      </c>
      <c r="G52" s="62">
        <f>'07.12'!G52+COUNTIF(G$9:G$38,$C52)</f>
        <v>0</v>
      </c>
      <c r="H52" s="62">
        <f>'07.12'!H52+COUNTIF(H$9:H$38,$C52)</f>
        <v>0</v>
      </c>
      <c r="I52" s="62">
        <f>'07.12'!I52+COUNTIF(I$9:I$38,$C52)</f>
        <v>0</v>
      </c>
      <c r="J52" s="62">
        <f>'07.12'!J52+COUNTIF(J$9:J$38,$C52)</f>
        <v>0</v>
      </c>
    </row>
    <row r="53" spans="2:10" x14ac:dyDescent="0.4">
      <c r="B53" s="60">
        <v>13</v>
      </c>
      <c r="C53" s="55">
        <f>'01.09'!C53</f>
        <v>0</v>
      </c>
      <c r="D53" s="62">
        <f>'07.12'!D53+COUNTIF(D$9:D$38,$C53)</f>
        <v>0</v>
      </c>
      <c r="E53" s="62">
        <f>'07.12'!E53+COUNTIF(E$9:E$38,$C53)</f>
        <v>0</v>
      </c>
      <c r="F53" s="62">
        <f>'07.12'!F53+COUNTIF(F$9:F$38,$C53)</f>
        <v>0</v>
      </c>
      <c r="G53" s="62">
        <f>'07.12'!G53+COUNTIF(G$9:G$38,$C53)</f>
        <v>0</v>
      </c>
      <c r="H53" s="62">
        <f>'07.12'!H53+COUNTIF(H$9:H$38,$C53)</f>
        <v>0</v>
      </c>
      <c r="I53" s="62">
        <f>'07.12'!I53+COUNTIF(I$9:I$38,$C53)</f>
        <v>0</v>
      </c>
      <c r="J53" s="62">
        <f>'07.12'!J53+COUNTIF(J$9:J$38,$C53)</f>
        <v>0</v>
      </c>
    </row>
    <row r="54" spans="2:10" x14ac:dyDescent="0.4">
      <c r="B54" s="60">
        <v>1</v>
      </c>
      <c r="C54" s="55">
        <f>'01.09'!C54</f>
        <v>0</v>
      </c>
      <c r="D54" s="62">
        <f>'07.12'!D54+COUNTIF(D$9:D$38,$C54)</f>
        <v>0</v>
      </c>
      <c r="E54" s="62">
        <f>'07.12'!E54+COUNTIF(E$9:E$38,$C54)</f>
        <v>0</v>
      </c>
      <c r="F54" s="62">
        <f>'07.12'!F54+COUNTIF(F$9:F$38,$C54)</f>
        <v>0</v>
      </c>
      <c r="G54" s="62">
        <f>'07.12'!G54+COUNTIF(G$9:G$38,$C54)</f>
        <v>0</v>
      </c>
      <c r="H54" s="62">
        <f>'07.12'!H54+COUNTIF(H$9:H$38,$C54)</f>
        <v>0</v>
      </c>
      <c r="I54" s="62">
        <f>'07.12'!I54+COUNTIF(I$9:I$38,$C54)</f>
        <v>0</v>
      </c>
      <c r="J54" s="62">
        <f>'07.12'!J54+COUNTIF(J$9:J$38,$C54)</f>
        <v>0</v>
      </c>
    </row>
    <row r="55" spans="2:10" x14ac:dyDescent="0.4">
      <c r="B55" s="60">
        <v>23</v>
      </c>
      <c r="C55" s="55">
        <f>'01.09'!C55</f>
        <v>0</v>
      </c>
      <c r="D55" s="62">
        <f>'07.12'!D55+COUNTIF(D$9:D$38,$C55)</f>
        <v>0</v>
      </c>
      <c r="E55" s="62">
        <f>'07.12'!E55+COUNTIF(E$9:E$38,$C55)</f>
        <v>0</v>
      </c>
      <c r="F55" s="62">
        <f>'07.12'!F55+COUNTIF(F$9:F$38,$C55)</f>
        <v>0</v>
      </c>
      <c r="G55" s="62">
        <f>'07.12'!G55+COUNTIF(G$9:G$38,$C55)</f>
        <v>0</v>
      </c>
      <c r="H55" s="62">
        <f>'07.12'!H55+COUNTIF(H$9:H$38,$C55)</f>
        <v>0</v>
      </c>
      <c r="I55" s="62">
        <f>'07.12'!I55+COUNTIF(I$9:I$38,$C55)</f>
        <v>0</v>
      </c>
      <c r="J55" s="62">
        <f>'07.12'!J55+COUNTIF(J$9:J$38,$C55)</f>
        <v>0</v>
      </c>
    </row>
    <row r="56" spans="2:10" x14ac:dyDescent="0.4">
      <c r="B56" s="60">
        <v>5</v>
      </c>
      <c r="C56" s="55">
        <f>'01.09'!C56</f>
        <v>0</v>
      </c>
      <c r="D56" s="62">
        <f>'07.12'!D56+COUNTIF(D$9:D$38,$C56)</f>
        <v>0</v>
      </c>
      <c r="E56" s="62">
        <f>'07.12'!E56+COUNTIF(E$9:E$38,$C56)</f>
        <v>0</v>
      </c>
      <c r="F56" s="62">
        <f>'07.12'!F56+COUNTIF(F$9:F$38,$C56)</f>
        <v>0</v>
      </c>
      <c r="G56" s="62">
        <f>'07.12'!G56+COUNTIF(G$9:G$38,$C56)</f>
        <v>0</v>
      </c>
      <c r="H56" s="62">
        <f>'07.12'!H56+COUNTIF(H$9:H$38,$C56)</f>
        <v>0</v>
      </c>
      <c r="I56" s="62">
        <f>'07.12'!I56+COUNTIF(I$9:I$38,$C56)</f>
        <v>0</v>
      </c>
      <c r="J56" s="62">
        <f>'07.12'!J56+COUNTIF(J$9:J$38,$C56)</f>
        <v>0</v>
      </c>
    </row>
    <row r="57" spans="2:10" x14ac:dyDescent="0.4">
      <c r="B57" s="60">
        <v>11</v>
      </c>
      <c r="C57" s="55">
        <f>'01.09'!C57</f>
        <v>0</v>
      </c>
      <c r="D57" s="62">
        <f>'07.12'!D57+COUNTIF(D$9:D$38,$C57)</f>
        <v>0</v>
      </c>
      <c r="E57" s="62">
        <f>'07.12'!E57+COUNTIF(E$9:E$38,$C57)</f>
        <v>0</v>
      </c>
      <c r="F57" s="62">
        <f>'07.12'!F57+COUNTIF(F$9:F$38,$C57)</f>
        <v>0</v>
      </c>
      <c r="G57" s="62">
        <f>'07.12'!G57+COUNTIF(G$9:G$38,$C57)</f>
        <v>0</v>
      </c>
      <c r="H57" s="62">
        <f>'07.12'!H57+COUNTIF(H$9:H$38,$C57)</f>
        <v>0</v>
      </c>
      <c r="I57" s="62">
        <f>'07.12'!I57+COUNTIF(I$9:I$38,$C57)</f>
        <v>0</v>
      </c>
      <c r="J57" s="62">
        <f>'07.12'!J57+COUNTIF(J$9:J$38,$C57)</f>
        <v>0</v>
      </c>
    </row>
    <row r="58" spans="2:10" x14ac:dyDescent="0.4">
      <c r="C58" s="55">
        <f>'01.09'!C58</f>
        <v>0</v>
      </c>
      <c r="D58" s="62">
        <f>'07.12'!D58+COUNTIF(D$9:D$38,$C58)</f>
        <v>0</v>
      </c>
      <c r="E58" s="62">
        <f>'07.12'!E58+COUNTIF(E$9:E$38,$C58)</f>
        <v>0</v>
      </c>
      <c r="F58" s="62">
        <f>'07.12'!F58+COUNTIF(F$9:F$38,$C58)</f>
        <v>0</v>
      </c>
      <c r="G58" s="62">
        <f>'07.12'!G58+COUNTIF(G$9:G$38,$C58)</f>
        <v>0</v>
      </c>
      <c r="H58" s="62">
        <f>'07.12'!H58+COUNTIF(H$9:H$38,$C58)</f>
        <v>0</v>
      </c>
      <c r="I58" s="62">
        <f>'07.12'!I58+COUNTIF(I$9:I$38,$C58)</f>
        <v>0</v>
      </c>
      <c r="J58" s="62">
        <f>'07.12'!J58+COUNTIF(J$9:J$38,$C58)</f>
        <v>0</v>
      </c>
    </row>
    <row r="59" spans="2:10" x14ac:dyDescent="0.4">
      <c r="C59" s="55">
        <f>'01.09'!C59</f>
        <v>0</v>
      </c>
      <c r="D59" s="62">
        <f>'07.12'!D59+COUNTIF(D$9:D$38,$C59)</f>
        <v>0</v>
      </c>
      <c r="E59" s="62">
        <f>'07.12'!E59+COUNTIF(E$9:E$38,$C59)</f>
        <v>0</v>
      </c>
      <c r="F59" s="62">
        <f>'07.12'!F59+COUNTIF(F$9:F$38,$C59)</f>
        <v>0</v>
      </c>
      <c r="G59" s="62">
        <f>'07.12'!G59+COUNTIF(G$9:G$38,$C59)</f>
        <v>0</v>
      </c>
      <c r="H59" s="62">
        <f>'07.12'!H59+COUNTIF(H$9:H$38,$C59)</f>
        <v>0</v>
      </c>
      <c r="I59" s="62">
        <f>'07.12'!I59+COUNTIF(I$9:I$38,$C59)</f>
        <v>0</v>
      </c>
      <c r="J59" s="62">
        <f>'07.12'!J59+COUNTIF(J$9:J$38,$C59)</f>
        <v>0</v>
      </c>
    </row>
    <row r="60" spans="2:10" x14ac:dyDescent="0.4">
      <c r="C60" s="55">
        <f>'01.09'!C60</f>
        <v>0</v>
      </c>
      <c r="D60" s="62">
        <f>'07.12'!D60+COUNTIF(D$9:D$38,$C60)</f>
        <v>0</v>
      </c>
      <c r="E60" s="62">
        <f>'07.12'!E60+COUNTIF(E$9:E$38,$C60)</f>
        <v>0</v>
      </c>
      <c r="F60" s="62">
        <f>'07.12'!F60+COUNTIF(F$9:F$38,$C60)</f>
        <v>0</v>
      </c>
      <c r="G60" s="62">
        <f>'07.12'!G60+COUNTIF(G$9:G$38,$C60)</f>
        <v>0</v>
      </c>
      <c r="H60" s="62">
        <f>'07.12'!H60+COUNTIF(H$9:H$38,$C60)</f>
        <v>0</v>
      </c>
      <c r="I60" s="62">
        <f>'07.12'!I60+COUNTIF(I$9:I$38,$C60)</f>
        <v>0</v>
      </c>
      <c r="J60" s="62">
        <f>'07.12'!J60+COUNTIF(J$9:J$38,$C60)</f>
        <v>0</v>
      </c>
    </row>
    <row r="61" spans="2:10" x14ac:dyDescent="0.4">
      <c r="C61" s="55">
        <f>'01.09'!C61</f>
        <v>0</v>
      </c>
      <c r="D61" s="62">
        <f>'07.12'!D61+COUNTIF(D$9:D$38,$C61)</f>
        <v>0</v>
      </c>
      <c r="E61" s="62">
        <f>'07.12'!E61+COUNTIF(E$9:E$38,$C61)</f>
        <v>0</v>
      </c>
      <c r="F61" s="62">
        <f>'07.12'!F61+COUNTIF(F$9:F$38,$C61)</f>
        <v>0</v>
      </c>
      <c r="G61" s="62">
        <f>'07.12'!G61+COUNTIF(G$9:G$38,$C61)</f>
        <v>0</v>
      </c>
      <c r="H61" s="62">
        <f>'07.12'!H61+COUNTIF(H$9:H$38,$C61)</f>
        <v>0</v>
      </c>
      <c r="I61" s="62">
        <f>'07.12'!I61+COUNTIF(I$9:I$38,$C61)</f>
        <v>0</v>
      </c>
      <c r="J61" s="62">
        <f>'07.12'!J61+COUNTIF(J$9:J$38,$C61)</f>
        <v>0</v>
      </c>
    </row>
    <row r="62" spans="2:10" x14ac:dyDescent="0.4">
      <c r="C62" s="55">
        <f>'01.09'!C62</f>
        <v>0</v>
      </c>
      <c r="D62" s="62">
        <f>'07.12'!D62+COUNTIF(D$9:D$38,$C62)</f>
        <v>0</v>
      </c>
      <c r="E62" s="62">
        <f>'07.12'!E62+COUNTIF(E$9:E$38,$C62)</f>
        <v>0</v>
      </c>
      <c r="F62" s="62">
        <f>'07.12'!F62+COUNTIF(F$9:F$38,$C62)</f>
        <v>0</v>
      </c>
      <c r="G62" s="62">
        <f>'07.12'!G62+COUNTIF(G$9:G$38,$C62)</f>
        <v>0</v>
      </c>
      <c r="H62" s="62">
        <f>'07.12'!H62+COUNTIF(H$9:H$38,$C62)</f>
        <v>0</v>
      </c>
      <c r="I62" s="62">
        <f>'07.12'!I62+COUNTIF(I$9:I$38,$C62)</f>
        <v>0</v>
      </c>
      <c r="J62" s="62">
        <f>'07.12'!J62+COUNTIF(J$9:J$38,$C62)</f>
        <v>0</v>
      </c>
    </row>
    <row r="63" spans="2:10" x14ac:dyDescent="0.4">
      <c r="C63" s="55">
        <f>'01.09'!C63</f>
        <v>0</v>
      </c>
      <c r="D63" s="62">
        <f>'07.12'!D63+COUNTIF(D$9:D$38,$C63)</f>
        <v>0</v>
      </c>
      <c r="E63" s="62">
        <f>'07.12'!E63+COUNTIF(E$9:E$38,$C63)</f>
        <v>0</v>
      </c>
      <c r="F63" s="62">
        <f>'07.12'!F63+COUNTIF(F$9:F$38,$C63)</f>
        <v>0</v>
      </c>
      <c r="G63" s="62">
        <f>'07.12'!G63+COUNTIF(G$9:G$38,$C63)</f>
        <v>0</v>
      </c>
      <c r="H63" s="62">
        <f>'07.12'!H63+COUNTIF(H$9:H$38,$C63)</f>
        <v>0</v>
      </c>
      <c r="I63" s="62">
        <f>'07.12'!I63+COUNTIF(I$9:I$38,$C63)</f>
        <v>0</v>
      </c>
      <c r="J63" s="62">
        <f>'07.12'!J63+COUNTIF(J$9:J$38,$C63)</f>
        <v>0</v>
      </c>
    </row>
    <row r="64" spans="2:10" x14ac:dyDescent="0.4">
      <c r="C64" s="55">
        <f>'01.09'!C64</f>
        <v>0</v>
      </c>
      <c r="D64" s="62">
        <f>'07.12'!D64+COUNTIF(D$9:D$38,$C64)</f>
        <v>0</v>
      </c>
      <c r="E64" s="62">
        <f>'07.12'!E64+COUNTIF(E$9:E$38,$C64)</f>
        <v>0</v>
      </c>
      <c r="F64" s="62">
        <f>'07.12'!F64+COUNTIF(F$9:F$38,$C64)</f>
        <v>0</v>
      </c>
      <c r="G64" s="62">
        <f>'07.12'!G64+COUNTIF(G$9:G$38,$C64)</f>
        <v>0</v>
      </c>
      <c r="H64" s="62">
        <f>'07.12'!H64+COUNTIF(H$9:H$38,$C64)</f>
        <v>0</v>
      </c>
      <c r="I64" s="62">
        <f>'07.12'!I64+COUNTIF(I$9:I$38,$C64)</f>
        <v>0</v>
      </c>
      <c r="J64" s="62">
        <f>'07.12'!J64+COUNTIF(J$9:J$38,$C64)</f>
        <v>0</v>
      </c>
    </row>
    <row r="65" spans="3:10" x14ac:dyDescent="0.4">
      <c r="C65" s="55">
        <f>'01.09'!C65</f>
        <v>0</v>
      </c>
      <c r="D65" s="62">
        <f>'07.12'!D65+COUNTIF(D$9:D$38,$C65)</f>
        <v>0</v>
      </c>
      <c r="E65" s="62">
        <f>'07.12'!E65+COUNTIF(E$9:E$38,$C65)</f>
        <v>0</v>
      </c>
      <c r="F65" s="62">
        <f>'07.12'!F65+COUNTIF(F$9:F$38,$C65)</f>
        <v>0</v>
      </c>
      <c r="G65" s="62">
        <f>'07.12'!G65+COUNTIF(G$9:G$38,$C65)</f>
        <v>0</v>
      </c>
      <c r="H65" s="62">
        <f>'07.12'!H65+COUNTIF(H$9:H$38,$C65)</f>
        <v>0</v>
      </c>
      <c r="I65" s="62">
        <f>'07.12'!I65+COUNTIF(I$9:I$38,$C65)</f>
        <v>0</v>
      </c>
      <c r="J65" s="62">
        <f>'07.12'!J65+COUNTIF(J$9:J$38,$C65)</f>
        <v>0</v>
      </c>
    </row>
    <row r="66" spans="3:10" x14ac:dyDescent="0.4">
      <c r="C66" s="55">
        <f>'01.09'!C66</f>
        <v>0</v>
      </c>
      <c r="D66" s="62">
        <f>'07.12'!D66+COUNTIF(D$9:D$38,$C66)</f>
        <v>0</v>
      </c>
      <c r="E66" s="62">
        <f>'07.12'!E66+COUNTIF(E$9:E$38,$C66)</f>
        <v>0</v>
      </c>
      <c r="F66" s="62">
        <f>'07.12'!F66+COUNTIF(F$9:F$38,$C66)</f>
        <v>0</v>
      </c>
      <c r="G66" s="62">
        <f>'07.12'!G66+COUNTIF(G$9:G$38,$C66)</f>
        <v>0</v>
      </c>
      <c r="H66" s="62">
        <f>'07.12'!H66+COUNTIF(H$9:H$38,$C66)</f>
        <v>0</v>
      </c>
      <c r="I66" s="62">
        <f>'07.12'!I66+COUNTIF(I$9:I$38,$C66)</f>
        <v>0</v>
      </c>
      <c r="J66" s="62">
        <f>'07.12'!J66+COUNTIF(J$9:J$38,$C66)</f>
        <v>0</v>
      </c>
    </row>
    <row r="67" spans="3:10" x14ac:dyDescent="0.4">
      <c r="C67" s="55">
        <f>'01.09'!C67</f>
        <v>0</v>
      </c>
      <c r="D67" s="62">
        <f>'07.12'!D67+COUNTIF(D$9:D$38,$C67)</f>
        <v>0</v>
      </c>
      <c r="E67" s="62">
        <f>'07.12'!E67+COUNTIF(E$9:E$38,$C67)</f>
        <v>0</v>
      </c>
      <c r="F67" s="62">
        <f>'07.12'!F67+COUNTIF(F$9:F$38,$C67)</f>
        <v>0</v>
      </c>
      <c r="G67" s="62">
        <f>'07.12'!G67+COUNTIF(G$9:G$38,$C67)</f>
        <v>0</v>
      </c>
      <c r="H67" s="62">
        <f>'07.12'!H67+COUNTIF(H$9:H$38,$C67)</f>
        <v>0</v>
      </c>
      <c r="I67" s="62">
        <f>'07.12'!I67+COUNTIF(I$9:I$38,$C67)</f>
        <v>0</v>
      </c>
      <c r="J67" s="62">
        <f>'07.12'!J67+COUNTIF(J$9:J$38,$C67)</f>
        <v>0</v>
      </c>
    </row>
  </sheetData>
  <mergeCells count="20">
    <mergeCell ref="B1:J1"/>
    <mergeCell ref="A3:J3"/>
    <mergeCell ref="B5:J5"/>
    <mergeCell ref="C7:C8"/>
    <mergeCell ref="B7:B8"/>
    <mergeCell ref="B2:J2"/>
    <mergeCell ref="B4:J4"/>
    <mergeCell ref="A7:A8"/>
    <mergeCell ref="B9:B13"/>
    <mergeCell ref="B14:B18"/>
    <mergeCell ref="A9:A13"/>
    <mergeCell ref="A14:A1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K69"/>
  <sheetViews>
    <sheetView view="pageBreakPreview" zoomScale="39" zoomScaleNormal="40" zoomScaleSheetLayoutView="39" zoomScalePageLayoutView="38" workbookViewId="0">
      <selection activeCell="I8" sqref="I8"/>
    </sheetView>
  </sheetViews>
  <sheetFormatPr defaultRowHeight="26.25" x14ac:dyDescent="0.4"/>
  <cols>
    <col min="1" max="1" width="4.42578125" style="72" customWidth="1"/>
    <col min="2" max="2" width="6.7109375" style="72" customWidth="1"/>
    <col min="3" max="3" width="24.140625" style="72" customWidth="1"/>
    <col min="4" max="4" width="49.28515625" style="72" customWidth="1"/>
    <col min="5" max="5" width="56.7109375" style="72" customWidth="1"/>
    <col min="6" max="6" width="52.28515625" style="72" customWidth="1"/>
    <col min="7" max="7" width="58.5703125" style="72" customWidth="1"/>
    <col min="8" max="8" width="68" style="72" customWidth="1"/>
    <col min="9" max="9" width="52.7109375" style="72" customWidth="1"/>
    <col min="10" max="10" width="51.140625" style="72" customWidth="1"/>
    <col min="11" max="16384" width="9.140625" style="72"/>
  </cols>
  <sheetData>
    <row r="1" spans="1:10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ht="26.25" customHeight="1" x14ac:dyDescent="0.4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ht="30" x14ac:dyDescent="0.4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ht="30" x14ac:dyDescent="0.4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2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7" customHeight="1" thickBot="1" x14ac:dyDescent="0.45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58.25" thickBot="1" x14ac:dyDescent="0.45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547" t="s">
        <v>83</v>
      </c>
      <c r="J8" s="179" t="s">
        <v>82</v>
      </c>
    </row>
    <row r="9" spans="1:10" ht="69.75" customHeight="1" x14ac:dyDescent="0.4">
      <c r="A9" s="643" t="s">
        <v>0</v>
      </c>
      <c r="B9" s="648">
        <v>46377</v>
      </c>
      <c r="C9" s="50" t="s">
        <v>5</v>
      </c>
      <c r="D9" s="243"/>
      <c r="E9" s="286"/>
      <c r="F9" s="286"/>
      <c r="G9" s="286"/>
      <c r="H9" s="286"/>
      <c r="I9" s="286"/>
      <c r="J9" s="287"/>
    </row>
    <row r="10" spans="1:10" ht="69.75" customHeight="1" x14ac:dyDescent="0.4">
      <c r="A10" s="644"/>
      <c r="B10" s="619"/>
      <c r="C10" s="51" t="s">
        <v>6</v>
      </c>
      <c r="D10" s="239"/>
      <c r="E10" s="240"/>
      <c r="F10" s="240"/>
      <c r="G10" s="240"/>
      <c r="H10" s="240"/>
      <c r="I10" s="240"/>
      <c r="J10" s="288"/>
    </row>
    <row r="11" spans="1:10" ht="69.75" customHeight="1" x14ac:dyDescent="0.4">
      <c r="A11" s="644"/>
      <c r="B11" s="619"/>
      <c r="C11" s="51" t="s">
        <v>7</v>
      </c>
      <c r="D11" s="450"/>
      <c r="E11" s="237"/>
      <c r="F11" s="147"/>
      <c r="G11" s="451"/>
      <c r="H11" s="237"/>
      <c r="I11" s="237"/>
      <c r="J11" s="242"/>
    </row>
    <row r="12" spans="1:10" ht="69.75" customHeight="1" x14ac:dyDescent="0.4">
      <c r="A12" s="644"/>
      <c r="B12" s="619"/>
      <c r="C12" s="51" t="s">
        <v>8</v>
      </c>
      <c r="D12" s="450"/>
      <c r="E12" s="237"/>
      <c r="F12" s="147"/>
      <c r="G12" s="451"/>
      <c r="H12" s="237"/>
      <c r="I12" s="237"/>
      <c r="J12" s="242"/>
    </row>
    <row r="13" spans="1:10" ht="69.75" customHeight="1" thickBot="1" x14ac:dyDescent="0.45">
      <c r="A13" s="644"/>
      <c r="B13" s="619"/>
      <c r="C13" s="52" t="s">
        <v>10</v>
      </c>
      <c r="D13" s="391"/>
      <c r="E13" s="392"/>
      <c r="F13" s="392"/>
      <c r="G13" s="392"/>
      <c r="H13" s="392"/>
      <c r="I13" s="392"/>
      <c r="J13" s="393"/>
    </row>
    <row r="14" spans="1:10" ht="69.75" customHeight="1" x14ac:dyDescent="0.4">
      <c r="A14" s="643" t="s">
        <v>1</v>
      </c>
      <c r="B14" s="621">
        <f>B9+1</f>
        <v>46378</v>
      </c>
      <c r="C14" s="90" t="s">
        <v>5</v>
      </c>
      <c r="D14" s="289"/>
      <c r="E14" s="205"/>
      <c r="F14" s="205"/>
      <c r="G14" s="205"/>
      <c r="H14" s="205"/>
      <c r="I14" s="205"/>
      <c r="J14" s="197"/>
    </row>
    <row r="15" spans="1:10" ht="69.75" customHeight="1" x14ac:dyDescent="0.4">
      <c r="A15" s="644"/>
      <c r="B15" s="619"/>
      <c r="C15" s="91" t="s">
        <v>6</v>
      </c>
      <c r="D15" s="255"/>
      <c r="E15" s="427"/>
      <c r="F15" s="237"/>
      <c r="G15" s="237"/>
      <c r="H15" s="237"/>
      <c r="I15" s="237"/>
      <c r="J15" s="242"/>
    </row>
    <row r="16" spans="1:10" ht="69.75" customHeight="1" x14ac:dyDescent="0.4">
      <c r="A16" s="644"/>
      <c r="B16" s="619"/>
      <c r="C16" s="91" t="s">
        <v>7</v>
      </c>
      <c r="D16" s="450"/>
      <c r="E16" s="237"/>
      <c r="F16" s="147"/>
      <c r="G16" s="451"/>
      <c r="H16" s="451"/>
      <c r="I16" s="237"/>
      <c r="J16" s="452"/>
    </row>
    <row r="17" spans="1:11" ht="69.75" customHeight="1" x14ac:dyDescent="0.4">
      <c r="A17" s="644"/>
      <c r="B17" s="619"/>
      <c r="C17" s="91" t="s">
        <v>8</v>
      </c>
      <c r="D17" s="432"/>
      <c r="E17" s="433"/>
      <c r="F17" s="433"/>
      <c r="G17" s="433"/>
      <c r="H17" s="433"/>
      <c r="I17" s="433"/>
      <c r="J17" s="434"/>
    </row>
    <row r="18" spans="1:11" ht="69.75" customHeight="1" thickBot="1" x14ac:dyDescent="0.45">
      <c r="A18" s="645"/>
      <c r="B18" s="619"/>
      <c r="C18" s="92" t="s">
        <v>10</v>
      </c>
      <c r="D18" s="384"/>
      <c r="E18" s="154"/>
      <c r="F18" s="154"/>
      <c r="G18" s="195"/>
      <c r="H18" s="154"/>
      <c r="I18" s="195"/>
      <c r="J18" s="155"/>
      <c r="K18" s="73"/>
    </row>
    <row r="19" spans="1:11" ht="69.75" customHeight="1" x14ac:dyDescent="0.4">
      <c r="A19" s="657" t="s">
        <v>2</v>
      </c>
      <c r="B19" s="626">
        <f>B14+1</f>
        <v>46379</v>
      </c>
      <c r="C19" s="67" t="s">
        <v>5</v>
      </c>
      <c r="D19" s="430"/>
      <c r="E19" s="186"/>
      <c r="F19" s="186"/>
      <c r="G19" s="186"/>
      <c r="H19" s="238"/>
      <c r="I19" s="186"/>
      <c r="J19" s="187"/>
    </row>
    <row r="20" spans="1:11" ht="69.75" customHeight="1" x14ac:dyDescent="0.4">
      <c r="A20" s="661"/>
      <c r="B20" s="624"/>
      <c r="C20" s="68" t="s">
        <v>6</v>
      </c>
      <c r="D20" s="450"/>
      <c r="E20" s="147"/>
      <c r="F20" s="147"/>
      <c r="G20" s="147"/>
      <c r="H20" s="237"/>
      <c r="I20" s="451"/>
      <c r="J20" s="452"/>
    </row>
    <row r="21" spans="1:11" ht="69.75" customHeight="1" x14ac:dyDescent="0.4">
      <c r="A21" s="661"/>
      <c r="B21" s="624"/>
      <c r="C21" s="68" t="s">
        <v>7</v>
      </c>
      <c r="D21" s="152"/>
      <c r="E21" s="451"/>
      <c r="F21" s="451"/>
      <c r="G21" s="147"/>
      <c r="H21" s="451"/>
      <c r="I21" s="451"/>
      <c r="J21" s="452"/>
      <c r="K21" s="73"/>
    </row>
    <row r="22" spans="1:11" ht="69.75" customHeight="1" x14ac:dyDescent="0.4">
      <c r="A22" s="661"/>
      <c r="B22" s="624"/>
      <c r="C22" s="68" t="s">
        <v>8</v>
      </c>
      <c r="D22" s="152"/>
      <c r="E22" s="147"/>
      <c r="F22" s="147"/>
      <c r="G22" s="147"/>
      <c r="H22" s="184"/>
      <c r="I22" s="451"/>
      <c r="J22" s="452"/>
    </row>
    <row r="23" spans="1:11" ht="69.75" customHeight="1" thickBot="1" x14ac:dyDescent="0.45">
      <c r="A23" s="662"/>
      <c r="B23" s="624"/>
      <c r="C23" s="69" t="s">
        <v>10</v>
      </c>
      <c r="D23" s="153"/>
      <c r="E23" s="154"/>
      <c r="F23" s="195"/>
      <c r="G23" s="154"/>
      <c r="H23" s="154"/>
      <c r="I23" s="195"/>
      <c r="J23" s="155"/>
    </row>
    <row r="24" spans="1:11" ht="69.75" customHeight="1" x14ac:dyDescent="0.4">
      <c r="A24" s="657" t="s">
        <v>3</v>
      </c>
      <c r="B24" s="626">
        <f>B19+1</f>
        <v>46380</v>
      </c>
      <c r="C24" s="57" t="s">
        <v>5</v>
      </c>
      <c r="D24" s="196"/>
      <c r="E24" s="205"/>
      <c r="F24" s="183"/>
      <c r="G24" s="205"/>
      <c r="H24" s="205"/>
      <c r="I24" s="205"/>
      <c r="J24" s="383"/>
    </row>
    <row r="25" spans="1:11" ht="69.75" customHeight="1" x14ac:dyDescent="0.4">
      <c r="A25" s="658"/>
      <c r="B25" s="624"/>
      <c r="C25" s="58" t="s">
        <v>6</v>
      </c>
      <c r="D25" s="450"/>
      <c r="E25" s="147"/>
      <c r="F25" s="147"/>
      <c r="G25" s="147"/>
      <c r="H25" s="147"/>
      <c r="I25" s="451"/>
      <c r="J25" s="242"/>
    </row>
    <row r="26" spans="1:11" ht="69.75" customHeight="1" x14ac:dyDescent="0.4">
      <c r="A26" s="658"/>
      <c r="B26" s="624"/>
      <c r="C26" s="58" t="s">
        <v>7</v>
      </c>
      <c r="D26" s="152"/>
      <c r="E26" s="147"/>
      <c r="F26" s="147"/>
      <c r="G26" s="451"/>
      <c r="H26" s="184"/>
      <c r="I26" s="147"/>
      <c r="J26" s="148"/>
    </row>
    <row r="27" spans="1:11" ht="69.75" customHeight="1" x14ac:dyDescent="0.4">
      <c r="A27" s="658"/>
      <c r="B27" s="624"/>
      <c r="C27" s="58" t="s">
        <v>8</v>
      </c>
      <c r="D27" s="152"/>
      <c r="E27" s="147"/>
      <c r="F27" s="147"/>
      <c r="G27" s="451"/>
      <c r="H27" s="147"/>
      <c r="I27" s="147"/>
      <c r="J27" s="148"/>
    </row>
    <row r="28" spans="1:11" ht="69.75" customHeight="1" thickBot="1" x14ac:dyDescent="0.45">
      <c r="A28" s="659"/>
      <c r="B28" s="624"/>
      <c r="C28" s="59" t="s">
        <v>10</v>
      </c>
      <c r="D28" s="428"/>
      <c r="E28" s="429"/>
      <c r="F28" s="194"/>
      <c r="G28" s="212"/>
      <c r="H28" s="199"/>
      <c r="I28" s="212"/>
      <c r="J28" s="308"/>
    </row>
    <row r="29" spans="1:11" ht="69.75" customHeight="1" x14ac:dyDescent="0.4">
      <c r="A29" s="657" t="s">
        <v>4</v>
      </c>
      <c r="B29" s="626">
        <f>B24+1</f>
        <v>46381</v>
      </c>
      <c r="C29" s="57" t="s">
        <v>5</v>
      </c>
      <c r="D29" s="196"/>
      <c r="E29" s="236"/>
      <c r="F29" s="183"/>
      <c r="G29" s="205"/>
      <c r="H29" s="236"/>
      <c r="I29" s="236"/>
      <c r="J29" s="197"/>
    </row>
    <row r="30" spans="1:11" ht="69.75" customHeight="1" x14ac:dyDescent="0.4">
      <c r="A30" s="661"/>
      <c r="B30" s="624"/>
      <c r="C30" s="58" t="s">
        <v>6</v>
      </c>
      <c r="D30" s="152"/>
      <c r="E30" s="237"/>
      <c r="F30" s="147"/>
      <c r="G30" s="147"/>
      <c r="H30" s="237"/>
      <c r="I30" s="237"/>
      <c r="J30" s="148"/>
    </row>
    <row r="31" spans="1:11" ht="69.75" customHeight="1" x14ac:dyDescent="0.4">
      <c r="A31" s="661"/>
      <c r="B31" s="624"/>
      <c r="C31" s="58" t="s">
        <v>7</v>
      </c>
      <c r="D31" s="450"/>
      <c r="E31" s="147"/>
      <c r="F31" s="147"/>
      <c r="G31" s="451"/>
      <c r="H31" s="147"/>
      <c r="I31" s="147"/>
      <c r="J31" s="288"/>
    </row>
    <row r="32" spans="1:11" ht="69.75" customHeight="1" x14ac:dyDescent="0.4">
      <c r="A32" s="661"/>
      <c r="B32" s="624"/>
      <c r="C32" s="58" t="s">
        <v>8</v>
      </c>
      <c r="D32" s="450"/>
      <c r="E32" s="147"/>
      <c r="F32" s="147"/>
      <c r="G32" s="147"/>
      <c r="H32" s="147"/>
      <c r="I32" s="240"/>
      <c r="J32" s="190"/>
    </row>
    <row r="33" spans="1:10" ht="69.75" customHeight="1" thickBot="1" x14ac:dyDescent="0.45">
      <c r="A33" s="662"/>
      <c r="B33" s="624"/>
      <c r="C33" s="59" t="s">
        <v>10</v>
      </c>
      <c r="D33" s="153"/>
      <c r="E33" s="154"/>
      <c r="F33" s="154"/>
      <c r="G33" s="154"/>
      <c r="H33" s="154"/>
      <c r="I33" s="154"/>
      <c r="J33" s="188"/>
    </row>
    <row r="34" spans="1:10" ht="48.75" customHeight="1" x14ac:dyDescent="0.4">
      <c r="A34" s="624" t="s">
        <v>12</v>
      </c>
      <c r="B34" s="626">
        <f>B29+1</f>
        <v>46382</v>
      </c>
      <c r="C34" s="67" t="s">
        <v>5</v>
      </c>
      <c r="D34" s="162"/>
      <c r="E34" s="163"/>
      <c r="F34" s="163"/>
      <c r="G34" s="163"/>
      <c r="H34" s="163"/>
      <c r="I34" s="163"/>
      <c r="J34" s="187"/>
    </row>
    <row r="35" spans="1:10" ht="48.75" customHeight="1" x14ac:dyDescent="0.4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148"/>
    </row>
    <row r="36" spans="1:10" ht="48.75" customHeight="1" x14ac:dyDescent="0.4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0" ht="48.75" customHeight="1" x14ac:dyDescent="0.4">
      <c r="A37" s="624"/>
      <c r="B37" s="624"/>
      <c r="C37" s="68" t="s">
        <v>8</v>
      </c>
      <c r="D37" s="29"/>
      <c r="E37" s="30"/>
      <c r="F37" s="30"/>
      <c r="G37" s="121"/>
      <c r="H37" s="30"/>
      <c r="I37" s="121"/>
      <c r="J37" s="38"/>
    </row>
    <row r="38" spans="1:10" ht="48.75" customHeight="1" thickBot="1" x14ac:dyDescent="0.45">
      <c r="A38" s="660"/>
      <c r="B38" s="660"/>
      <c r="C38" s="69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4">
      <c r="D39" s="136" t="s">
        <v>51</v>
      </c>
    </row>
    <row r="40" spans="1:10" x14ac:dyDescent="0.4">
      <c r="B40" s="60">
        <v>8</v>
      </c>
      <c r="C40" s="55" t="str">
        <f>'01.09'!C40</f>
        <v>*Л. Основы медицинских знаний и спортивная медицина*</v>
      </c>
      <c r="D40" s="62">
        <f>'14.12'!D40+COUNTIF(D$9:D$38,$C40)</f>
        <v>8</v>
      </c>
      <c r="E40" s="62">
        <f>'14.12'!E40+COUNTIF(E$9:E$38,$C40)</f>
        <v>8</v>
      </c>
      <c r="F40" s="62">
        <f>'14.12'!F40+COUNTIF(F$9:F$38,$C40)</f>
        <v>8</v>
      </c>
      <c r="G40" s="62">
        <f>'14.12'!G40+COUNTIF(G$9:G$38,$C40)</f>
        <v>8</v>
      </c>
      <c r="H40" s="62">
        <f>'14.12'!H40+COUNTIF(H$9:H$38,$C40)</f>
        <v>8</v>
      </c>
      <c r="I40" s="62">
        <f>'14.12'!I40+COUNTIF(I$9:I$38,$C40)</f>
        <v>8</v>
      </c>
      <c r="J40" s="62">
        <f>'14.12'!J40+COUNTIF(J$9:J$38,$C40)</f>
        <v>8</v>
      </c>
    </row>
    <row r="41" spans="1:10" x14ac:dyDescent="0.4">
      <c r="B41" s="60">
        <v>16</v>
      </c>
      <c r="C41" s="55" t="str">
        <f>'01.09'!C41</f>
        <v>*Пр. Основы медицинских знаний и спортивная медицина*</v>
      </c>
      <c r="D41" s="62">
        <f>'14.12'!D41+COUNTIF(D$9:D$38,$C41)</f>
        <v>14</v>
      </c>
      <c r="E41" s="62">
        <f>'14.12'!E41+COUNTIF(E$9:E$38,$C41)</f>
        <v>14</v>
      </c>
      <c r="F41" s="62">
        <f>'14.12'!F41+COUNTIF(F$9:F$38,$C41)</f>
        <v>13</v>
      </c>
      <c r="G41" s="62">
        <f>'14.12'!G41+COUNTIF(G$9:G$38,$C41)</f>
        <v>9</v>
      </c>
      <c r="H41" s="62">
        <f>'14.12'!H41+COUNTIF(H$9:H$38,$C41)</f>
        <v>14</v>
      </c>
      <c r="I41" s="62">
        <f>'14.12'!I41+COUNTIF(I$9:I$38,$C41)</f>
        <v>13</v>
      </c>
      <c r="J41" s="62">
        <f>'14.12'!J41+COUNTIF(J$9:J$38,$C41)</f>
        <v>13</v>
      </c>
    </row>
    <row r="42" spans="1:10" x14ac:dyDescent="0.4">
      <c r="B42" s="60">
        <v>5</v>
      </c>
      <c r="C42" s="55" t="str">
        <f>'01.09'!C42</f>
        <v>*Л. Массаж*</v>
      </c>
      <c r="D42" s="62">
        <f>'14.12'!D42+COUNTIF(D$9:D$38,$C42)</f>
        <v>5</v>
      </c>
      <c r="E42" s="62">
        <f>'14.12'!E42+COUNTIF(E$9:E$38,$C42)</f>
        <v>5</v>
      </c>
      <c r="F42" s="62">
        <f>'14.12'!F42+COUNTIF(F$9:F$38,$C42)</f>
        <v>5</v>
      </c>
      <c r="G42" s="62">
        <f>'14.12'!G42+COUNTIF(G$9:G$38,$C42)</f>
        <v>5</v>
      </c>
      <c r="H42" s="62">
        <f>'14.12'!H42+COUNTIF(H$9:H$38,$C42)</f>
        <v>5</v>
      </c>
      <c r="I42" s="62">
        <f>'14.12'!I42+COUNTIF(I$9:I$38,$C42)</f>
        <v>5</v>
      </c>
      <c r="J42" s="62">
        <f>'14.12'!J42+COUNTIF(J$9:J$38,$C42)</f>
        <v>5</v>
      </c>
    </row>
    <row r="43" spans="1:10" x14ac:dyDescent="0.4">
      <c r="B43" s="60">
        <v>11</v>
      </c>
      <c r="C43" s="55" t="str">
        <f>'01.09'!C43</f>
        <v>*Пр. Массаж*</v>
      </c>
      <c r="D43" s="62">
        <f>'14.12'!D43+COUNTIF(D$9:D$38,$C43)</f>
        <v>13</v>
      </c>
      <c r="E43" s="62">
        <f>'14.12'!E43+COUNTIF(E$9:E$38,$C43)</f>
        <v>13</v>
      </c>
      <c r="F43" s="62">
        <f>'14.12'!F43+COUNTIF(F$9:F$38,$C43)</f>
        <v>13</v>
      </c>
      <c r="G43" s="62">
        <f>'14.12'!G43+COUNTIF(G$9:G$38,$C43)</f>
        <v>14</v>
      </c>
      <c r="H43" s="62">
        <f>'14.12'!H43+COUNTIF(H$9:H$38,$C43)</f>
        <v>14</v>
      </c>
      <c r="I43" s="62">
        <f>'14.12'!I43+COUNTIF(I$9:I$38,$C43)</f>
        <v>14</v>
      </c>
      <c r="J43" s="62">
        <f>'14.12'!J43+COUNTIF(J$9:J$38,$C43)</f>
        <v>14</v>
      </c>
    </row>
    <row r="44" spans="1:10" x14ac:dyDescent="0.4">
      <c r="B44" s="60">
        <v>7</v>
      </c>
      <c r="C44" s="55" t="str">
        <f>'01.09'!C44</f>
        <v>*Л. Правовые основы профессиональной деятельности*</v>
      </c>
      <c r="D44" s="62">
        <f>'14.12'!D44+COUNTIF(D$9:D$38,$C44)</f>
        <v>5</v>
      </c>
      <c r="E44" s="62">
        <f>'14.12'!E44+COUNTIF(E$9:E$38,$C44)</f>
        <v>5</v>
      </c>
      <c r="F44" s="62">
        <f>'14.12'!F44+COUNTIF(F$9:F$38,$C44)</f>
        <v>5</v>
      </c>
      <c r="G44" s="62">
        <f>'14.12'!G44+COUNTIF(G$9:G$38,$C44)</f>
        <v>5</v>
      </c>
      <c r="H44" s="62">
        <f>'14.12'!H44+COUNTIF(H$9:H$38,$C44)</f>
        <v>5</v>
      </c>
      <c r="I44" s="62">
        <f>'14.12'!I44+COUNTIF(I$9:I$38,$C44)</f>
        <v>5</v>
      </c>
      <c r="J44" s="62">
        <f>'14.12'!J44+COUNTIF(J$9:J$38,$C44)</f>
        <v>5</v>
      </c>
    </row>
    <row r="45" spans="1:10" x14ac:dyDescent="0.4">
      <c r="B45" s="60">
        <v>22</v>
      </c>
      <c r="C45" s="55" t="str">
        <f>'01.09'!C45</f>
        <v>*Пр. Правовые основы профессиональной деятельности*</v>
      </c>
      <c r="D45" s="62">
        <f>'14.12'!D45+COUNTIF(D$9:D$38,$C45)</f>
        <v>7</v>
      </c>
      <c r="E45" s="62">
        <f>'14.12'!E45+COUNTIF(E$9:E$38,$C45)</f>
        <v>8</v>
      </c>
      <c r="F45" s="62">
        <f>'14.12'!F45+COUNTIF(F$9:F$38,$C45)</f>
        <v>7</v>
      </c>
      <c r="G45" s="62">
        <f>'14.12'!G45+COUNTIF(G$9:G$38,$C45)</f>
        <v>7</v>
      </c>
      <c r="H45" s="62">
        <f>'14.12'!H45+COUNTIF(H$9:H$38,$C45)</f>
        <v>7</v>
      </c>
      <c r="I45" s="62">
        <f>'14.12'!I45+COUNTIF(I$9:I$38,$C45)</f>
        <v>6</v>
      </c>
      <c r="J45" s="62">
        <f>'14.12'!J45+COUNTIF(J$9:J$38,$C45)</f>
        <v>7</v>
      </c>
    </row>
    <row r="46" spans="1:10" x14ac:dyDescent="0.4">
      <c r="B46" s="60">
        <v>5</v>
      </c>
      <c r="C46" s="55" t="str">
        <f>'01.09'!C46</f>
        <v>*Л. Теория и методика*</v>
      </c>
      <c r="D46" s="62">
        <f>'14.12'!D46+COUNTIF(D$9:D$38,$C46)</f>
        <v>4</v>
      </c>
      <c r="E46" s="62">
        <f>'14.12'!E46+COUNTIF(E$9:E$38,$C46)</f>
        <v>4</v>
      </c>
      <c r="F46" s="62">
        <f>'14.12'!F46+COUNTIF(F$9:F$38,$C46)</f>
        <v>4</v>
      </c>
      <c r="G46" s="62">
        <f>'14.12'!G46+COUNTIF(G$9:G$38,$C46)</f>
        <v>4</v>
      </c>
      <c r="H46" s="62">
        <f>'14.12'!H46+COUNTIF(H$9:H$38,$C46)</f>
        <v>4</v>
      </c>
      <c r="I46" s="62">
        <f>'14.12'!I46+COUNTIF(I$9:I$38,$C46)</f>
        <v>4</v>
      </c>
      <c r="J46" s="62">
        <f>'14.12'!J46+COUNTIF(J$9:J$38,$C46)</f>
        <v>4</v>
      </c>
    </row>
    <row r="47" spans="1:10" x14ac:dyDescent="0.4">
      <c r="B47" s="60">
        <v>50</v>
      </c>
      <c r="C47" s="55" t="str">
        <f>'01.09'!C47</f>
        <v>*Пр. Теория и методика*</v>
      </c>
      <c r="D47" s="62">
        <f>'14.12'!D47+COUNTIF(D$9:D$38,$C47)</f>
        <v>30</v>
      </c>
      <c r="E47" s="62">
        <f>'14.12'!E47+COUNTIF(E$9:E$38,$C47)</f>
        <v>30</v>
      </c>
      <c r="F47" s="62">
        <f>'14.12'!F47+COUNTIF(F$9:F$38,$C47)</f>
        <v>31</v>
      </c>
      <c r="G47" s="62">
        <f>'14.12'!G47+COUNTIF(G$9:G$38,$C47)</f>
        <v>35</v>
      </c>
      <c r="H47" s="62">
        <f>'14.12'!H47+COUNTIF(H$9:H$38,$C47)</f>
        <v>35</v>
      </c>
      <c r="I47" s="62">
        <f>'14.12'!I47+COUNTIF(I$9:I$38,$C47)</f>
        <v>37</v>
      </c>
      <c r="J47" s="62">
        <f>'14.12'!J47+COUNTIF(J$9:J$38,$C47)</f>
        <v>37</v>
      </c>
    </row>
    <row r="48" spans="1:10" x14ac:dyDescent="0.4">
      <c r="B48" s="60">
        <v>5</v>
      </c>
      <c r="C48" s="55" t="str">
        <f>'01.09'!C48</f>
        <v>*Л. Спортивная метрология*</v>
      </c>
      <c r="D48" s="62">
        <f>'14.12'!D48+COUNTIF(D$9:D$38,$C48)</f>
        <v>5</v>
      </c>
      <c r="E48" s="62">
        <f>'14.12'!E48+COUNTIF(E$9:E$38,$C48)</f>
        <v>5</v>
      </c>
      <c r="F48" s="62">
        <f>'14.12'!F48+COUNTIF(F$9:F$38,$C48)</f>
        <v>5</v>
      </c>
      <c r="G48" s="62">
        <f>'14.12'!G48+COUNTIF(G$9:G$38,$C48)</f>
        <v>5</v>
      </c>
      <c r="H48" s="62">
        <f>'14.12'!H48+COUNTIF(H$9:H$38,$C48)</f>
        <v>5</v>
      </c>
      <c r="I48" s="62">
        <f>'14.12'!I48+COUNTIF(I$9:I$38,$C48)</f>
        <v>5</v>
      </c>
      <c r="J48" s="62">
        <f>'14.12'!J48+COUNTIF(J$9:J$38,$C48)</f>
        <v>5</v>
      </c>
    </row>
    <row r="49" spans="2:10" x14ac:dyDescent="0.4">
      <c r="B49" s="60">
        <v>6</v>
      </c>
      <c r="C49" s="55" t="str">
        <f>'01.09'!C49</f>
        <v>*Пр. Спортивная метрология*</v>
      </c>
      <c r="D49" s="62">
        <f>'14.12'!D49+COUNTIF(D$9:D$38,$C49)</f>
        <v>7</v>
      </c>
      <c r="E49" s="62">
        <f>'14.12'!E49+COUNTIF(E$9:E$38,$C49)</f>
        <v>7</v>
      </c>
      <c r="F49" s="62">
        <f>'14.12'!F49+COUNTIF(F$9:F$38,$C49)</f>
        <v>7</v>
      </c>
      <c r="G49" s="62">
        <f>'14.12'!G49+COUNTIF(G$9:G$38,$C49)</f>
        <v>7</v>
      </c>
      <c r="H49" s="62">
        <f>'14.12'!H49+COUNTIF(H$9:H$38,$C49)</f>
        <v>7</v>
      </c>
      <c r="I49" s="62">
        <f>'14.12'!I49+COUNTIF(I$9:I$38,$C49)</f>
        <v>7</v>
      </c>
      <c r="J49" s="62">
        <f>'14.12'!J49+COUNTIF(J$9:J$38,$C49)</f>
        <v>7</v>
      </c>
    </row>
    <row r="50" spans="2:10" x14ac:dyDescent="0.4">
      <c r="B50" s="60">
        <v>5</v>
      </c>
      <c r="C50" s="55" t="str">
        <f>'01.09'!C50</f>
        <v>*Л.  Теория и методика циклических и сложнокоординационных*</v>
      </c>
      <c r="D50" s="62">
        <f>'14.12'!D50+COUNTIF(D$9:D$38,$C50)</f>
        <v>0</v>
      </c>
      <c r="E50" s="62">
        <f>'14.12'!E50+COUNTIF(E$9:E$38,$C50)</f>
        <v>0</v>
      </c>
      <c r="F50" s="62">
        <f>'14.12'!F50+COUNTIF(F$9:F$38,$C50)</f>
        <v>0</v>
      </c>
      <c r="G50" s="62">
        <f>'14.12'!G50+COUNTIF(G$9:G$38,$C50)</f>
        <v>0</v>
      </c>
      <c r="H50" s="62">
        <f>'14.12'!H50+COUNTIF(H$9:H$38,$C50)</f>
        <v>4</v>
      </c>
      <c r="I50" s="62">
        <f>'14.12'!I50+COUNTIF(I$9:I$38,$C50)</f>
        <v>0</v>
      </c>
      <c r="J50" s="62">
        <f>'14.12'!J50+COUNTIF(J$9:J$38,$C50)</f>
        <v>0</v>
      </c>
    </row>
    <row r="51" spans="2:10" x14ac:dyDescent="0.4">
      <c r="B51" s="60">
        <v>11</v>
      </c>
      <c r="C51" s="55" t="str">
        <f>'01.09'!C51</f>
        <v>*Пр.  Теория и методика циклических и сложнокоординационных*</v>
      </c>
      <c r="D51" s="62">
        <f>'14.12'!D51+COUNTIF(D$9:D$38,$C51)</f>
        <v>0</v>
      </c>
      <c r="E51" s="62">
        <f>'14.12'!E51+COUNTIF(E$9:E$38,$C51)</f>
        <v>0</v>
      </c>
      <c r="F51" s="62">
        <f>'14.12'!F51+COUNTIF(F$9:F$38,$C51)</f>
        <v>0</v>
      </c>
      <c r="G51" s="62">
        <f>'14.12'!G51+COUNTIF(G$9:G$38,$C51)</f>
        <v>0</v>
      </c>
      <c r="H51" s="62">
        <f>'14.12'!H51+COUNTIF(H$9:H$38,$C51)</f>
        <v>39</v>
      </c>
      <c r="I51" s="62">
        <f>'14.12'!I51+COUNTIF(I$9:I$38,$C51)</f>
        <v>0</v>
      </c>
      <c r="J51" s="62">
        <f>'14.12'!J51+COUNTIF(J$9:J$38,$C51)</f>
        <v>0</v>
      </c>
    </row>
    <row r="52" spans="2:10" x14ac:dyDescent="0.4">
      <c r="B52" s="60">
        <v>3</v>
      </c>
      <c r="C52" s="55">
        <f>'01.09'!C52</f>
        <v>0</v>
      </c>
      <c r="D52" s="62">
        <f>'14.12'!D52+COUNTIF(D$9:D$38,$C52)</f>
        <v>0</v>
      </c>
      <c r="E52" s="62">
        <f>'14.12'!E52+COUNTIF(E$9:E$38,$C52)</f>
        <v>0</v>
      </c>
      <c r="F52" s="62">
        <f>'14.12'!F52+COUNTIF(F$9:F$38,$C52)</f>
        <v>0</v>
      </c>
      <c r="G52" s="62">
        <f>'14.12'!G52+COUNTIF(G$9:G$38,$C52)</f>
        <v>0</v>
      </c>
      <c r="H52" s="62">
        <f>'14.12'!H52+COUNTIF(H$9:H$38,$C52)</f>
        <v>0</v>
      </c>
      <c r="I52" s="62">
        <f>'14.12'!I52+COUNTIF(I$9:I$38,$C52)</f>
        <v>0</v>
      </c>
      <c r="J52" s="62">
        <f>'14.12'!J52+COUNTIF(J$9:J$38,$C52)</f>
        <v>0</v>
      </c>
    </row>
    <row r="53" spans="2:10" x14ac:dyDescent="0.4">
      <c r="B53" s="60">
        <v>13</v>
      </c>
      <c r="C53" s="55">
        <f>'01.09'!C53</f>
        <v>0</v>
      </c>
      <c r="D53" s="62">
        <f>'14.12'!D53+COUNTIF(D$9:D$38,$C53)</f>
        <v>0</v>
      </c>
      <c r="E53" s="62">
        <f>'14.12'!E53+COUNTIF(E$9:E$38,$C53)</f>
        <v>0</v>
      </c>
      <c r="F53" s="62">
        <f>'14.12'!F53+COUNTIF(F$9:F$38,$C53)</f>
        <v>0</v>
      </c>
      <c r="G53" s="62">
        <f>'14.12'!G53+COUNTIF(G$9:G$38,$C53)</f>
        <v>0</v>
      </c>
      <c r="H53" s="62">
        <f>'14.12'!H53+COUNTIF(H$9:H$38,$C53)</f>
        <v>0</v>
      </c>
      <c r="I53" s="62">
        <f>'14.12'!I53+COUNTIF(I$9:I$38,$C53)</f>
        <v>0</v>
      </c>
      <c r="J53" s="62">
        <f>'14.12'!J53+COUNTIF(J$9:J$38,$C53)</f>
        <v>0</v>
      </c>
    </row>
    <row r="54" spans="2:10" x14ac:dyDescent="0.4">
      <c r="B54" s="60">
        <v>1</v>
      </c>
      <c r="C54" s="55">
        <f>'01.09'!C54</f>
        <v>0</v>
      </c>
      <c r="D54" s="62">
        <f>'14.12'!D54+COUNTIF(D$9:D$38,$C54)</f>
        <v>0</v>
      </c>
      <c r="E54" s="62">
        <f>'14.12'!E54+COUNTIF(E$9:E$38,$C54)</f>
        <v>0</v>
      </c>
      <c r="F54" s="62">
        <f>'14.12'!F54+COUNTIF(F$9:F$38,$C54)</f>
        <v>0</v>
      </c>
      <c r="G54" s="62">
        <f>'14.12'!G54+COUNTIF(G$9:G$38,$C54)</f>
        <v>0</v>
      </c>
      <c r="H54" s="62">
        <f>'14.12'!H54+COUNTIF(H$9:H$38,$C54)</f>
        <v>0</v>
      </c>
      <c r="I54" s="62">
        <f>'14.12'!I54+COUNTIF(I$9:I$38,$C54)</f>
        <v>0</v>
      </c>
      <c r="J54" s="62">
        <f>'14.12'!J54+COUNTIF(J$9:J$38,$C54)</f>
        <v>0</v>
      </c>
    </row>
    <row r="55" spans="2:10" x14ac:dyDescent="0.4">
      <c r="B55" s="60">
        <v>23</v>
      </c>
      <c r="C55" s="55">
        <f>'01.09'!C55</f>
        <v>0</v>
      </c>
      <c r="D55" s="62">
        <f>'14.12'!D55+COUNTIF(D$9:D$38,$C55)</f>
        <v>0</v>
      </c>
      <c r="E55" s="62">
        <f>'14.12'!E55+COUNTIF(E$9:E$38,$C55)</f>
        <v>0</v>
      </c>
      <c r="F55" s="62">
        <f>'14.12'!F55+COUNTIF(F$9:F$38,$C55)</f>
        <v>0</v>
      </c>
      <c r="G55" s="62">
        <f>'14.12'!G55+COUNTIF(G$9:G$38,$C55)</f>
        <v>0</v>
      </c>
      <c r="H55" s="62">
        <f>'14.12'!H55+COUNTIF(H$9:H$38,$C55)</f>
        <v>0</v>
      </c>
      <c r="I55" s="62">
        <f>'14.12'!I55+COUNTIF(I$9:I$38,$C55)</f>
        <v>0</v>
      </c>
      <c r="J55" s="62">
        <f>'14.12'!J55+COUNTIF(J$9:J$38,$C55)</f>
        <v>0</v>
      </c>
    </row>
    <row r="56" spans="2:10" x14ac:dyDescent="0.4">
      <c r="B56" s="60">
        <v>5</v>
      </c>
      <c r="C56" s="55">
        <f>'01.09'!C56</f>
        <v>0</v>
      </c>
      <c r="D56" s="62">
        <f>'14.12'!D56+COUNTIF(D$9:D$38,$C56)</f>
        <v>0</v>
      </c>
      <c r="E56" s="62">
        <f>'14.12'!E56+COUNTIF(E$9:E$38,$C56)</f>
        <v>0</v>
      </c>
      <c r="F56" s="62">
        <f>'14.12'!F56+COUNTIF(F$9:F$38,$C56)</f>
        <v>0</v>
      </c>
      <c r="G56" s="62">
        <f>'14.12'!G56+COUNTIF(G$9:G$38,$C56)</f>
        <v>0</v>
      </c>
      <c r="H56" s="62">
        <f>'14.12'!H56+COUNTIF(H$9:H$38,$C56)</f>
        <v>0</v>
      </c>
      <c r="I56" s="62">
        <f>'14.12'!I56+COUNTIF(I$9:I$38,$C56)</f>
        <v>0</v>
      </c>
      <c r="J56" s="62">
        <f>'14.12'!J56+COUNTIF(J$9:J$38,$C56)</f>
        <v>0</v>
      </c>
    </row>
    <row r="57" spans="2:10" x14ac:dyDescent="0.4">
      <c r="B57" s="60">
        <v>11</v>
      </c>
      <c r="C57" s="55">
        <f>'01.09'!C57</f>
        <v>0</v>
      </c>
      <c r="D57" s="62">
        <f>'14.12'!D57+COUNTIF(D$9:D$38,$C57)</f>
        <v>0</v>
      </c>
      <c r="E57" s="62">
        <f>'14.12'!E57+COUNTIF(E$9:E$38,$C57)</f>
        <v>0</v>
      </c>
      <c r="F57" s="62">
        <f>'14.12'!F57+COUNTIF(F$9:F$38,$C57)</f>
        <v>0</v>
      </c>
      <c r="G57" s="62">
        <f>'14.12'!G57+COUNTIF(G$9:G$38,$C57)</f>
        <v>0</v>
      </c>
      <c r="H57" s="62">
        <f>'14.12'!H57+COUNTIF(H$9:H$38,$C57)</f>
        <v>0</v>
      </c>
      <c r="I57" s="62">
        <f>'14.12'!I57+COUNTIF(I$9:I$38,$C57)</f>
        <v>0</v>
      </c>
      <c r="J57" s="62">
        <f>'14.12'!J57+COUNTIF(J$9:J$38,$C57)</f>
        <v>0</v>
      </c>
    </row>
    <row r="58" spans="2:10" x14ac:dyDescent="0.4">
      <c r="B58" s="60"/>
      <c r="C58" s="55">
        <f>'01.09'!C58</f>
        <v>0</v>
      </c>
      <c r="D58" s="62">
        <f>'14.12'!D58+COUNTIF(D$9:D$38,$C58)</f>
        <v>0</v>
      </c>
      <c r="E58" s="62">
        <f>'14.12'!E58+COUNTIF(E$9:E$38,$C58)</f>
        <v>0</v>
      </c>
      <c r="F58" s="62">
        <f>'14.12'!F58+COUNTIF(F$9:F$38,$C58)</f>
        <v>0</v>
      </c>
      <c r="G58" s="62">
        <f>'14.12'!G58+COUNTIF(G$9:G$38,$C58)</f>
        <v>0</v>
      </c>
      <c r="H58" s="62">
        <f>'14.12'!H58+COUNTIF(H$9:H$38,$C58)</f>
        <v>0</v>
      </c>
      <c r="I58" s="62">
        <f>'14.12'!I58+COUNTIF(I$9:I$38,$C58)</f>
        <v>0</v>
      </c>
      <c r="J58" s="62">
        <f>'14.12'!J58+COUNTIF(J$9:J$38,$C58)</f>
        <v>0</v>
      </c>
    </row>
    <row r="59" spans="2:10" x14ac:dyDescent="0.4">
      <c r="B59" s="138"/>
      <c r="C59" s="55">
        <f>'01.09'!C59</f>
        <v>0</v>
      </c>
      <c r="D59" s="62">
        <f>'14.12'!D59+COUNTIF(D$9:D$38,$C59)</f>
        <v>0</v>
      </c>
      <c r="E59" s="62">
        <f>'14.12'!E59+COUNTIF(E$9:E$38,$C59)</f>
        <v>0</v>
      </c>
      <c r="F59" s="62">
        <f>'14.12'!F59+COUNTIF(F$9:F$38,$C59)</f>
        <v>0</v>
      </c>
      <c r="G59" s="62">
        <f>'14.12'!G59+COUNTIF(G$9:G$38,$C59)</f>
        <v>0</v>
      </c>
      <c r="H59" s="62">
        <f>'14.12'!H59+COUNTIF(H$9:H$38,$C59)</f>
        <v>0</v>
      </c>
      <c r="I59" s="62">
        <f>'14.12'!I59+COUNTIF(I$9:I$38,$C59)</f>
        <v>0</v>
      </c>
      <c r="J59" s="62">
        <f>'14.12'!J59+COUNTIF(J$9:J$38,$C59)</f>
        <v>0</v>
      </c>
    </row>
    <row r="60" spans="2:10" x14ac:dyDescent="0.4">
      <c r="B60" s="138"/>
      <c r="C60" s="55">
        <f>'01.09'!C60</f>
        <v>0</v>
      </c>
      <c r="D60" s="62">
        <f>'14.12'!D60+COUNTIF(D$9:D$38,$C60)</f>
        <v>0</v>
      </c>
      <c r="E60" s="62">
        <f>'14.12'!E60+COUNTIF(E$9:E$38,$C60)</f>
        <v>0</v>
      </c>
      <c r="F60" s="62">
        <f>'14.12'!F60+COUNTIF(F$9:F$38,$C60)</f>
        <v>0</v>
      </c>
      <c r="G60" s="62">
        <f>'14.12'!G60+COUNTIF(G$9:G$38,$C60)</f>
        <v>0</v>
      </c>
      <c r="H60" s="62">
        <f>'14.12'!H60+COUNTIF(H$9:H$38,$C60)</f>
        <v>0</v>
      </c>
      <c r="I60" s="62">
        <f>'14.12'!I60+COUNTIF(I$9:I$38,$C60)</f>
        <v>0</v>
      </c>
      <c r="J60" s="62">
        <f>'14.12'!J60+COUNTIF(J$9:J$38,$C60)</f>
        <v>0</v>
      </c>
    </row>
    <row r="61" spans="2:10" x14ac:dyDescent="0.4">
      <c r="B61" s="60"/>
      <c r="C61" s="55">
        <f>'01.09'!C61</f>
        <v>0</v>
      </c>
      <c r="D61" s="62">
        <f>'14.12'!D61+COUNTIF(D$9:D$38,$C61)</f>
        <v>0</v>
      </c>
      <c r="E61" s="62">
        <f>'14.12'!E61+COUNTIF(E$9:E$38,$C61)</f>
        <v>0</v>
      </c>
      <c r="F61" s="62">
        <f>'14.12'!F61+COUNTIF(F$9:F$38,$C61)</f>
        <v>0</v>
      </c>
      <c r="G61" s="62">
        <f>'14.12'!G61+COUNTIF(G$9:G$38,$C61)</f>
        <v>0</v>
      </c>
      <c r="H61" s="62">
        <f>'14.12'!H61+COUNTIF(H$9:H$38,$C61)</f>
        <v>0</v>
      </c>
      <c r="I61" s="62">
        <f>'14.12'!I61+COUNTIF(I$9:I$38,$C61)</f>
        <v>0</v>
      </c>
      <c r="J61" s="62">
        <f>'14.12'!J61+COUNTIF(J$9:J$38,$C61)</f>
        <v>0</v>
      </c>
    </row>
    <row r="62" spans="2:10" x14ac:dyDescent="0.4">
      <c r="B62" s="98"/>
      <c r="C62" s="55">
        <f>'01.09'!C62</f>
        <v>0</v>
      </c>
      <c r="D62" s="62">
        <f>'14.12'!D62+COUNTIF(D$9:D$38,$C62)</f>
        <v>0</v>
      </c>
      <c r="E62" s="62">
        <f>'14.12'!E62+COUNTIF(E$9:E$38,$C62)</f>
        <v>0</v>
      </c>
      <c r="F62" s="62">
        <f>'14.12'!F62+COUNTIF(F$9:F$38,$C62)</f>
        <v>0</v>
      </c>
      <c r="G62" s="62">
        <f>'14.12'!G62+COUNTIF(G$9:G$38,$C62)</f>
        <v>0</v>
      </c>
      <c r="H62" s="62">
        <f>'14.12'!H62+COUNTIF(H$9:H$38,$C62)</f>
        <v>0</v>
      </c>
      <c r="I62" s="62">
        <f>'14.12'!I62+COUNTIF(I$9:I$38,$C62)</f>
        <v>0</v>
      </c>
      <c r="J62" s="62">
        <f>'14.12'!J62+COUNTIF(J$9:J$38,$C62)</f>
        <v>0</v>
      </c>
    </row>
    <row r="63" spans="2:10" x14ac:dyDescent="0.4">
      <c r="C63" s="55">
        <f>'01.09'!C63</f>
        <v>0</v>
      </c>
      <c r="D63" s="62">
        <f>'14.12'!D63+COUNTIF(D$9:D$38,$C63)</f>
        <v>0</v>
      </c>
      <c r="E63" s="62">
        <f>'14.12'!E63+COUNTIF(E$9:E$38,$C63)</f>
        <v>0</v>
      </c>
      <c r="F63" s="62">
        <f>'14.12'!F63+COUNTIF(F$9:F$38,$C63)</f>
        <v>0</v>
      </c>
      <c r="G63" s="62">
        <f>'14.12'!G63+COUNTIF(G$9:G$38,$C63)</f>
        <v>0</v>
      </c>
      <c r="H63" s="62">
        <f>'14.12'!H63+COUNTIF(H$9:H$38,$C63)</f>
        <v>0</v>
      </c>
      <c r="I63" s="62">
        <f>'14.12'!I63+COUNTIF(I$9:I$38,$C63)</f>
        <v>0</v>
      </c>
      <c r="J63" s="62">
        <f>'14.12'!J63+COUNTIF(J$9:J$38,$C63)</f>
        <v>0</v>
      </c>
    </row>
    <row r="64" spans="2:10" x14ac:dyDescent="0.4">
      <c r="C64" s="55">
        <f>'01.09'!C64</f>
        <v>0</v>
      </c>
      <c r="D64" s="62">
        <f>'14.12'!D64+COUNTIF(D$9:D$38,$C64)</f>
        <v>0</v>
      </c>
      <c r="E64" s="62">
        <f>'14.12'!E64+COUNTIF(E$9:E$38,$C64)</f>
        <v>0</v>
      </c>
      <c r="F64" s="62">
        <f>'14.12'!F64+COUNTIF(F$9:F$38,$C64)</f>
        <v>0</v>
      </c>
      <c r="G64" s="62">
        <f>'14.12'!G64+COUNTIF(G$9:G$38,$C64)</f>
        <v>0</v>
      </c>
      <c r="H64" s="62">
        <f>'14.12'!H64+COUNTIF(H$9:H$38,$C64)</f>
        <v>0</v>
      </c>
      <c r="I64" s="62">
        <f>'14.12'!I64+COUNTIF(I$9:I$38,$C64)</f>
        <v>0</v>
      </c>
      <c r="J64" s="62">
        <f>'14.12'!J64+COUNTIF(J$9:J$38,$C64)</f>
        <v>0</v>
      </c>
    </row>
    <row r="65" spans="3:10" x14ac:dyDescent="0.4">
      <c r="C65" s="55">
        <f>'01.09'!C65</f>
        <v>0</v>
      </c>
      <c r="D65" s="62">
        <f>'14.12'!D65+COUNTIF(D$9:D$38,$C65)</f>
        <v>0</v>
      </c>
      <c r="E65" s="62">
        <f>'14.12'!E65+COUNTIF(E$9:E$38,$C65)</f>
        <v>0</v>
      </c>
      <c r="F65" s="62">
        <f>'14.12'!F65+COUNTIF(F$9:F$38,$C65)</f>
        <v>0</v>
      </c>
      <c r="G65" s="62">
        <f>'14.12'!G65+COUNTIF(G$9:G$38,$C65)</f>
        <v>0</v>
      </c>
      <c r="H65" s="62">
        <f>'14.12'!H65+COUNTIF(H$9:H$38,$C65)</f>
        <v>0</v>
      </c>
      <c r="I65" s="62">
        <f>'14.12'!I65+COUNTIF(I$9:I$38,$C65)</f>
        <v>0</v>
      </c>
      <c r="J65" s="62">
        <f>'14.12'!J65+COUNTIF(J$9:J$38,$C65)</f>
        <v>0</v>
      </c>
    </row>
    <row r="66" spans="3:10" x14ac:dyDescent="0.4">
      <c r="C66" s="55">
        <f>'01.09'!C66</f>
        <v>0</v>
      </c>
      <c r="D66" s="62">
        <f>'14.12'!D66+COUNTIF(D$9:D$38,$C66)</f>
        <v>0</v>
      </c>
      <c r="E66" s="62">
        <f>'14.12'!E66+COUNTIF(E$9:E$38,$C66)</f>
        <v>0</v>
      </c>
      <c r="F66" s="62">
        <f>'14.12'!F66+COUNTIF(F$9:F$38,$C66)</f>
        <v>0</v>
      </c>
      <c r="G66" s="62">
        <f>'14.12'!G66+COUNTIF(G$9:G$38,$C66)</f>
        <v>0</v>
      </c>
      <c r="H66" s="62">
        <f>'14.12'!H66+COUNTIF(H$9:H$38,$C66)</f>
        <v>0</v>
      </c>
      <c r="I66" s="62">
        <f>'14.12'!I66+COUNTIF(I$9:I$38,$C66)</f>
        <v>0</v>
      </c>
      <c r="J66" s="62">
        <f>'14.12'!J66+COUNTIF(J$9:J$38,$C66)</f>
        <v>0</v>
      </c>
    </row>
    <row r="67" spans="3:10" x14ac:dyDescent="0.4">
      <c r="C67" s="55">
        <f>'01.09'!C67</f>
        <v>0</v>
      </c>
      <c r="D67" s="62">
        <f>'14.12'!D67+COUNTIF(D$9:D$38,$C67)</f>
        <v>0</v>
      </c>
      <c r="E67" s="62">
        <f>'14.12'!E67+COUNTIF(E$9:E$38,$C67)</f>
        <v>0</v>
      </c>
      <c r="F67" s="62">
        <f>'14.12'!F67+COUNTIF(F$9:F$38,$C67)</f>
        <v>0</v>
      </c>
      <c r="G67" s="62">
        <f>'14.12'!G67+COUNTIF(G$9:G$38,$C67)</f>
        <v>0</v>
      </c>
      <c r="H67" s="62">
        <f>'14.12'!H67+COUNTIF(H$9:H$38,$C67)</f>
        <v>0</v>
      </c>
      <c r="I67" s="62">
        <f>'14.12'!I67+COUNTIF(I$9:I$38,$C67)</f>
        <v>0</v>
      </c>
      <c r="J67" s="62">
        <f>'14.12'!J67+COUNTIF(J$9:J$38,$C67)</f>
        <v>0</v>
      </c>
    </row>
    <row r="68" spans="3:10" x14ac:dyDescent="0.4">
      <c r="C68" s="55">
        <f>'01.09'!C68</f>
        <v>0</v>
      </c>
      <c r="D68" s="62">
        <f>'14.12'!D68+COUNTIF(D$9:D$38,$C68)</f>
        <v>0</v>
      </c>
      <c r="E68" s="62">
        <f>'14.12'!E68+COUNTIF(E$9:E$38,$C68)</f>
        <v>0</v>
      </c>
      <c r="F68" s="62">
        <f>'14.12'!F68+COUNTIF(F$9:F$38,$C68)</f>
        <v>0</v>
      </c>
      <c r="G68" s="62">
        <f>'14.12'!G68+COUNTIF(G$9:G$38,$C68)</f>
        <v>0</v>
      </c>
      <c r="H68" s="62">
        <f>'14.12'!H68+COUNTIF(H$9:H$38,$C68)</f>
        <v>0</v>
      </c>
      <c r="I68" s="62">
        <f>'14.12'!I68+COUNTIF(I$9:I$38,$C68)</f>
        <v>0</v>
      </c>
      <c r="J68" s="62">
        <f>'14.12'!J68+COUNTIF(J$9:J$38,$C68)</f>
        <v>0</v>
      </c>
    </row>
    <row r="69" spans="3:10" x14ac:dyDescent="0.4">
      <c r="C69" s="55">
        <f>'01.09'!C69</f>
        <v>0</v>
      </c>
      <c r="D69" s="62">
        <f>'14.12'!D69+COUNTIF(D$9:D$38,$C69)</f>
        <v>0</v>
      </c>
      <c r="E69" s="62">
        <f>'14.12'!E69+COUNTIF(E$9:E$38,$C69)</f>
        <v>0</v>
      </c>
      <c r="F69" s="62">
        <f>'14.12'!F69+COUNTIF(F$9:F$38,$C69)</f>
        <v>0</v>
      </c>
      <c r="G69" s="62">
        <f>'14.12'!G69+COUNTIF(G$9:G$38,$C69)</f>
        <v>0</v>
      </c>
      <c r="H69" s="62">
        <f>'14.12'!H69+COUNTIF(H$9:H$38,$C69)</f>
        <v>0</v>
      </c>
      <c r="I69" s="62">
        <f>'14.12'!I69+COUNTIF(I$9:I$38,$C69)</f>
        <v>0</v>
      </c>
      <c r="J69" s="62">
        <f>'14.12'!J69+COUNTIF(J$9:J$38,$C69)</f>
        <v>0</v>
      </c>
    </row>
  </sheetData>
  <mergeCells count="20"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  <mergeCell ref="B1:J1"/>
    <mergeCell ref="A3:J3"/>
    <mergeCell ref="B5:J5"/>
    <mergeCell ref="C7:C8"/>
    <mergeCell ref="B2:J2"/>
    <mergeCell ref="B4:J4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  <rowBreaks count="1" manualBreakCount="1">
    <brk id="39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39" zoomScaleNormal="40" zoomScaleSheetLayoutView="39" zoomScalePageLayoutView="40" workbookViewId="0">
      <selection activeCell="I8" sqref="I8"/>
    </sheetView>
  </sheetViews>
  <sheetFormatPr defaultRowHeight="15" x14ac:dyDescent="0.25"/>
  <cols>
    <col min="1" max="1" width="4.42578125" customWidth="1"/>
    <col min="2" max="2" width="7" customWidth="1"/>
    <col min="3" max="3" width="27.5703125" customWidth="1"/>
    <col min="4" max="5" width="53" customWidth="1"/>
    <col min="6" max="6" width="48.5703125" customWidth="1"/>
    <col min="7" max="7" width="62.85546875" customWidth="1"/>
    <col min="8" max="8" width="71.5703125" customWidth="1"/>
    <col min="9" max="9" width="60.5703125" customWidth="1"/>
    <col min="10" max="10" width="50.28515625" customWidth="1"/>
  </cols>
  <sheetData>
    <row r="1" spans="1:10" s="4" customFormat="1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s="4" customFormat="1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4" customFormat="1" ht="30" x14ac:dyDescent="0.3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s="4" customFormat="1" ht="30" x14ac:dyDescent="0.3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14" t="s">
        <v>80</v>
      </c>
      <c r="E7" s="215" t="s">
        <v>43</v>
      </c>
      <c r="F7" s="215" t="s">
        <v>44</v>
      </c>
      <c r="G7" s="215" t="s">
        <v>45</v>
      </c>
      <c r="H7" s="216" t="s">
        <v>46</v>
      </c>
      <c r="I7" s="216" t="s">
        <v>47</v>
      </c>
      <c r="J7" s="217" t="s">
        <v>11</v>
      </c>
    </row>
    <row r="8" spans="1:10" ht="160.5" customHeight="1" thickBot="1" x14ac:dyDescent="0.3">
      <c r="A8" s="633"/>
      <c r="B8" s="633"/>
      <c r="C8" s="634"/>
      <c r="D8" s="218" t="s">
        <v>65</v>
      </c>
      <c r="E8" s="440" t="s">
        <v>67</v>
      </c>
      <c r="F8" s="440" t="s">
        <v>48</v>
      </c>
      <c r="G8" s="440" t="s">
        <v>63</v>
      </c>
      <c r="H8" s="440" t="s">
        <v>56</v>
      </c>
      <c r="I8" s="547" t="s">
        <v>83</v>
      </c>
      <c r="J8" s="439" t="s">
        <v>82</v>
      </c>
    </row>
    <row r="9" spans="1:10" ht="73.5" customHeight="1" x14ac:dyDescent="0.25">
      <c r="A9" s="643" t="s">
        <v>0</v>
      </c>
      <c r="B9" s="648">
        <v>46384</v>
      </c>
      <c r="C9" s="90" t="s">
        <v>5</v>
      </c>
      <c r="D9" s="243"/>
      <c r="E9" s="286"/>
      <c r="F9" s="286"/>
      <c r="G9" s="286"/>
      <c r="H9" s="286"/>
      <c r="I9" s="286"/>
      <c r="J9" s="287"/>
    </row>
    <row r="10" spans="1:10" ht="73.5" customHeight="1" x14ac:dyDescent="0.25">
      <c r="A10" s="644"/>
      <c r="B10" s="619"/>
      <c r="C10" s="91" t="s">
        <v>6</v>
      </c>
      <c r="D10" s="239"/>
      <c r="E10" s="240"/>
      <c r="F10" s="240"/>
      <c r="G10" s="240"/>
      <c r="H10" s="240"/>
      <c r="I10" s="240"/>
      <c r="J10" s="288"/>
    </row>
    <row r="11" spans="1:10" ht="73.5" customHeight="1" x14ac:dyDescent="0.25">
      <c r="A11" s="644"/>
      <c r="B11" s="619"/>
      <c r="C11" s="91" t="s">
        <v>7</v>
      </c>
      <c r="D11" s="450"/>
      <c r="E11" s="237"/>
      <c r="F11" s="147"/>
      <c r="G11" s="451"/>
      <c r="H11" s="237"/>
      <c r="I11" s="237"/>
      <c r="J11" s="242"/>
    </row>
    <row r="12" spans="1:10" ht="73.5" customHeight="1" x14ac:dyDescent="0.25">
      <c r="A12" s="644"/>
      <c r="B12" s="619"/>
      <c r="C12" s="91" t="s">
        <v>8</v>
      </c>
      <c r="D12" s="450"/>
      <c r="E12" s="237"/>
      <c r="F12" s="147"/>
      <c r="G12" s="451"/>
      <c r="H12" s="237"/>
      <c r="I12" s="237"/>
      <c r="J12" s="242"/>
    </row>
    <row r="13" spans="1:10" ht="73.5" customHeight="1" thickBot="1" x14ac:dyDescent="0.3">
      <c r="A13" s="644"/>
      <c r="B13" s="619"/>
      <c r="C13" s="92" t="s">
        <v>10</v>
      </c>
      <c r="D13" s="391"/>
      <c r="E13" s="392"/>
      <c r="F13" s="392"/>
      <c r="G13" s="392"/>
      <c r="H13" s="392"/>
      <c r="I13" s="392"/>
      <c r="J13" s="393"/>
    </row>
    <row r="14" spans="1:10" ht="73.5" customHeight="1" x14ac:dyDescent="0.25">
      <c r="A14" s="643" t="s">
        <v>1</v>
      </c>
      <c r="B14" s="621">
        <f>B9+1</f>
        <v>46385</v>
      </c>
      <c r="C14" s="90" t="s">
        <v>5</v>
      </c>
      <c r="D14" s="289"/>
      <c r="E14" s="205"/>
      <c r="F14" s="205"/>
      <c r="G14" s="205"/>
      <c r="H14" s="205"/>
      <c r="I14" s="205"/>
      <c r="J14" s="197"/>
    </row>
    <row r="15" spans="1:10" ht="73.5" customHeight="1" x14ac:dyDescent="0.25">
      <c r="A15" s="644"/>
      <c r="B15" s="619"/>
      <c r="C15" s="91" t="s">
        <v>6</v>
      </c>
      <c r="D15" s="255"/>
      <c r="E15" s="427"/>
      <c r="F15" s="237"/>
      <c r="G15" s="237"/>
      <c r="H15" s="237"/>
      <c r="I15" s="237"/>
      <c r="J15" s="242"/>
    </row>
    <row r="16" spans="1:10" ht="73.5" customHeight="1" x14ac:dyDescent="0.25">
      <c r="A16" s="644"/>
      <c r="B16" s="619"/>
      <c r="C16" s="91" t="s">
        <v>7</v>
      </c>
      <c r="D16" s="450"/>
      <c r="E16" s="237"/>
      <c r="F16" s="147"/>
      <c r="G16" s="451"/>
      <c r="H16" s="451"/>
      <c r="I16" s="237"/>
      <c r="J16" s="452"/>
    </row>
    <row r="17" spans="1:11" ht="73.5" customHeight="1" x14ac:dyDescent="0.25">
      <c r="A17" s="644"/>
      <c r="B17" s="619"/>
      <c r="C17" s="91" t="s">
        <v>8</v>
      </c>
      <c r="D17" s="432"/>
      <c r="E17" s="433"/>
      <c r="F17" s="433"/>
      <c r="G17" s="433"/>
      <c r="H17" s="433"/>
      <c r="I17" s="433"/>
      <c r="J17" s="434"/>
    </row>
    <row r="18" spans="1:11" ht="73.5" customHeight="1" thickBot="1" x14ac:dyDescent="0.3">
      <c r="A18" s="645"/>
      <c r="B18" s="619"/>
      <c r="C18" s="92" t="s">
        <v>10</v>
      </c>
      <c r="D18" s="384"/>
      <c r="E18" s="154"/>
      <c r="F18" s="154"/>
      <c r="G18" s="195"/>
      <c r="H18" s="154"/>
      <c r="I18" s="195"/>
      <c r="J18" s="155"/>
      <c r="K18" s="2"/>
    </row>
    <row r="19" spans="1:11" ht="73.5" customHeight="1" x14ac:dyDescent="0.25">
      <c r="A19" s="657" t="s">
        <v>2</v>
      </c>
      <c r="B19" s="626">
        <f>B14+1</f>
        <v>46386</v>
      </c>
      <c r="C19" s="57" t="s">
        <v>5</v>
      </c>
      <c r="D19" s="430"/>
      <c r="E19" s="186"/>
      <c r="F19" s="186"/>
      <c r="G19" s="186"/>
      <c r="H19" s="238"/>
      <c r="I19" s="186"/>
      <c r="J19" s="187"/>
    </row>
    <row r="20" spans="1:11" ht="73.5" customHeight="1" x14ac:dyDescent="0.25">
      <c r="A20" s="661"/>
      <c r="B20" s="624"/>
      <c r="C20" s="58" t="s">
        <v>6</v>
      </c>
      <c r="D20" s="450"/>
      <c r="E20" s="147"/>
      <c r="F20" s="147"/>
      <c r="G20" s="147"/>
      <c r="H20" s="237"/>
      <c r="I20" s="451"/>
      <c r="J20" s="452"/>
    </row>
    <row r="21" spans="1:11" ht="73.5" customHeight="1" x14ac:dyDescent="0.25">
      <c r="A21" s="661"/>
      <c r="B21" s="624"/>
      <c r="C21" s="58" t="s">
        <v>7</v>
      </c>
      <c r="D21" s="152"/>
      <c r="E21" s="451"/>
      <c r="F21" s="451"/>
      <c r="G21" s="147"/>
      <c r="H21" s="451"/>
      <c r="I21" s="451"/>
      <c r="J21" s="452"/>
      <c r="K21" s="2"/>
    </row>
    <row r="22" spans="1:11" ht="73.5" customHeight="1" x14ac:dyDescent="0.25">
      <c r="A22" s="661"/>
      <c r="B22" s="624"/>
      <c r="C22" s="58" t="s">
        <v>8</v>
      </c>
      <c r="D22" s="152"/>
      <c r="E22" s="147"/>
      <c r="F22" s="147"/>
      <c r="G22" s="147"/>
      <c r="H22" s="184"/>
      <c r="I22" s="451"/>
      <c r="J22" s="452"/>
    </row>
    <row r="23" spans="1:11" ht="73.5" customHeight="1" thickBot="1" x14ac:dyDescent="0.3">
      <c r="A23" s="662"/>
      <c r="B23" s="624"/>
      <c r="C23" s="59" t="s">
        <v>10</v>
      </c>
      <c r="D23" s="153"/>
      <c r="E23" s="154"/>
      <c r="F23" s="195"/>
      <c r="G23" s="154"/>
      <c r="H23" s="154"/>
      <c r="I23" s="195"/>
      <c r="J23" s="155"/>
    </row>
    <row r="24" spans="1:11" ht="44.25" customHeight="1" x14ac:dyDescent="0.25">
      <c r="A24" s="657" t="s">
        <v>3</v>
      </c>
      <c r="B24" s="626">
        <f>B19+1</f>
        <v>46387</v>
      </c>
      <c r="C24" s="67" t="s">
        <v>5</v>
      </c>
      <c r="D24" s="407"/>
      <c r="E24" s="446"/>
      <c r="F24" s="445"/>
      <c r="G24" s="446"/>
      <c r="H24" s="446"/>
      <c r="I24" s="446"/>
      <c r="J24" s="472"/>
    </row>
    <row r="25" spans="1:11" ht="44.25" customHeight="1" x14ac:dyDescent="0.25">
      <c r="A25" s="658"/>
      <c r="B25" s="624"/>
      <c r="C25" s="68" t="s">
        <v>6</v>
      </c>
      <c r="D25" s="397"/>
      <c r="E25" s="401"/>
      <c r="F25" s="401"/>
      <c r="G25" s="401"/>
      <c r="H25" s="401"/>
      <c r="I25" s="402"/>
      <c r="J25" s="403"/>
    </row>
    <row r="26" spans="1:11" ht="44.25" customHeight="1" x14ac:dyDescent="0.25">
      <c r="A26" s="658"/>
      <c r="B26" s="624"/>
      <c r="C26" s="68" t="s">
        <v>7</v>
      </c>
      <c r="D26" s="408"/>
      <c r="E26" s="401"/>
      <c r="F26" s="401"/>
      <c r="G26" s="402"/>
      <c r="H26" s="449"/>
      <c r="I26" s="401"/>
      <c r="J26" s="409"/>
    </row>
    <row r="27" spans="1:11" ht="44.25" customHeight="1" x14ac:dyDescent="0.25">
      <c r="A27" s="658"/>
      <c r="B27" s="624"/>
      <c r="C27" s="68" t="s">
        <v>8</v>
      </c>
      <c r="D27" s="408"/>
      <c r="E27" s="401"/>
      <c r="F27" s="401"/>
      <c r="G27" s="402"/>
      <c r="H27" s="401"/>
      <c r="I27" s="401"/>
      <c r="J27" s="409"/>
    </row>
    <row r="28" spans="1:11" ht="44.25" customHeight="1" thickBot="1" x14ac:dyDescent="0.3">
      <c r="A28" s="659"/>
      <c r="B28" s="624"/>
      <c r="C28" s="69" t="s">
        <v>10</v>
      </c>
      <c r="D28" s="473"/>
      <c r="E28" s="474"/>
      <c r="F28" s="475"/>
      <c r="G28" s="476"/>
      <c r="H28" s="477"/>
      <c r="I28" s="476"/>
      <c r="J28" s="478"/>
    </row>
    <row r="29" spans="1:11" ht="44.25" customHeight="1" x14ac:dyDescent="0.25">
      <c r="A29" s="657" t="s">
        <v>4</v>
      </c>
      <c r="B29" s="626">
        <f>B24+1</f>
        <v>46388</v>
      </c>
      <c r="C29" s="67" t="s">
        <v>5</v>
      </c>
      <c r="D29" s="407"/>
      <c r="E29" s="444"/>
      <c r="F29" s="445"/>
      <c r="G29" s="446"/>
      <c r="H29" s="444"/>
      <c r="I29" s="444"/>
      <c r="J29" s="447"/>
    </row>
    <row r="30" spans="1:11" ht="44.25" customHeight="1" x14ac:dyDescent="0.25">
      <c r="A30" s="661"/>
      <c r="B30" s="624"/>
      <c r="C30" s="68" t="s">
        <v>6</v>
      </c>
      <c r="D30" s="408"/>
      <c r="E30" s="400"/>
      <c r="F30" s="401"/>
      <c r="G30" s="401"/>
      <c r="H30" s="400"/>
      <c r="I30" s="400"/>
      <c r="J30" s="409"/>
    </row>
    <row r="31" spans="1:11" ht="44.25" customHeight="1" x14ac:dyDescent="0.25">
      <c r="A31" s="661"/>
      <c r="B31" s="624"/>
      <c r="C31" s="68" t="s">
        <v>7</v>
      </c>
      <c r="D31" s="397"/>
      <c r="E31" s="401"/>
      <c r="F31" s="401"/>
      <c r="G31" s="402"/>
      <c r="H31" s="401"/>
      <c r="I31" s="401"/>
      <c r="J31" s="399"/>
    </row>
    <row r="32" spans="1:11" ht="44.25" customHeight="1" x14ac:dyDescent="0.25">
      <c r="A32" s="661"/>
      <c r="B32" s="624"/>
      <c r="C32" s="68" t="s">
        <v>8</v>
      </c>
      <c r="D32" s="397"/>
      <c r="E32" s="401"/>
      <c r="F32" s="401"/>
      <c r="G32" s="401"/>
      <c r="H32" s="401"/>
      <c r="I32" s="398"/>
      <c r="J32" s="431"/>
    </row>
    <row r="33" spans="1:10" ht="44.25" customHeight="1" thickBot="1" x14ac:dyDescent="0.3">
      <c r="A33" s="662"/>
      <c r="B33" s="624"/>
      <c r="C33" s="69" t="s">
        <v>10</v>
      </c>
      <c r="D33" s="410"/>
      <c r="E33" s="411"/>
      <c r="F33" s="411"/>
      <c r="G33" s="411"/>
      <c r="H33" s="411"/>
      <c r="I33" s="411"/>
      <c r="J33" s="412"/>
    </row>
    <row r="34" spans="1:10" ht="44.25" customHeight="1" x14ac:dyDescent="0.25">
      <c r="A34" s="627" t="s">
        <v>12</v>
      </c>
      <c r="B34" s="626">
        <f>B29+1</f>
        <v>46389</v>
      </c>
      <c r="C34" s="67" t="s">
        <v>5</v>
      </c>
      <c r="D34" s="479"/>
      <c r="E34" s="480"/>
      <c r="F34" s="480"/>
      <c r="G34" s="480"/>
      <c r="H34" s="480"/>
      <c r="I34" s="480"/>
      <c r="J34" s="443"/>
    </row>
    <row r="35" spans="1:10" ht="44.25" customHeight="1" x14ac:dyDescent="0.25">
      <c r="A35" s="624"/>
      <c r="B35" s="624"/>
      <c r="C35" s="68" t="s">
        <v>6</v>
      </c>
      <c r="D35" s="301"/>
      <c r="E35" s="302"/>
      <c r="F35" s="302"/>
      <c r="G35" s="302"/>
      <c r="H35" s="302"/>
      <c r="I35" s="302"/>
      <c r="J35" s="409"/>
    </row>
    <row r="36" spans="1:10" ht="44.25" customHeight="1" x14ac:dyDescent="0.25">
      <c r="A36" s="624"/>
      <c r="B36" s="624"/>
      <c r="C36" s="68" t="s">
        <v>7</v>
      </c>
      <c r="D36" s="301"/>
      <c r="E36" s="302"/>
      <c r="F36" s="302"/>
      <c r="G36" s="302"/>
      <c r="H36" s="302"/>
      <c r="I36" s="302"/>
      <c r="J36" s="303"/>
    </row>
    <row r="37" spans="1:10" ht="44.25" customHeight="1" x14ac:dyDescent="0.25">
      <c r="A37" s="624"/>
      <c r="B37" s="624"/>
      <c r="C37" s="68" t="s">
        <v>8</v>
      </c>
      <c r="D37" s="301"/>
      <c r="E37" s="302"/>
      <c r="F37" s="302"/>
      <c r="G37" s="481"/>
      <c r="H37" s="302"/>
      <c r="I37" s="481"/>
      <c r="J37" s="303"/>
    </row>
    <row r="38" spans="1:10" ht="44.25" customHeight="1" thickBot="1" x14ac:dyDescent="0.3">
      <c r="A38" s="660"/>
      <c r="B38" s="660"/>
      <c r="C38" s="69" t="s">
        <v>10</v>
      </c>
      <c r="D38" s="482"/>
      <c r="E38" s="299"/>
      <c r="F38" s="299"/>
      <c r="G38" s="300"/>
      <c r="H38" s="300"/>
      <c r="I38" s="299"/>
      <c r="J38" s="304"/>
    </row>
    <row r="39" spans="1:10" ht="27.75" x14ac:dyDescent="0.25">
      <c r="A39" s="1"/>
      <c r="B39" s="1"/>
      <c r="C39" s="1"/>
      <c r="D39" s="136" t="s">
        <v>51</v>
      </c>
      <c r="E39" s="1"/>
      <c r="F39" s="1"/>
      <c r="G39" s="1"/>
      <c r="H39" s="1"/>
      <c r="I39" s="1"/>
    </row>
    <row r="40" spans="1:10" ht="28.5" customHeight="1" x14ac:dyDescent="0.4">
      <c r="A40" s="1"/>
      <c r="B40" s="60">
        <v>8</v>
      </c>
      <c r="C40" s="256" t="str">
        <f>'01.09'!C40</f>
        <v>*Л. Основы медицинских знаний и спортивная медицина*</v>
      </c>
      <c r="D40" s="66">
        <f>'21.12'!D40+COUNTIF(D$9:D$38,$C40)</f>
        <v>8</v>
      </c>
      <c r="E40" s="66">
        <f>'21.12'!E40+COUNTIF(E$9:E$38,$C40)</f>
        <v>8</v>
      </c>
      <c r="F40" s="66">
        <f>'21.12'!F40+COUNTIF(F$9:F$38,$C40)</f>
        <v>8</v>
      </c>
      <c r="G40" s="66">
        <f>'21.12'!G40+COUNTIF(G$9:G$38,$C40)</f>
        <v>8</v>
      </c>
      <c r="H40" s="66">
        <f>'21.12'!H40+COUNTIF(H$9:H$38,$C40)</f>
        <v>8</v>
      </c>
      <c r="I40" s="66">
        <f>'21.12'!I40+COUNTIF(I$9:I$38,$C40)</f>
        <v>8</v>
      </c>
      <c r="J40" s="66">
        <f>'21.12'!J40+COUNTIF(J$9:J$38,$C40)</f>
        <v>8</v>
      </c>
    </row>
    <row r="41" spans="1:10" ht="28.5" customHeight="1" x14ac:dyDescent="0.4">
      <c r="A41" s="1"/>
      <c r="B41" s="60">
        <v>16</v>
      </c>
      <c r="C41" s="256" t="str">
        <f>'01.09'!C41</f>
        <v>*Пр. Основы медицинских знаний и спортивная медицина*</v>
      </c>
      <c r="D41" s="66">
        <f>'21.12'!D41+COUNTIF(D$9:D$38,$C41)</f>
        <v>14</v>
      </c>
      <c r="E41" s="66">
        <f>'21.12'!E41+COUNTIF(E$9:E$38,$C41)</f>
        <v>14</v>
      </c>
      <c r="F41" s="66">
        <f>'21.12'!F41+COUNTIF(F$9:F$38,$C41)</f>
        <v>13</v>
      </c>
      <c r="G41" s="66">
        <f>'21.12'!G41+COUNTIF(G$9:G$38,$C41)</f>
        <v>9</v>
      </c>
      <c r="H41" s="66">
        <f>'21.12'!H41+COUNTIF(H$9:H$38,$C41)</f>
        <v>14</v>
      </c>
      <c r="I41" s="66">
        <f>'21.12'!I41+COUNTIF(I$9:I$38,$C41)</f>
        <v>13</v>
      </c>
      <c r="J41" s="66">
        <f>'21.12'!J41+COUNTIF(J$9:J$38,$C41)</f>
        <v>13</v>
      </c>
    </row>
    <row r="42" spans="1:10" ht="28.5" customHeight="1" x14ac:dyDescent="0.4">
      <c r="A42" s="1"/>
      <c r="B42" s="60">
        <v>5</v>
      </c>
      <c r="C42" s="256" t="str">
        <f>'01.09'!C42</f>
        <v>*Л. Массаж*</v>
      </c>
      <c r="D42" s="66">
        <f>'21.12'!D42+COUNTIF(D$9:D$38,$C42)</f>
        <v>5</v>
      </c>
      <c r="E42" s="66">
        <f>'21.12'!E42+COUNTIF(E$9:E$38,$C42)</f>
        <v>5</v>
      </c>
      <c r="F42" s="66">
        <f>'21.12'!F42+COUNTIF(F$9:F$38,$C42)</f>
        <v>5</v>
      </c>
      <c r="G42" s="66">
        <f>'21.12'!G42+COUNTIF(G$9:G$38,$C42)</f>
        <v>5</v>
      </c>
      <c r="H42" s="66">
        <f>'21.12'!H42+COUNTIF(H$9:H$38,$C42)</f>
        <v>5</v>
      </c>
      <c r="I42" s="66">
        <f>'21.12'!I42+COUNTIF(I$9:I$38,$C42)</f>
        <v>5</v>
      </c>
      <c r="J42" s="66">
        <f>'21.12'!J42+COUNTIF(J$9:J$38,$C42)</f>
        <v>5</v>
      </c>
    </row>
    <row r="43" spans="1:10" ht="28.5" customHeight="1" x14ac:dyDescent="0.4">
      <c r="A43" s="1"/>
      <c r="B43" s="60">
        <v>19</v>
      </c>
      <c r="C43" s="256" t="str">
        <f>'01.09'!C43</f>
        <v>*Пр. Массаж*</v>
      </c>
      <c r="D43" s="66">
        <f>'21.12'!D43+COUNTIF(D$9:D$38,$C43)</f>
        <v>13</v>
      </c>
      <c r="E43" s="66">
        <f>'21.12'!E43+COUNTIF(E$9:E$38,$C43)</f>
        <v>13</v>
      </c>
      <c r="F43" s="66">
        <f>'21.12'!F43+COUNTIF(F$9:F$38,$C43)</f>
        <v>13</v>
      </c>
      <c r="G43" s="66">
        <f>'21.12'!G43+COUNTIF(G$9:G$38,$C43)</f>
        <v>14</v>
      </c>
      <c r="H43" s="66">
        <f>'21.12'!H43+COUNTIF(H$9:H$38,$C43)</f>
        <v>14</v>
      </c>
      <c r="I43" s="66">
        <f>'21.12'!I43+COUNTIF(I$9:I$38,$C43)</f>
        <v>14</v>
      </c>
      <c r="J43" s="66">
        <f>'21.12'!J43+COUNTIF(J$9:J$38,$C43)</f>
        <v>14</v>
      </c>
    </row>
    <row r="44" spans="1:10" ht="28.5" customHeight="1" x14ac:dyDescent="0.4">
      <c r="A44" s="1"/>
      <c r="B44" s="60">
        <v>5</v>
      </c>
      <c r="C44" s="256" t="str">
        <f>'01.09'!C44</f>
        <v>*Л. Правовые основы профессиональной деятельности*</v>
      </c>
      <c r="D44" s="66">
        <f>'21.12'!D44+COUNTIF(D$9:D$38,$C44)</f>
        <v>5</v>
      </c>
      <c r="E44" s="66">
        <f>'21.12'!E44+COUNTIF(E$9:E$38,$C44)</f>
        <v>5</v>
      </c>
      <c r="F44" s="66">
        <f>'21.12'!F44+COUNTIF(F$9:F$38,$C44)</f>
        <v>5</v>
      </c>
      <c r="G44" s="66">
        <f>'21.12'!G44+COUNTIF(G$9:G$38,$C44)</f>
        <v>5</v>
      </c>
      <c r="H44" s="66">
        <f>'21.12'!H44+COUNTIF(H$9:H$38,$C44)</f>
        <v>5</v>
      </c>
      <c r="I44" s="66">
        <f>'21.12'!I44+COUNTIF(I$9:I$38,$C44)</f>
        <v>5</v>
      </c>
      <c r="J44" s="66">
        <f>'21.12'!J44+COUNTIF(J$9:J$38,$C44)</f>
        <v>5</v>
      </c>
    </row>
    <row r="45" spans="1:10" ht="28.5" customHeight="1" x14ac:dyDescent="0.4">
      <c r="A45" s="1"/>
      <c r="B45" s="60">
        <v>11</v>
      </c>
      <c r="C45" s="256" t="str">
        <f>'01.09'!C45</f>
        <v>*Пр. Правовые основы профессиональной деятельности*</v>
      </c>
      <c r="D45" s="66">
        <f>'21.12'!D45+COUNTIF(D$9:D$38,$C45)</f>
        <v>7</v>
      </c>
      <c r="E45" s="66">
        <f>'21.12'!E45+COUNTIF(E$9:E$38,$C45)</f>
        <v>8</v>
      </c>
      <c r="F45" s="66">
        <f>'21.12'!F45+COUNTIF(F$9:F$38,$C45)</f>
        <v>7</v>
      </c>
      <c r="G45" s="66">
        <f>'21.12'!G45+COUNTIF(G$9:G$38,$C45)</f>
        <v>7</v>
      </c>
      <c r="H45" s="66">
        <f>'21.12'!H45+COUNTIF(H$9:H$38,$C45)</f>
        <v>7</v>
      </c>
      <c r="I45" s="66">
        <f>'21.12'!I45+COUNTIF(I$9:I$38,$C45)</f>
        <v>6</v>
      </c>
      <c r="J45" s="66">
        <f>'21.12'!J45+COUNTIF(J$9:J$38,$C45)</f>
        <v>7</v>
      </c>
    </row>
    <row r="46" spans="1:10" ht="28.5" customHeight="1" x14ac:dyDescent="0.4">
      <c r="A46" s="1"/>
      <c r="B46" s="60">
        <v>5</v>
      </c>
      <c r="C46" s="256" t="str">
        <f>'01.09'!C46</f>
        <v>*Л. Теория и методика*</v>
      </c>
      <c r="D46" s="66">
        <f>'21.12'!D46+COUNTIF(D$9:D$38,$C46)</f>
        <v>4</v>
      </c>
      <c r="E46" s="66">
        <f>'21.12'!E46+COUNTIF(E$9:E$38,$C46)</f>
        <v>4</v>
      </c>
      <c r="F46" s="66">
        <f>'21.12'!F46+COUNTIF(F$9:F$38,$C46)</f>
        <v>4</v>
      </c>
      <c r="G46" s="66">
        <f>'21.12'!G46+COUNTIF(G$9:G$38,$C46)</f>
        <v>4</v>
      </c>
      <c r="H46" s="66">
        <f>'21.12'!H46+COUNTIF(H$9:H$38,$C46)</f>
        <v>4</v>
      </c>
      <c r="I46" s="66">
        <f>'21.12'!I46+COUNTIF(I$9:I$38,$C46)</f>
        <v>4</v>
      </c>
      <c r="J46" s="66">
        <f>'21.12'!J46+COUNTIF(J$9:J$38,$C46)</f>
        <v>4</v>
      </c>
    </row>
    <row r="47" spans="1:10" ht="28.5" customHeight="1" x14ac:dyDescent="0.4">
      <c r="A47" s="1"/>
      <c r="B47" s="60">
        <v>44</v>
      </c>
      <c r="C47" s="256" t="str">
        <f>'01.09'!C47</f>
        <v>*Пр. Теория и методика*</v>
      </c>
      <c r="D47" s="66">
        <f>'21.12'!D47+COUNTIF(D$9:D$38,$C47)</f>
        <v>30</v>
      </c>
      <c r="E47" s="66">
        <f>'21.12'!E47+COUNTIF(E$9:E$38,$C47)</f>
        <v>30</v>
      </c>
      <c r="F47" s="66">
        <f>'21.12'!F47+COUNTIF(F$9:F$38,$C47)</f>
        <v>31</v>
      </c>
      <c r="G47" s="66">
        <f>'21.12'!G47+COUNTIF(G$9:G$38,$C47)</f>
        <v>35</v>
      </c>
      <c r="H47" s="66">
        <f>'21.12'!H47+COUNTIF(H$9:H$38,$C47)</f>
        <v>35</v>
      </c>
      <c r="I47" s="66">
        <f>'21.12'!I47+COUNTIF(I$9:I$38,$C47)</f>
        <v>37</v>
      </c>
      <c r="J47" s="66">
        <f>'21.12'!J47+COUNTIF(J$9:J$38,$C47)</f>
        <v>37</v>
      </c>
    </row>
    <row r="48" spans="1:10" ht="28.5" customHeight="1" x14ac:dyDescent="0.4">
      <c r="A48" s="1"/>
      <c r="B48" s="60">
        <v>5</v>
      </c>
      <c r="C48" s="256" t="str">
        <f>'01.09'!C48</f>
        <v>*Л. Спортивная метрология*</v>
      </c>
      <c r="D48" s="66">
        <f>'21.12'!D48+COUNTIF(D$9:D$38,$C48)</f>
        <v>5</v>
      </c>
      <c r="E48" s="66">
        <f>'21.12'!E48+COUNTIF(E$9:E$38,$C48)</f>
        <v>5</v>
      </c>
      <c r="F48" s="66">
        <f>'21.12'!F48+COUNTIF(F$9:F$38,$C48)</f>
        <v>5</v>
      </c>
      <c r="G48" s="66">
        <f>'21.12'!G48+COUNTIF(G$9:G$38,$C48)</f>
        <v>5</v>
      </c>
      <c r="H48" s="66">
        <f>'21.12'!H48+COUNTIF(H$9:H$38,$C48)</f>
        <v>5</v>
      </c>
      <c r="I48" s="66">
        <f>'21.12'!I48+COUNTIF(I$9:I$38,$C48)</f>
        <v>5</v>
      </c>
      <c r="J48" s="66">
        <f>'21.12'!J48+COUNTIF(J$9:J$38,$C48)</f>
        <v>5</v>
      </c>
    </row>
    <row r="49" spans="1:10" ht="28.5" customHeight="1" x14ac:dyDescent="0.4">
      <c r="A49" s="1"/>
      <c r="B49" s="60">
        <v>11</v>
      </c>
      <c r="C49" s="256" t="str">
        <f>'01.09'!C49</f>
        <v>*Пр. Спортивная метрология*</v>
      </c>
      <c r="D49" s="66">
        <f>'21.12'!D49+COUNTIF(D$9:D$38,$C49)</f>
        <v>7</v>
      </c>
      <c r="E49" s="66">
        <f>'21.12'!E49+COUNTIF(E$9:E$38,$C49)</f>
        <v>7</v>
      </c>
      <c r="F49" s="66">
        <f>'21.12'!F49+COUNTIF(F$9:F$38,$C49)</f>
        <v>7</v>
      </c>
      <c r="G49" s="66">
        <f>'21.12'!G49+COUNTIF(G$9:G$38,$C49)</f>
        <v>7</v>
      </c>
      <c r="H49" s="66">
        <f>'21.12'!H49+COUNTIF(H$9:H$38,$C49)</f>
        <v>7</v>
      </c>
      <c r="I49" s="66">
        <f>'21.12'!I49+COUNTIF(I$9:I$38,$C49)</f>
        <v>7</v>
      </c>
      <c r="J49" s="66">
        <f>'21.12'!J49+COUNTIF(J$9:J$38,$C49)</f>
        <v>7</v>
      </c>
    </row>
    <row r="50" spans="1:10" ht="28.5" customHeight="1" x14ac:dyDescent="0.4">
      <c r="A50" s="1"/>
      <c r="B50" s="60">
        <v>5</v>
      </c>
      <c r="C50" s="256" t="str">
        <f>'01.09'!C50</f>
        <v>*Л.  Теория и методика циклических и сложнокоординационных*</v>
      </c>
      <c r="D50" s="425">
        <f>'21.12'!D50+COUNTIF(D$9:D$38,$C50)</f>
        <v>0</v>
      </c>
      <c r="E50" s="425">
        <f>'21.12'!E50+COUNTIF(E$9:E$38,$C50)</f>
        <v>0</v>
      </c>
      <c r="F50" s="425">
        <f>'21.12'!F50+COUNTIF(F$9:F$38,$C50)</f>
        <v>0</v>
      </c>
      <c r="G50" s="425">
        <f>'21.12'!G50+COUNTIF(G$9:G$38,$C50)</f>
        <v>0</v>
      </c>
      <c r="H50" s="66">
        <f>'21.12'!H50+COUNTIF(H$9:H$38,$C50)</f>
        <v>4</v>
      </c>
      <c r="I50" s="425">
        <f>'21.12'!I50+COUNTIF(I$9:I$38,$C50)</f>
        <v>0</v>
      </c>
      <c r="J50" s="425">
        <f>'21.12'!J50+COUNTIF(J$9:J$38,$C50)</f>
        <v>0</v>
      </c>
    </row>
    <row r="51" spans="1:10" ht="28.5" customHeight="1" x14ac:dyDescent="0.4">
      <c r="A51" s="1"/>
      <c r="B51" s="60">
        <v>44</v>
      </c>
      <c r="C51" s="256" t="str">
        <f>'01.09'!C51</f>
        <v>*Пр.  Теория и методика циклических и сложнокоординационных*</v>
      </c>
      <c r="D51" s="425">
        <f>'21.12'!D51+COUNTIF(D$9:D$38,$C51)</f>
        <v>0</v>
      </c>
      <c r="E51" s="425">
        <f>'21.12'!E51+COUNTIF(E$9:E$38,$C51)</f>
        <v>0</v>
      </c>
      <c r="F51" s="425">
        <f>'21.12'!F51+COUNTIF(F$9:F$38,$C51)</f>
        <v>0</v>
      </c>
      <c r="G51" s="425">
        <f>'21.12'!G51+COUNTIF(G$9:G$38,$C51)</f>
        <v>0</v>
      </c>
      <c r="H51" s="66">
        <f>'21.12'!H51+COUNTIF(H$9:H$38,$C51)</f>
        <v>39</v>
      </c>
      <c r="I51" s="425">
        <f>'21.12'!I51+COUNTIF(I$9:I$38,$C51)</f>
        <v>0</v>
      </c>
      <c r="J51" s="425">
        <f>'21.12'!J51+COUNTIF(J$9:J$38,$C51)</f>
        <v>0</v>
      </c>
    </row>
    <row r="52" spans="1:10" ht="28.5" customHeight="1" x14ac:dyDescent="0.4">
      <c r="A52" s="1"/>
      <c r="B52" s="60"/>
      <c r="C52" s="256">
        <f>'01.09'!C52</f>
        <v>0</v>
      </c>
      <c r="D52" s="66">
        <f>'21.12'!D52+COUNTIF(D$9:D$38,$C52)</f>
        <v>0</v>
      </c>
      <c r="E52" s="66">
        <f>'21.12'!E52+COUNTIF(E$9:E$38,$C52)</f>
        <v>0</v>
      </c>
      <c r="F52" s="66">
        <f>'21.12'!F52+COUNTIF(F$9:F$38,$C52)</f>
        <v>0</v>
      </c>
      <c r="G52" s="66">
        <f>'21.12'!G52+COUNTIF(G$9:G$38,$C52)</f>
        <v>0</v>
      </c>
      <c r="H52" s="66">
        <f>'21.12'!H52+COUNTIF(H$9:H$38,$C52)</f>
        <v>0</v>
      </c>
      <c r="I52" s="66">
        <f>'21.12'!I52+COUNTIF(I$9:I$38,$C52)</f>
        <v>0</v>
      </c>
      <c r="J52" s="66">
        <f>'21.12'!J52+COUNTIF(J$9:J$38,$C52)</f>
        <v>0</v>
      </c>
    </row>
    <row r="53" spans="1:10" ht="28.5" customHeight="1" x14ac:dyDescent="0.4">
      <c r="A53" s="1"/>
      <c r="B53" s="60"/>
      <c r="C53" s="256">
        <f>'01.09'!C53</f>
        <v>0</v>
      </c>
      <c r="D53" s="66">
        <f>'21.12'!D53+COUNTIF(D$9:D$38,$C53)</f>
        <v>0</v>
      </c>
      <c r="E53" s="66">
        <f>'21.12'!E53+COUNTIF(E$9:E$38,$C53)</f>
        <v>0</v>
      </c>
      <c r="F53" s="66">
        <f>'21.12'!F53+COUNTIF(F$9:F$38,$C53)</f>
        <v>0</v>
      </c>
      <c r="G53" s="66">
        <f>'21.12'!G53+COUNTIF(G$9:G$38,$C53)</f>
        <v>0</v>
      </c>
      <c r="H53" s="66">
        <f>'21.12'!H53+COUNTIF(H$9:H$38,$C53)</f>
        <v>0</v>
      </c>
      <c r="I53" s="66">
        <f>'21.12'!I53+COUNTIF(I$9:I$38,$C53)</f>
        <v>0</v>
      </c>
      <c r="J53" s="66">
        <f>'21.12'!J53+COUNTIF(J$9:J$38,$C53)</f>
        <v>0</v>
      </c>
    </row>
    <row r="54" spans="1:10" ht="28.5" customHeight="1" x14ac:dyDescent="0.4">
      <c r="A54" s="1"/>
      <c r="B54" s="60"/>
      <c r="C54" s="256">
        <f>'01.09'!C54</f>
        <v>0</v>
      </c>
      <c r="D54" s="66">
        <f>'21.12'!D54+COUNTIF(D$9:D$38,$C54)</f>
        <v>0</v>
      </c>
      <c r="E54" s="66">
        <f>'21.12'!E54+COUNTIF(E$9:E$38,$C54)</f>
        <v>0</v>
      </c>
      <c r="F54" s="66">
        <f>'21.12'!F54+COUNTIF(F$9:F$38,$C54)</f>
        <v>0</v>
      </c>
      <c r="G54" s="66">
        <f>'21.12'!G54+COUNTIF(G$9:G$38,$C54)</f>
        <v>0</v>
      </c>
      <c r="H54" s="66">
        <f>'21.12'!H54+COUNTIF(H$9:H$38,$C54)</f>
        <v>0</v>
      </c>
      <c r="I54" s="66">
        <f>'21.12'!I54+COUNTIF(I$9:I$38,$C54)</f>
        <v>0</v>
      </c>
      <c r="J54" s="66">
        <f>'21.12'!J54+COUNTIF(J$9:J$38,$C54)</f>
        <v>0</v>
      </c>
    </row>
    <row r="55" spans="1:10" ht="28.5" customHeight="1" x14ac:dyDescent="0.4">
      <c r="A55" s="1"/>
      <c r="B55" s="60"/>
      <c r="C55" s="256">
        <f>'01.09'!C55</f>
        <v>0</v>
      </c>
      <c r="D55" s="66">
        <f>'21.12'!D55+COUNTIF(D$9:D$38,$C55)</f>
        <v>0</v>
      </c>
      <c r="E55" s="66">
        <f>'21.12'!E55+COUNTIF(E$9:E$38,$C55)</f>
        <v>0</v>
      </c>
      <c r="F55" s="66">
        <f>'21.12'!F55+COUNTIF(F$9:F$38,$C55)</f>
        <v>0</v>
      </c>
      <c r="G55" s="66">
        <f>'21.12'!G55+COUNTIF(G$9:G$38,$C55)</f>
        <v>0</v>
      </c>
      <c r="H55" s="66">
        <f>'21.12'!H55+COUNTIF(H$9:H$38,$C55)</f>
        <v>0</v>
      </c>
      <c r="I55" s="66">
        <f>'21.12'!I55+COUNTIF(I$9:I$38,$C55)</f>
        <v>0</v>
      </c>
      <c r="J55" s="66">
        <f>'21.12'!J55+COUNTIF(J$9:J$38,$C55)</f>
        <v>0</v>
      </c>
    </row>
    <row r="56" spans="1:10" ht="28.5" customHeight="1" x14ac:dyDescent="0.4">
      <c r="A56" s="1"/>
      <c r="B56" s="60"/>
      <c r="C56" s="256">
        <f>'01.09'!C56</f>
        <v>0</v>
      </c>
      <c r="D56" s="66">
        <f>'21.12'!D56+COUNTIF(D$9:D$38,$C56)</f>
        <v>0</v>
      </c>
      <c r="E56" s="66">
        <f>'21.12'!E56+COUNTIF(E$9:E$38,$C56)</f>
        <v>0</v>
      </c>
      <c r="F56" s="66">
        <f>'21.12'!F56+COUNTIF(F$9:F$38,$C56)</f>
        <v>0</v>
      </c>
      <c r="G56" s="66">
        <f>'21.12'!G56+COUNTIF(G$9:G$38,$C56)</f>
        <v>0</v>
      </c>
      <c r="H56" s="66">
        <f>'21.12'!H56+COUNTIF(H$9:H$38,$C56)</f>
        <v>0</v>
      </c>
      <c r="I56" s="66">
        <f>'21.12'!I56+COUNTIF(I$9:I$38,$C56)</f>
        <v>0</v>
      </c>
      <c r="J56" s="66">
        <f>'21.12'!J56+COUNTIF(J$9:J$38,$C56)</f>
        <v>0</v>
      </c>
    </row>
    <row r="57" spans="1:10" ht="28.5" customHeight="1" x14ac:dyDescent="0.4">
      <c r="A57" s="1"/>
      <c r="B57" s="60"/>
      <c r="C57" s="256">
        <f>'01.09'!C57</f>
        <v>0</v>
      </c>
      <c r="D57" s="66">
        <f>'21.12'!D57+COUNTIF(D$9:D$38,$C57)</f>
        <v>0</v>
      </c>
      <c r="E57" s="66">
        <f>'21.12'!E57+COUNTIF(E$9:E$38,$C57)</f>
        <v>0</v>
      </c>
      <c r="F57" s="66">
        <f>'21.12'!F57+COUNTIF(F$9:F$38,$C57)</f>
        <v>0</v>
      </c>
      <c r="G57" s="66">
        <f>'21.12'!G57+COUNTIF(G$9:G$38,$C57)</f>
        <v>0</v>
      </c>
      <c r="H57" s="66">
        <f>'21.12'!H57+COUNTIF(H$9:H$38,$C57)</f>
        <v>0</v>
      </c>
      <c r="I57" s="66">
        <f>'21.12'!I57+COUNTIF(I$9:I$38,$C57)</f>
        <v>0</v>
      </c>
      <c r="J57" s="66">
        <f>'21.12'!J57+COUNTIF(J$9:J$38,$C57)</f>
        <v>0</v>
      </c>
    </row>
    <row r="58" spans="1:10" ht="28.5" customHeight="1" x14ac:dyDescent="0.4">
      <c r="A58" s="1"/>
      <c r="B58" s="60"/>
      <c r="C58" s="256">
        <f>'01.09'!C58</f>
        <v>0</v>
      </c>
      <c r="D58" s="66">
        <f>'21.12'!D58+COUNTIF(D$9:D$38,$C58)</f>
        <v>0</v>
      </c>
      <c r="E58" s="66">
        <f>'21.12'!E58+COUNTIF(E$9:E$38,$C58)</f>
        <v>0</v>
      </c>
      <c r="F58" s="66">
        <f>'21.12'!F58+COUNTIF(F$9:F$38,$C58)</f>
        <v>0</v>
      </c>
      <c r="G58" s="66">
        <f>'21.12'!G58+COUNTIF(G$9:G$38,$C58)</f>
        <v>0</v>
      </c>
      <c r="H58" s="66">
        <f>'21.12'!H58+COUNTIF(H$9:H$38,$C58)</f>
        <v>0</v>
      </c>
      <c r="I58" s="66">
        <f>'21.12'!I58+COUNTIF(I$9:I$38,$C58)</f>
        <v>0</v>
      </c>
      <c r="J58" s="66">
        <f>'21.12'!J58+COUNTIF(J$9:J$38,$C58)</f>
        <v>0</v>
      </c>
    </row>
    <row r="59" spans="1:10" ht="28.5" customHeight="1" x14ac:dyDescent="0.4">
      <c r="A59" s="1"/>
      <c r="B59" s="138"/>
      <c r="C59" s="256">
        <f>'01.09'!C59</f>
        <v>0</v>
      </c>
      <c r="D59" s="66">
        <f>'21.12'!D59+COUNTIF(D$9:D$38,$C59)</f>
        <v>0</v>
      </c>
      <c r="E59" s="66">
        <f>'21.12'!E59+COUNTIF(E$9:E$38,$C59)</f>
        <v>0</v>
      </c>
      <c r="F59" s="66">
        <f>'21.12'!F59+COUNTIF(F$9:F$38,$C59)</f>
        <v>0</v>
      </c>
      <c r="G59" s="66">
        <f>'21.12'!G59+COUNTIF(G$9:G$38,$C59)</f>
        <v>0</v>
      </c>
      <c r="H59" s="66">
        <f>'21.12'!H59+COUNTIF(H$9:H$38,$C59)</f>
        <v>0</v>
      </c>
      <c r="I59" s="66">
        <f>'21.12'!I59+COUNTIF(I$9:I$38,$C59)</f>
        <v>0</v>
      </c>
      <c r="J59" s="66">
        <f>'21.12'!J59+COUNTIF(J$9:J$38,$C59)</f>
        <v>0</v>
      </c>
    </row>
    <row r="60" spans="1:10" ht="28.5" customHeight="1" x14ac:dyDescent="0.4">
      <c r="A60" s="1"/>
      <c r="B60" s="138"/>
      <c r="C60" s="256">
        <f>'01.09'!C60</f>
        <v>0</v>
      </c>
      <c r="D60" s="66">
        <f>'21.12'!D60+COUNTIF(D$9:D$38,$C60)</f>
        <v>0</v>
      </c>
      <c r="E60" s="66">
        <f>'21.12'!E60+COUNTIF(E$9:E$38,$C60)</f>
        <v>0</v>
      </c>
      <c r="F60" s="66">
        <f>'21.12'!F60+COUNTIF(F$9:F$38,$C60)</f>
        <v>0</v>
      </c>
      <c r="G60" s="66">
        <f>'21.12'!G60+COUNTIF(G$9:G$38,$C60)</f>
        <v>0</v>
      </c>
      <c r="H60" s="66">
        <f>'21.12'!H60+COUNTIF(H$9:H$38,$C60)</f>
        <v>0</v>
      </c>
      <c r="I60" s="66">
        <f>'21.12'!I60+COUNTIF(I$9:I$38,$C60)</f>
        <v>0</v>
      </c>
      <c r="J60" s="66">
        <f>'21.12'!J60+COUNTIF(J$9:J$38,$C60)</f>
        <v>0</v>
      </c>
    </row>
    <row r="61" spans="1:10" ht="28.5" customHeight="1" x14ac:dyDescent="0.4">
      <c r="A61" s="1"/>
      <c r="B61" s="60"/>
      <c r="C61" s="256">
        <f>'01.09'!C61</f>
        <v>0</v>
      </c>
      <c r="D61" s="66">
        <f>'21.12'!D61+COUNTIF(D$9:D$38,$C61)</f>
        <v>0</v>
      </c>
      <c r="E61" s="66">
        <f>'21.12'!E61+COUNTIF(E$9:E$38,$C61)</f>
        <v>0</v>
      </c>
      <c r="F61" s="66">
        <f>'21.12'!F61+COUNTIF(F$9:F$38,$C61)</f>
        <v>0</v>
      </c>
      <c r="G61" s="66">
        <f>'21.12'!G61+COUNTIF(G$9:G$38,$C61)</f>
        <v>0</v>
      </c>
      <c r="H61" s="66">
        <f>'21.12'!H61+COUNTIF(H$9:H$38,$C61)</f>
        <v>0</v>
      </c>
      <c r="I61" s="66">
        <f>'21.12'!I61+COUNTIF(I$9:I$38,$C61)</f>
        <v>0</v>
      </c>
      <c r="J61" s="66">
        <f>'21.12'!J61+COUNTIF(J$9:J$38,$C61)</f>
        <v>0</v>
      </c>
    </row>
    <row r="62" spans="1:10" ht="28.5" customHeight="1" x14ac:dyDescent="0.4">
      <c r="A62" s="1"/>
      <c r="B62" s="98"/>
      <c r="C62" s="256">
        <f>'01.09'!C62</f>
        <v>0</v>
      </c>
      <c r="D62" s="66">
        <f>'21.12'!D62+COUNTIF(D$9:D$38,$C62)</f>
        <v>0</v>
      </c>
      <c r="E62" s="66">
        <f>'21.12'!E62+COUNTIF(E$9:E$38,$C62)</f>
        <v>0</v>
      </c>
      <c r="F62" s="66">
        <f>'21.12'!F62+COUNTIF(F$9:F$38,$C62)</f>
        <v>0</v>
      </c>
      <c r="G62" s="66">
        <f>'21.12'!G62+COUNTIF(G$9:G$38,$C62)</f>
        <v>0</v>
      </c>
      <c r="H62" s="66">
        <f>'21.12'!H62+COUNTIF(H$9:H$38,$C62)</f>
        <v>0</v>
      </c>
      <c r="I62" s="66">
        <f>'21.12'!I62+COUNTIF(I$9:I$38,$C62)</f>
        <v>0</v>
      </c>
      <c r="J62" s="66">
        <f>'21.12'!J62+COUNTIF(J$9:J$38,$C62)</f>
        <v>0</v>
      </c>
    </row>
    <row r="63" spans="1:10" ht="26.25" x14ac:dyDescent="0.4">
      <c r="A63" s="1"/>
      <c r="B63" s="60"/>
      <c r="C63" s="256">
        <f>'01.09'!C63</f>
        <v>0</v>
      </c>
      <c r="D63" s="66">
        <f>'21.12'!D63+COUNTIF(D$9:D$38,$C63)</f>
        <v>0</v>
      </c>
      <c r="E63" s="66">
        <f>'21.12'!E63+COUNTIF(E$9:E$38,$C63)</f>
        <v>0</v>
      </c>
      <c r="F63" s="66">
        <f>'21.12'!F63+COUNTIF(F$9:F$38,$C63)</f>
        <v>0</v>
      </c>
      <c r="G63" s="66">
        <f>'21.12'!G63+COUNTIF(G$9:G$38,$C63)</f>
        <v>0</v>
      </c>
      <c r="H63" s="66">
        <f>'21.12'!H63+COUNTIF(H$9:H$38,$C63)</f>
        <v>0</v>
      </c>
      <c r="I63" s="66">
        <f>'21.12'!I63+COUNTIF(I$9:I$38,$C63)</f>
        <v>0</v>
      </c>
      <c r="J63" s="66">
        <f>'21.12'!J63+COUNTIF(J$9:J$38,$C63)</f>
        <v>0</v>
      </c>
    </row>
    <row r="64" spans="1:10" ht="26.25" x14ac:dyDescent="0.25">
      <c r="A64" s="1"/>
      <c r="B64" s="1"/>
      <c r="C64" s="256">
        <f>'01.09'!C64</f>
        <v>0</v>
      </c>
      <c r="D64" s="66">
        <f>'21.12'!D64+COUNTIF(D$9:D$38,$C64)</f>
        <v>0</v>
      </c>
      <c r="E64" s="66">
        <f>'21.12'!E64+COUNTIF(E$9:E$38,$C64)</f>
        <v>0</v>
      </c>
      <c r="F64" s="66">
        <f>'21.12'!F64+COUNTIF(F$9:F$38,$C64)</f>
        <v>0</v>
      </c>
      <c r="G64" s="66">
        <f>'21.12'!G64+COUNTIF(G$9:G$38,$C64)</f>
        <v>0</v>
      </c>
      <c r="H64" s="66">
        <f>'21.12'!H64+COUNTIF(H$9:H$38,$C64)</f>
        <v>0</v>
      </c>
      <c r="I64" s="66">
        <f>'21.12'!I64+COUNTIF(I$9:I$38,$C64)</f>
        <v>0</v>
      </c>
      <c r="J64" s="66">
        <f>'21.12'!J64+COUNTIF(J$9:J$38,$C64)</f>
        <v>0</v>
      </c>
    </row>
    <row r="65" spans="1:10" ht="26.25" x14ac:dyDescent="0.25">
      <c r="A65" s="1"/>
      <c r="B65" s="1"/>
      <c r="C65" s="256">
        <f>'01.09'!C65</f>
        <v>0</v>
      </c>
      <c r="D65" s="66">
        <f>'21.12'!D65+COUNTIF(D$9:D$38,$C65)</f>
        <v>0</v>
      </c>
      <c r="E65" s="66">
        <f>'21.12'!E65+COUNTIF(E$9:E$38,$C65)</f>
        <v>0</v>
      </c>
      <c r="F65" s="66">
        <f>'21.12'!F65+COUNTIF(F$9:F$38,$C65)</f>
        <v>0</v>
      </c>
      <c r="G65" s="66">
        <f>'21.12'!G65+COUNTIF(G$9:G$38,$C65)</f>
        <v>0</v>
      </c>
      <c r="H65" s="66">
        <f>'21.12'!H65+COUNTIF(H$9:H$38,$C65)</f>
        <v>0</v>
      </c>
      <c r="I65" s="66">
        <f>'21.12'!I65+COUNTIF(I$9:I$38,$C65)</f>
        <v>0</v>
      </c>
      <c r="J65" s="66">
        <f>'21.12'!J65+COUNTIF(J$9:J$38,$C65)</f>
        <v>0</v>
      </c>
    </row>
    <row r="66" spans="1:10" ht="26.25" x14ac:dyDescent="0.25">
      <c r="A66" s="1"/>
      <c r="B66" s="1"/>
      <c r="C66" s="228">
        <f>'01.09'!C66</f>
        <v>0</v>
      </c>
      <c r="D66" s="66">
        <f>'21.12'!D66+COUNTIF(D$9:D$38,$C66)</f>
        <v>0</v>
      </c>
      <c r="E66" s="66">
        <f>'21.12'!E66+COUNTIF(E$9:E$38,$C66)</f>
        <v>0</v>
      </c>
      <c r="F66" s="66">
        <f>'21.12'!F66+COUNTIF(F$9:F$38,$C66)</f>
        <v>0</v>
      </c>
      <c r="G66" s="66">
        <f>'21.12'!G66+COUNTIF(G$9:G$38,$C66)</f>
        <v>0</v>
      </c>
      <c r="H66" s="66">
        <f>'21.12'!H66+COUNTIF(H$9:H$38,$C66)</f>
        <v>0</v>
      </c>
      <c r="I66" s="66">
        <f>'21.12'!I66+COUNTIF(I$9:I$38,$C66)</f>
        <v>0</v>
      </c>
      <c r="J66" s="66">
        <f>'21.12'!J66+COUNTIF(J$9:J$38,$C66)</f>
        <v>0</v>
      </c>
    </row>
    <row r="67" spans="1:10" ht="26.25" x14ac:dyDescent="0.25">
      <c r="A67" s="1"/>
      <c r="B67" s="1"/>
      <c r="C67" s="228">
        <f>'01.09'!C67</f>
        <v>0</v>
      </c>
      <c r="D67" s="66">
        <f>'21.12'!D67+COUNTIF(D$9:D$38,$C67)</f>
        <v>0</v>
      </c>
      <c r="E67" s="66">
        <f>'21.12'!E67+COUNTIF(E$9:E$38,$C67)</f>
        <v>0</v>
      </c>
      <c r="F67" s="66">
        <f>'21.12'!F67+COUNTIF(F$9:F$38,$C67)</f>
        <v>0</v>
      </c>
      <c r="G67" s="66">
        <f>'21.12'!G67+COUNTIF(G$9:G$38,$C67)</f>
        <v>0</v>
      </c>
      <c r="H67" s="66">
        <f>'21.12'!H67+COUNTIF(H$9:H$38,$C67)</f>
        <v>0</v>
      </c>
      <c r="I67" s="66">
        <f>'21.12'!I67+COUNTIF(I$9:I$38,$C67)</f>
        <v>0</v>
      </c>
      <c r="J67" s="66">
        <f>'21.12'!J67+COUNTIF(J$9:J$38,$C67)</f>
        <v>0</v>
      </c>
    </row>
    <row r="68" spans="1:10" ht="26.25" x14ac:dyDescent="0.25">
      <c r="A68" s="1"/>
      <c r="B68" s="1"/>
      <c r="C68" s="228">
        <f>'01.09'!C68</f>
        <v>0</v>
      </c>
      <c r="D68" s="66">
        <f>'21.12'!D68+COUNTIF(D$9:D$38,$C68)</f>
        <v>0</v>
      </c>
      <c r="E68" s="66">
        <f>'21.12'!E68+COUNTIF(E$9:E$38,$C68)</f>
        <v>0</v>
      </c>
      <c r="F68" s="66">
        <f>'21.12'!F68+COUNTIF(F$9:F$38,$C68)</f>
        <v>0</v>
      </c>
      <c r="G68" s="66">
        <f>'21.12'!G68+COUNTIF(G$9:G$38,$C68)</f>
        <v>0</v>
      </c>
      <c r="H68" s="66">
        <f>'21.12'!H68+COUNTIF(H$9:H$38,$C68)</f>
        <v>0</v>
      </c>
      <c r="I68" s="66">
        <f>'21.12'!I68+COUNTIF(I$9:I$38,$C68)</f>
        <v>0</v>
      </c>
      <c r="J68" s="66">
        <f>'21.12'!J68+COUNTIF(J$9:J$38,$C68)</f>
        <v>0</v>
      </c>
    </row>
    <row r="69" spans="1:10" ht="26.25" x14ac:dyDescent="0.25">
      <c r="A69" s="1"/>
      <c r="B69" s="1"/>
      <c r="C69" s="228">
        <f>'01.09'!C69</f>
        <v>0</v>
      </c>
      <c r="D69" s="66">
        <f>'21.12'!D69+COUNTIF(D$9:D$38,$C69)</f>
        <v>0</v>
      </c>
      <c r="E69" s="66">
        <f>'21.12'!E69+COUNTIF(E$9:E$38,$C69)</f>
        <v>0</v>
      </c>
      <c r="F69" s="66">
        <f>'21.12'!F69+COUNTIF(F$9:F$38,$C69)</f>
        <v>0</v>
      </c>
      <c r="G69" s="66">
        <f>'21.12'!G69+COUNTIF(G$9:G$38,$C69)</f>
        <v>0</v>
      </c>
      <c r="H69" s="66">
        <f>'21.12'!H69+COUNTIF(H$9:H$38,$C69)</f>
        <v>0</v>
      </c>
      <c r="I69" s="66">
        <f>'21.12'!I69+COUNTIF(I$9:I$38,$C69)</f>
        <v>0</v>
      </c>
      <c r="J69" s="66">
        <f>'21.12'!J69+COUNTIF(J$9:J$38,$C69)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B1:J1"/>
    <mergeCell ref="A3:J3"/>
    <mergeCell ref="B5:J5"/>
    <mergeCell ref="A7:A8"/>
    <mergeCell ref="C7:C8"/>
    <mergeCell ref="B7:B8"/>
    <mergeCell ref="B2:J2"/>
    <mergeCell ref="B4:J4"/>
    <mergeCell ref="A34:A38"/>
    <mergeCell ref="B34:B38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</mergeCells>
  <phoneticPr fontId="3" type="noConversion"/>
  <conditionalFormatting sqref="D40:J40">
    <cfRule type="cellIs" dxfId="29" priority="12" operator="lessThan">
      <formula>8</formula>
    </cfRule>
  </conditionalFormatting>
  <conditionalFormatting sqref="D41:J41">
    <cfRule type="cellIs" dxfId="28" priority="11" operator="lessThan">
      <formula>16</formula>
    </cfRule>
  </conditionalFormatting>
  <conditionalFormatting sqref="D42:J42">
    <cfRule type="cellIs" dxfId="27" priority="10" operator="lessThan">
      <formula>5</formula>
    </cfRule>
  </conditionalFormatting>
  <conditionalFormatting sqref="D43:J43">
    <cfRule type="cellIs" dxfId="26" priority="9" operator="lessThan">
      <formula>19</formula>
    </cfRule>
  </conditionalFormatting>
  <conditionalFormatting sqref="D44:J44">
    <cfRule type="cellIs" dxfId="25" priority="8" operator="lessThan">
      <formula>5</formula>
    </cfRule>
  </conditionalFormatting>
  <conditionalFormatting sqref="D45:J45">
    <cfRule type="cellIs" dxfId="24" priority="7" operator="lessThan">
      <formula>11</formula>
    </cfRule>
  </conditionalFormatting>
  <conditionalFormatting sqref="D46:J46">
    <cfRule type="cellIs" dxfId="23" priority="6" operator="lessThan">
      <formula>5</formula>
    </cfRule>
  </conditionalFormatting>
  <conditionalFormatting sqref="D47:J47">
    <cfRule type="cellIs" dxfId="22" priority="5" operator="lessThan">
      <formula>44</formula>
    </cfRule>
  </conditionalFormatting>
  <conditionalFormatting sqref="D48:J48">
    <cfRule type="cellIs" dxfId="21" priority="4" operator="lessThan">
      <formula>5</formula>
    </cfRule>
  </conditionalFormatting>
  <conditionalFormatting sqref="D49:J49">
    <cfRule type="cellIs" dxfId="20" priority="3" operator="lessThan">
      <formula>11</formula>
    </cfRule>
  </conditionalFormatting>
  <conditionalFormatting sqref="H50">
    <cfRule type="cellIs" dxfId="19" priority="2" operator="lessThan">
      <formula>5</formula>
    </cfRule>
  </conditionalFormatting>
  <conditionalFormatting sqref="H51">
    <cfRule type="cellIs" dxfId="18" priority="1" operator="lessThan">
      <formula>44</formula>
    </cfRule>
  </conditionalFormatting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39" zoomScaleNormal="40" zoomScaleSheetLayoutView="39" zoomScalePageLayoutView="40" workbookViewId="0">
      <selection sqref="A1:J5"/>
    </sheetView>
  </sheetViews>
  <sheetFormatPr defaultRowHeight="15" x14ac:dyDescent="0.25"/>
  <cols>
    <col min="1" max="1" width="4.42578125" customWidth="1"/>
    <col min="2" max="2" width="5.140625" customWidth="1"/>
    <col min="3" max="3" width="24.7109375" customWidth="1"/>
    <col min="4" max="4" width="49" customWidth="1"/>
    <col min="5" max="5" width="53" customWidth="1"/>
    <col min="6" max="6" width="49.5703125" customWidth="1"/>
    <col min="7" max="7" width="62.85546875" customWidth="1"/>
    <col min="8" max="8" width="64.85546875" customWidth="1"/>
    <col min="9" max="9" width="57" customWidth="1"/>
    <col min="10" max="10" width="66.42578125" customWidth="1"/>
  </cols>
  <sheetData>
    <row r="1" spans="1:10" s="4" customFormat="1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s="4" customFormat="1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4" customFormat="1" ht="30" x14ac:dyDescent="0.3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s="4" customFormat="1" ht="30" x14ac:dyDescent="0.3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14" t="s">
        <v>80</v>
      </c>
      <c r="E7" s="215" t="s">
        <v>43</v>
      </c>
      <c r="F7" s="215" t="s">
        <v>44</v>
      </c>
      <c r="G7" s="215" t="s">
        <v>45</v>
      </c>
      <c r="H7" s="216" t="s">
        <v>46</v>
      </c>
      <c r="I7" s="216" t="s">
        <v>47</v>
      </c>
      <c r="J7" s="217" t="s">
        <v>11</v>
      </c>
    </row>
    <row r="8" spans="1:10" ht="160.5" customHeight="1" thickBot="1" x14ac:dyDescent="0.3">
      <c r="A8" s="633"/>
      <c r="B8" s="633"/>
      <c r="C8" s="634"/>
      <c r="D8" s="218" t="s">
        <v>65</v>
      </c>
      <c r="E8" s="394" t="s">
        <v>67</v>
      </c>
      <c r="F8" s="394" t="s">
        <v>48</v>
      </c>
      <c r="G8" s="394" t="s">
        <v>63</v>
      </c>
      <c r="H8" s="394" t="s">
        <v>56</v>
      </c>
      <c r="I8" s="394" t="s">
        <v>83</v>
      </c>
      <c r="J8" s="179" t="s">
        <v>82</v>
      </c>
    </row>
    <row r="9" spans="1:10" ht="99.75" customHeight="1" x14ac:dyDescent="0.25">
      <c r="A9" s="643" t="s">
        <v>0</v>
      </c>
      <c r="B9" s="648">
        <v>46181</v>
      </c>
      <c r="C9" s="90" t="s">
        <v>5</v>
      </c>
      <c r="D9" s="243"/>
      <c r="E9" s="286"/>
      <c r="F9" s="286"/>
      <c r="G9" s="286"/>
      <c r="H9" s="286"/>
      <c r="I9" s="286"/>
      <c r="J9" s="287"/>
    </row>
    <row r="10" spans="1:10" ht="99.75" customHeight="1" x14ac:dyDescent="0.25">
      <c r="A10" s="644"/>
      <c r="B10" s="619"/>
      <c r="C10" s="91" t="s">
        <v>6</v>
      </c>
      <c r="D10" s="239"/>
      <c r="E10" s="240"/>
      <c r="F10" s="240"/>
      <c r="G10" s="240"/>
      <c r="H10" s="240"/>
      <c r="I10" s="240"/>
      <c r="J10" s="288"/>
    </row>
    <row r="11" spans="1:10" ht="201.75" customHeight="1" x14ac:dyDescent="0.25">
      <c r="A11" s="644"/>
      <c r="B11" s="619"/>
      <c r="C11" s="91" t="s">
        <v>7</v>
      </c>
      <c r="D11" s="450"/>
      <c r="E11" s="237"/>
      <c r="F11" s="147"/>
      <c r="G11" s="451"/>
      <c r="H11" s="237"/>
      <c r="I11" s="237"/>
      <c r="J11" s="242"/>
    </row>
    <row r="12" spans="1:10" ht="27.75" x14ac:dyDescent="0.25">
      <c r="A12" s="644"/>
      <c r="B12" s="619"/>
      <c r="C12" s="91" t="s">
        <v>8</v>
      </c>
      <c r="D12" s="450"/>
      <c r="E12" s="237"/>
      <c r="F12" s="147"/>
      <c r="G12" s="451"/>
      <c r="H12" s="237"/>
      <c r="I12" s="237"/>
      <c r="J12" s="242"/>
    </row>
    <row r="13" spans="1:10" ht="84" customHeight="1" thickBot="1" x14ac:dyDescent="0.3">
      <c r="A13" s="644"/>
      <c r="B13" s="619"/>
      <c r="C13" s="92" t="s">
        <v>10</v>
      </c>
      <c r="D13" s="391"/>
      <c r="E13" s="392"/>
      <c r="F13" s="392"/>
      <c r="G13" s="392"/>
      <c r="H13" s="392"/>
      <c r="I13" s="392"/>
      <c r="J13" s="393"/>
    </row>
    <row r="14" spans="1:10" ht="99" customHeight="1" x14ac:dyDescent="0.25">
      <c r="A14" s="643" t="s">
        <v>1</v>
      </c>
      <c r="B14" s="621">
        <f>B9+1</f>
        <v>46182</v>
      </c>
      <c r="C14" s="90" t="s">
        <v>5</v>
      </c>
      <c r="D14" s="289"/>
      <c r="E14" s="205"/>
      <c r="F14" s="205"/>
      <c r="G14" s="205"/>
      <c r="H14" s="205"/>
      <c r="I14" s="205"/>
      <c r="J14" s="197"/>
    </row>
    <row r="15" spans="1:10" ht="99" customHeight="1" x14ac:dyDescent="0.25">
      <c r="A15" s="644"/>
      <c r="B15" s="619"/>
      <c r="C15" s="91" t="s">
        <v>6</v>
      </c>
      <c r="D15" s="255"/>
      <c r="E15" s="427"/>
      <c r="F15" s="237"/>
      <c r="G15" s="237"/>
      <c r="H15" s="237"/>
      <c r="I15" s="237"/>
      <c r="J15" s="242"/>
    </row>
    <row r="16" spans="1:10" ht="123.75" customHeight="1" x14ac:dyDescent="0.25">
      <c r="A16" s="644"/>
      <c r="B16" s="619"/>
      <c r="C16" s="91" t="s">
        <v>7</v>
      </c>
      <c r="D16" s="450"/>
      <c r="E16" s="237"/>
      <c r="F16" s="147"/>
      <c r="G16" s="451"/>
      <c r="H16" s="451"/>
      <c r="I16" s="237"/>
      <c r="J16" s="452"/>
    </row>
    <row r="17" spans="1:11" ht="123.75" customHeight="1" x14ac:dyDescent="0.25">
      <c r="A17" s="644"/>
      <c r="B17" s="619"/>
      <c r="C17" s="91" t="s">
        <v>8</v>
      </c>
      <c r="D17" s="432"/>
      <c r="E17" s="433"/>
      <c r="F17" s="433"/>
      <c r="G17" s="433"/>
      <c r="H17" s="433"/>
      <c r="I17" s="433"/>
      <c r="J17" s="434"/>
    </row>
    <row r="18" spans="1:11" ht="99" customHeight="1" thickBot="1" x14ac:dyDescent="0.3">
      <c r="A18" s="645"/>
      <c r="B18" s="619"/>
      <c r="C18" s="92" t="s">
        <v>10</v>
      </c>
      <c r="D18" s="384"/>
      <c r="E18" s="154"/>
      <c r="F18" s="154"/>
      <c r="G18" s="195"/>
      <c r="H18" s="154"/>
      <c r="I18" s="195"/>
      <c r="J18" s="155"/>
      <c r="K18" s="2"/>
    </row>
    <row r="19" spans="1:11" ht="100.5" customHeight="1" x14ac:dyDescent="0.25">
      <c r="A19" s="657" t="s">
        <v>2</v>
      </c>
      <c r="B19" s="626">
        <f>B14+1</f>
        <v>46183</v>
      </c>
      <c r="C19" s="57" t="s">
        <v>5</v>
      </c>
      <c r="D19" s="430"/>
      <c r="E19" s="186"/>
      <c r="F19" s="186"/>
      <c r="G19" s="186"/>
      <c r="H19" s="238"/>
      <c r="I19" s="186"/>
      <c r="J19" s="187"/>
    </row>
    <row r="20" spans="1:11" ht="111.75" customHeight="1" x14ac:dyDescent="0.25">
      <c r="A20" s="661"/>
      <c r="B20" s="624"/>
      <c r="C20" s="58" t="s">
        <v>6</v>
      </c>
      <c r="D20" s="450"/>
      <c r="E20" s="147"/>
      <c r="F20" s="147"/>
      <c r="G20" s="147"/>
      <c r="H20" s="237"/>
      <c r="I20" s="451"/>
      <c r="J20" s="452"/>
    </row>
    <row r="21" spans="1:11" ht="126.75" customHeight="1" x14ac:dyDescent="0.25">
      <c r="A21" s="661"/>
      <c r="B21" s="624"/>
      <c r="C21" s="58" t="s">
        <v>7</v>
      </c>
      <c r="D21" s="152"/>
      <c r="E21" s="451"/>
      <c r="F21" s="451"/>
      <c r="G21" s="147"/>
      <c r="H21" s="451"/>
      <c r="I21" s="451"/>
      <c r="J21" s="452"/>
      <c r="K21" s="2"/>
    </row>
    <row r="22" spans="1:11" ht="126.75" customHeight="1" x14ac:dyDescent="0.25">
      <c r="A22" s="661"/>
      <c r="B22" s="624"/>
      <c r="C22" s="58" t="s">
        <v>8</v>
      </c>
      <c r="D22" s="152"/>
      <c r="E22" s="147"/>
      <c r="F22" s="147"/>
      <c r="G22" s="147"/>
      <c r="H22" s="184"/>
      <c r="I22" s="451"/>
      <c r="J22" s="452"/>
    </row>
    <row r="23" spans="1:11" ht="75" customHeight="1" thickBot="1" x14ac:dyDescent="0.3">
      <c r="A23" s="662"/>
      <c r="B23" s="624"/>
      <c r="C23" s="59" t="s">
        <v>10</v>
      </c>
      <c r="D23" s="153"/>
      <c r="E23" s="154"/>
      <c r="F23" s="195"/>
      <c r="G23" s="154"/>
      <c r="H23" s="154"/>
      <c r="I23" s="195"/>
      <c r="J23" s="155"/>
    </row>
    <row r="24" spans="1:11" ht="142.5" customHeight="1" x14ac:dyDescent="0.25">
      <c r="A24" s="657" t="s">
        <v>3</v>
      </c>
      <c r="B24" s="626">
        <f>B19+1</f>
        <v>46184</v>
      </c>
      <c r="C24" s="57" t="s">
        <v>5</v>
      </c>
      <c r="D24" s="196"/>
      <c r="E24" s="205"/>
      <c r="F24" s="183"/>
      <c r="G24" s="205"/>
      <c r="H24" s="205"/>
      <c r="I24" s="205"/>
      <c r="J24" s="383"/>
    </row>
    <row r="25" spans="1:11" ht="27.75" x14ac:dyDescent="0.25">
      <c r="A25" s="658"/>
      <c r="B25" s="624"/>
      <c r="C25" s="58" t="s">
        <v>6</v>
      </c>
      <c r="D25" s="450"/>
      <c r="E25" s="147"/>
      <c r="F25" s="147"/>
      <c r="G25" s="147"/>
      <c r="H25" s="147"/>
      <c r="I25" s="451"/>
      <c r="J25" s="242"/>
    </row>
    <row r="26" spans="1:11" ht="27.75" x14ac:dyDescent="0.25">
      <c r="A26" s="658"/>
      <c r="B26" s="624"/>
      <c r="C26" s="58" t="s">
        <v>7</v>
      </c>
      <c r="D26" s="152"/>
      <c r="E26" s="147"/>
      <c r="F26" s="147"/>
      <c r="G26" s="451"/>
      <c r="H26" s="184"/>
      <c r="I26" s="147"/>
      <c r="J26" s="148"/>
    </row>
    <row r="27" spans="1:11" ht="27.75" x14ac:dyDescent="0.25">
      <c r="A27" s="658"/>
      <c r="B27" s="624"/>
      <c r="C27" s="58" t="s">
        <v>8</v>
      </c>
      <c r="D27" s="152"/>
      <c r="E27" s="147"/>
      <c r="F27" s="147"/>
      <c r="G27" s="451"/>
      <c r="H27" s="147"/>
      <c r="I27" s="147"/>
      <c r="J27" s="148"/>
    </row>
    <row r="28" spans="1:11" ht="108" customHeight="1" thickBot="1" x14ac:dyDescent="0.3">
      <c r="A28" s="659"/>
      <c r="B28" s="624"/>
      <c r="C28" s="59" t="s">
        <v>10</v>
      </c>
      <c r="D28" s="428"/>
      <c r="E28" s="429"/>
      <c r="F28" s="194"/>
      <c r="G28" s="212"/>
      <c r="H28" s="199"/>
      <c r="I28" s="212"/>
      <c r="J28" s="308"/>
    </row>
    <row r="29" spans="1:11" ht="52.5" customHeight="1" x14ac:dyDescent="0.25">
      <c r="A29" s="657" t="s">
        <v>4</v>
      </c>
      <c r="B29" s="626">
        <f>B24+1</f>
        <v>46185</v>
      </c>
      <c r="C29" s="67" t="s">
        <v>5</v>
      </c>
      <c r="D29" s="196"/>
      <c r="E29" s="236"/>
      <c r="F29" s="183"/>
      <c r="G29" s="205"/>
      <c r="H29" s="236"/>
      <c r="I29" s="236"/>
      <c r="J29" s="197"/>
    </row>
    <row r="30" spans="1:11" ht="52.5" customHeight="1" x14ac:dyDescent="0.25">
      <c r="A30" s="661"/>
      <c r="B30" s="624"/>
      <c r="C30" s="68" t="s">
        <v>6</v>
      </c>
      <c r="D30" s="152"/>
      <c r="E30" s="237"/>
      <c r="F30" s="147"/>
      <c r="G30" s="147"/>
      <c r="H30" s="237"/>
      <c r="I30" s="237"/>
      <c r="J30" s="148"/>
    </row>
    <row r="31" spans="1:11" ht="52.5" customHeight="1" x14ac:dyDescent="0.25">
      <c r="A31" s="661"/>
      <c r="B31" s="624"/>
      <c r="C31" s="68" t="s">
        <v>7</v>
      </c>
      <c r="D31" s="450"/>
      <c r="E31" s="147"/>
      <c r="F31" s="147"/>
      <c r="G31" s="451"/>
      <c r="H31" s="147"/>
      <c r="I31" s="147"/>
      <c r="J31" s="288"/>
    </row>
    <row r="32" spans="1:11" ht="52.5" customHeight="1" x14ac:dyDescent="0.25">
      <c r="A32" s="661"/>
      <c r="B32" s="624"/>
      <c r="C32" s="68" t="s">
        <v>8</v>
      </c>
      <c r="D32" s="450"/>
      <c r="E32" s="147"/>
      <c r="F32" s="147"/>
      <c r="G32" s="147"/>
      <c r="H32" s="147"/>
      <c r="I32" s="240"/>
      <c r="J32" s="190"/>
    </row>
    <row r="33" spans="1:10" ht="52.5" customHeight="1" thickBot="1" x14ac:dyDescent="0.3">
      <c r="A33" s="662"/>
      <c r="B33" s="624"/>
      <c r="C33" s="69" t="s">
        <v>10</v>
      </c>
      <c r="D33" s="153"/>
      <c r="E33" s="154"/>
      <c r="F33" s="154"/>
      <c r="G33" s="154"/>
      <c r="H33" s="154"/>
      <c r="I33" s="154"/>
      <c r="J33" s="188"/>
    </row>
    <row r="34" spans="1:10" ht="52.5" customHeight="1" x14ac:dyDescent="0.25">
      <c r="A34" s="627" t="s">
        <v>12</v>
      </c>
      <c r="B34" s="626">
        <f>B29+1</f>
        <v>46186</v>
      </c>
      <c r="C34" s="67" t="s">
        <v>5</v>
      </c>
      <c r="D34" s="162"/>
      <c r="E34" s="163"/>
      <c r="F34" s="163"/>
      <c r="G34" s="163"/>
      <c r="H34" s="163"/>
      <c r="I34" s="163"/>
      <c r="J34" s="187"/>
    </row>
    <row r="35" spans="1:10" ht="52.5" customHeight="1" x14ac:dyDescent="0.25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148"/>
    </row>
    <row r="36" spans="1:10" ht="52.5" customHeight="1" x14ac:dyDescent="0.25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0" ht="52.5" customHeight="1" x14ac:dyDescent="0.25">
      <c r="A37" s="624"/>
      <c r="B37" s="624"/>
      <c r="C37" s="68" t="s">
        <v>8</v>
      </c>
      <c r="D37" s="29"/>
      <c r="E37" s="30"/>
      <c r="F37" s="30"/>
      <c r="G37" s="121"/>
      <c r="H37" s="30"/>
      <c r="I37" s="121"/>
      <c r="J37" s="38"/>
    </row>
    <row r="38" spans="1:10" ht="52.5" customHeight="1" thickBot="1" x14ac:dyDescent="0.3">
      <c r="A38" s="660"/>
      <c r="B38" s="660"/>
      <c r="C38" s="69" t="s">
        <v>10</v>
      </c>
      <c r="D38" s="180"/>
      <c r="E38" s="81"/>
      <c r="F38" s="81"/>
      <c r="G38" s="32"/>
      <c r="H38" s="32"/>
      <c r="I38" s="81"/>
      <c r="J38" s="158"/>
    </row>
    <row r="39" spans="1:10" ht="27.75" x14ac:dyDescent="0.25">
      <c r="A39" s="1"/>
      <c r="B39" s="1"/>
      <c r="C39" s="1"/>
      <c r="D39" s="136" t="s">
        <v>51</v>
      </c>
      <c r="E39" s="1"/>
      <c r="F39" s="1"/>
      <c r="G39" s="1"/>
      <c r="H39" s="1"/>
      <c r="I39" s="1"/>
    </row>
    <row r="40" spans="1:10" ht="28.5" customHeight="1" x14ac:dyDescent="0.4">
      <c r="A40" s="1"/>
      <c r="B40" s="60"/>
      <c r="C40" s="256" t="str">
        <f>'01.09'!C40</f>
        <v>*Л. Основы медицинских знаний и спортивная медицина*</v>
      </c>
      <c r="D40" s="66">
        <f>'28.12'!D40+COUNTIF(D$9:D$38,$C40)</f>
        <v>8</v>
      </c>
      <c r="E40" s="66">
        <f>'28.12'!E40+COUNTIF(E$9:E$38,$C40)</f>
        <v>8</v>
      </c>
      <c r="F40" s="66">
        <f>'28.12'!F40+COUNTIF(F$9:F$38,$C40)</f>
        <v>8</v>
      </c>
      <c r="G40" s="66">
        <f>'28.12'!G40+COUNTIF(G$9:G$38,$C40)</f>
        <v>8</v>
      </c>
      <c r="H40" s="66">
        <f>'28.12'!H40+COUNTIF(H$9:H$38,$C40)</f>
        <v>8</v>
      </c>
      <c r="I40" s="66">
        <f>'28.12'!I40+COUNTIF(I$9:I$38,$C40)</f>
        <v>8</v>
      </c>
      <c r="J40" s="66">
        <f>'28.12'!J40+COUNTIF(J$9:J$38,$C40)</f>
        <v>8</v>
      </c>
    </row>
    <row r="41" spans="1:10" ht="28.5" customHeight="1" x14ac:dyDescent="0.4">
      <c r="A41" s="1"/>
      <c r="B41" s="60"/>
      <c r="C41" s="256" t="str">
        <f>'01.09'!C41</f>
        <v>*Пр. Основы медицинских знаний и спортивная медицина*</v>
      </c>
      <c r="D41" s="66">
        <f>'28.12'!D41+COUNTIF(D$9:D$38,$C41)</f>
        <v>14</v>
      </c>
      <c r="E41" s="66">
        <f>'28.12'!E41+COUNTIF(E$9:E$38,$C41)</f>
        <v>14</v>
      </c>
      <c r="F41" s="66">
        <f>'28.12'!F41+COUNTIF(F$9:F$38,$C41)</f>
        <v>13</v>
      </c>
      <c r="G41" s="66">
        <f>'28.12'!G41+COUNTIF(G$9:G$38,$C41)</f>
        <v>9</v>
      </c>
      <c r="H41" s="66">
        <f>'28.12'!H41+COUNTIF(H$9:H$38,$C41)</f>
        <v>14</v>
      </c>
      <c r="I41" s="66">
        <f>'28.12'!I41+COUNTIF(I$9:I$38,$C41)</f>
        <v>13</v>
      </c>
      <c r="J41" s="66">
        <f>'28.12'!J41+COUNTIF(J$9:J$38,$C41)</f>
        <v>13</v>
      </c>
    </row>
    <row r="42" spans="1:10" ht="28.5" customHeight="1" x14ac:dyDescent="0.4">
      <c r="A42" s="1"/>
      <c r="B42" s="60"/>
      <c r="C42" s="256" t="str">
        <f>'01.09'!C42</f>
        <v>*Л. Массаж*</v>
      </c>
      <c r="D42" s="66">
        <f>'28.12'!D42+COUNTIF(D$9:D$38,$C42)</f>
        <v>5</v>
      </c>
      <c r="E42" s="66">
        <f>'28.12'!E42+COUNTIF(E$9:E$38,$C42)</f>
        <v>5</v>
      </c>
      <c r="F42" s="66">
        <f>'28.12'!F42+COUNTIF(F$9:F$38,$C42)</f>
        <v>5</v>
      </c>
      <c r="G42" s="66">
        <f>'28.12'!G42+COUNTIF(G$9:G$38,$C42)</f>
        <v>5</v>
      </c>
      <c r="H42" s="66">
        <f>'28.12'!H42+COUNTIF(H$9:H$38,$C42)</f>
        <v>5</v>
      </c>
      <c r="I42" s="66">
        <f>'28.12'!I42+COUNTIF(I$9:I$38,$C42)</f>
        <v>5</v>
      </c>
      <c r="J42" s="66">
        <f>'28.12'!J42+COUNTIF(J$9:J$38,$C42)</f>
        <v>5</v>
      </c>
    </row>
    <row r="43" spans="1:10" ht="28.5" customHeight="1" x14ac:dyDescent="0.4">
      <c r="A43" s="1"/>
      <c r="B43" s="60"/>
      <c r="C43" s="256" t="str">
        <f>'01.09'!C43</f>
        <v>*Пр. Массаж*</v>
      </c>
      <c r="D43" s="66">
        <f>'28.12'!D43+COUNTIF(D$9:D$38,$C43)</f>
        <v>13</v>
      </c>
      <c r="E43" s="66">
        <f>'28.12'!E43+COUNTIF(E$9:E$38,$C43)</f>
        <v>13</v>
      </c>
      <c r="F43" s="66">
        <f>'28.12'!F43+COUNTIF(F$9:F$38,$C43)</f>
        <v>13</v>
      </c>
      <c r="G43" s="66">
        <f>'28.12'!G43+COUNTIF(G$9:G$38,$C43)</f>
        <v>14</v>
      </c>
      <c r="H43" s="66">
        <f>'28.12'!H43+COUNTIF(H$9:H$38,$C43)</f>
        <v>14</v>
      </c>
      <c r="I43" s="66">
        <f>'28.12'!I43+COUNTIF(I$9:I$38,$C43)</f>
        <v>14</v>
      </c>
      <c r="J43" s="66">
        <f>'28.12'!J43+COUNTIF(J$9:J$38,$C43)</f>
        <v>14</v>
      </c>
    </row>
    <row r="44" spans="1:10" ht="28.5" customHeight="1" x14ac:dyDescent="0.4">
      <c r="A44" s="1"/>
      <c r="B44" s="60"/>
      <c r="C44" s="256" t="str">
        <f>'01.09'!C44</f>
        <v>*Л. Правовые основы профессиональной деятельности*</v>
      </c>
      <c r="D44" s="66">
        <f>'28.12'!D44+COUNTIF(D$9:D$38,$C44)</f>
        <v>5</v>
      </c>
      <c r="E44" s="66">
        <f>'28.12'!E44+COUNTIF(E$9:E$38,$C44)</f>
        <v>5</v>
      </c>
      <c r="F44" s="66">
        <f>'28.12'!F44+COUNTIF(F$9:F$38,$C44)</f>
        <v>5</v>
      </c>
      <c r="G44" s="66">
        <f>'28.12'!G44+COUNTIF(G$9:G$38,$C44)</f>
        <v>5</v>
      </c>
      <c r="H44" s="66">
        <f>'28.12'!H44+COUNTIF(H$9:H$38,$C44)</f>
        <v>5</v>
      </c>
      <c r="I44" s="66">
        <f>'28.12'!I44+COUNTIF(I$9:I$38,$C44)</f>
        <v>5</v>
      </c>
      <c r="J44" s="66">
        <f>'28.12'!J44+COUNTIF(J$9:J$38,$C44)</f>
        <v>5</v>
      </c>
    </row>
    <row r="45" spans="1:10" ht="28.5" customHeight="1" x14ac:dyDescent="0.4">
      <c r="A45" s="1"/>
      <c r="B45" s="60"/>
      <c r="C45" s="256" t="str">
        <f>'01.09'!C45</f>
        <v>*Пр. Правовые основы профессиональной деятельности*</v>
      </c>
      <c r="D45" s="66">
        <f>'28.12'!D45+COUNTIF(D$9:D$38,$C45)</f>
        <v>7</v>
      </c>
      <c r="E45" s="66">
        <f>'28.12'!E45+COUNTIF(E$9:E$38,$C45)</f>
        <v>8</v>
      </c>
      <c r="F45" s="66">
        <f>'28.12'!F45+COUNTIF(F$9:F$38,$C45)</f>
        <v>7</v>
      </c>
      <c r="G45" s="66">
        <f>'28.12'!G45+COUNTIF(G$9:G$38,$C45)</f>
        <v>7</v>
      </c>
      <c r="H45" s="66">
        <f>'28.12'!H45+COUNTIF(H$9:H$38,$C45)</f>
        <v>7</v>
      </c>
      <c r="I45" s="66">
        <f>'28.12'!I45+COUNTIF(I$9:I$38,$C45)</f>
        <v>6</v>
      </c>
      <c r="J45" s="66">
        <f>'28.12'!J45+COUNTIF(J$9:J$38,$C45)</f>
        <v>7</v>
      </c>
    </row>
    <row r="46" spans="1:10" ht="28.5" customHeight="1" x14ac:dyDescent="0.4">
      <c r="A46" s="1"/>
      <c r="B46" s="60"/>
      <c r="C46" s="256" t="str">
        <f>'01.09'!C46</f>
        <v>*Л. Теория и методика*</v>
      </c>
      <c r="D46" s="66">
        <f>'28.12'!D46+COUNTIF(D$9:D$38,$C46)</f>
        <v>4</v>
      </c>
      <c r="E46" s="66">
        <f>'28.12'!E46+COUNTIF(E$9:E$38,$C46)</f>
        <v>4</v>
      </c>
      <c r="F46" s="66">
        <f>'28.12'!F46+COUNTIF(F$9:F$38,$C46)</f>
        <v>4</v>
      </c>
      <c r="G46" s="66">
        <f>'28.12'!G46+COUNTIF(G$9:G$38,$C46)</f>
        <v>4</v>
      </c>
      <c r="H46" s="66">
        <f>'28.12'!H46+COUNTIF(H$9:H$38,$C46)</f>
        <v>4</v>
      </c>
      <c r="I46" s="66">
        <f>'28.12'!I46+COUNTIF(I$9:I$38,$C46)</f>
        <v>4</v>
      </c>
      <c r="J46" s="66">
        <f>'28.12'!J46+COUNTIF(J$9:J$38,$C46)</f>
        <v>4</v>
      </c>
    </row>
    <row r="47" spans="1:10" ht="28.5" customHeight="1" x14ac:dyDescent="0.4">
      <c r="A47" s="1"/>
      <c r="B47" s="60"/>
      <c r="C47" s="256" t="str">
        <f>'01.09'!C47</f>
        <v>*Пр. Теория и методика*</v>
      </c>
      <c r="D47" s="66">
        <f>'28.12'!D47+COUNTIF(D$9:D$38,$C47)</f>
        <v>30</v>
      </c>
      <c r="E47" s="66">
        <f>'28.12'!E47+COUNTIF(E$9:E$38,$C47)</f>
        <v>30</v>
      </c>
      <c r="F47" s="66">
        <f>'28.12'!F47+COUNTIF(F$9:F$38,$C47)</f>
        <v>31</v>
      </c>
      <c r="G47" s="66">
        <f>'28.12'!G47+COUNTIF(G$9:G$38,$C47)</f>
        <v>35</v>
      </c>
      <c r="H47" s="66">
        <f>'28.12'!H47+COUNTIF(H$9:H$38,$C47)</f>
        <v>35</v>
      </c>
      <c r="I47" s="66">
        <f>'28.12'!I47+COUNTIF(I$9:I$38,$C47)</f>
        <v>37</v>
      </c>
      <c r="J47" s="66">
        <f>'28.12'!J47+COUNTIF(J$9:J$38,$C47)</f>
        <v>37</v>
      </c>
    </row>
    <row r="48" spans="1:10" ht="28.5" customHeight="1" x14ac:dyDescent="0.4">
      <c r="A48" s="1"/>
      <c r="B48" s="60"/>
      <c r="C48" s="256" t="str">
        <f>'01.09'!C48</f>
        <v>*Л. Спортивная метрология*</v>
      </c>
      <c r="D48" s="66">
        <f>'28.12'!D48+COUNTIF(D$9:D$38,$C48)</f>
        <v>5</v>
      </c>
      <c r="E48" s="66">
        <f>'28.12'!E48+COUNTIF(E$9:E$38,$C48)</f>
        <v>5</v>
      </c>
      <c r="F48" s="66">
        <f>'28.12'!F48+COUNTIF(F$9:F$38,$C48)</f>
        <v>5</v>
      </c>
      <c r="G48" s="66">
        <f>'28.12'!G48+COUNTIF(G$9:G$38,$C48)</f>
        <v>5</v>
      </c>
      <c r="H48" s="66">
        <f>'28.12'!H48+COUNTIF(H$9:H$38,$C48)</f>
        <v>5</v>
      </c>
      <c r="I48" s="66">
        <f>'28.12'!I48+COUNTIF(I$9:I$38,$C48)</f>
        <v>5</v>
      </c>
      <c r="J48" s="66">
        <f>'28.12'!J48+COUNTIF(J$9:J$38,$C48)</f>
        <v>5</v>
      </c>
    </row>
    <row r="49" spans="1:10" ht="28.5" customHeight="1" x14ac:dyDescent="0.4">
      <c r="A49" s="1"/>
      <c r="B49" s="60"/>
      <c r="C49" s="256" t="str">
        <f>'01.09'!C49</f>
        <v>*Пр. Спортивная метрология*</v>
      </c>
      <c r="D49" s="66">
        <f>'28.12'!D49+COUNTIF(D$9:D$38,$C49)</f>
        <v>7</v>
      </c>
      <c r="E49" s="66">
        <f>'28.12'!E49+COUNTIF(E$9:E$38,$C49)</f>
        <v>7</v>
      </c>
      <c r="F49" s="66">
        <f>'28.12'!F49+COUNTIF(F$9:F$38,$C49)</f>
        <v>7</v>
      </c>
      <c r="G49" s="66">
        <f>'28.12'!G49+COUNTIF(G$9:G$38,$C49)</f>
        <v>7</v>
      </c>
      <c r="H49" s="66">
        <f>'28.12'!H49+COUNTIF(H$9:H$38,$C49)</f>
        <v>7</v>
      </c>
      <c r="I49" s="66">
        <f>'28.12'!I49+COUNTIF(I$9:I$38,$C49)</f>
        <v>7</v>
      </c>
      <c r="J49" s="66">
        <f>'28.12'!J49+COUNTIF(J$9:J$38,$C49)</f>
        <v>7</v>
      </c>
    </row>
    <row r="50" spans="1:10" ht="28.5" customHeight="1" x14ac:dyDescent="0.4">
      <c r="A50" s="1"/>
      <c r="B50" s="60"/>
      <c r="C50" s="256" t="str">
        <f>'01.09'!C50</f>
        <v>*Л.  Теория и методика циклических и сложнокоординационных*</v>
      </c>
      <c r="D50" s="66">
        <f>'28.12'!D50+COUNTIF(D$9:D$38,$C50)</f>
        <v>0</v>
      </c>
      <c r="E50" s="66">
        <f>'28.12'!E50+COUNTIF(E$9:E$38,$C50)</f>
        <v>0</v>
      </c>
      <c r="F50" s="66">
        <f>'28.12'!F50+COUNTIF(F$9:F$38,$C50)</f>
        <v>0</v>
      </c>
      <c r="G50" s="66">
        <f>'28.12'!G50+COUNTIF(G$9:G$38,$C50)</f>
        <v>0</v>
      </c>
      <c r="H50" s="66">
        <f>'28.12'!H50+COUNTIF(H$9:H$38,$C50)</f>
        <v>4</v>
      </c>
      <c r="I50" s="66">
        <f>'28.12'!I50+COUNTIF(I$9:I$38,$C50)</f>
        <v>0</v>
      </c>
      <c r="J50" s="66">
        <f>'28.12'!J50+COUNTIF(J$9:J$38,$C50)</f>
        <v>0</v>
      </c>
    </row>
    <row r="51" spans="1:10" ht="28.5" customHeight="1" x14ac:dyDescent="0.4">
      <c r="A51" s="1"/>
      <c r="B51" s="60"/>
      <c r="C51" s="256" t="str">
        <f>'01.09'!C51</f>
        <v>*Пр.  Теория и методика циклических и сложнокоординационных*</v>
      </c>
      <c r="D51" s="66">
        <f>'28.12'!D51+COUNTIF(D$9:D$38,$C51)</f>
        <v>0</v>
      </c>
      <c r="E51" s="66">
        <f>'28.12'!E51+COUNTIF(E$9:E$38,$C51)</f>
        <v>0</v>
      </c>
      <c r="F51" s="66">
        <f>'28.12'!F51+COUNTIF(F$9:F$38,$C51)</f>
        <v>0</v>
      </c>
      <c r="G51" s="66">
        <f>'28.12'!G51+COUNTIF(G$9:G$38,$C51)</f>
        <v>0</v>
      </c>
      <c r="H51" s="66">
        <f>'28.12'!H51+COUNTIF(H$9:H$38,$C51)</f>
        <v>39</v>
      </c>
      <c r="I51" s="66">
        <f>'28.12'!I51+COUNTIF(I$9:I$38,$C51)</f>
        <v>0</v>
      </c>
      <c r="J51" s="66">
        <f>'28.12'!J51+COUNTIF(J$9:J$38,$C51)</f>
        <v>0</v>
      </c>
    </row>
    <row r="52" spans="1:10" ht="28.5" customHeight="1" x14ac:dyDescent="0.4">
      <c r="A52" s="1"/>
      <c r="B52" s="60"/>
      <c r="C52" s="256">
        <f>'01.09'!C52</f>
        <v>0</v>
      </c>
      <c r="D52" s="66">
        <f>'28.12'!D52+COUNTIF(D$9:D$38,$C52)</f>
        <v>0</v>
      </c>
      <c r="E52" s="66">
        <f>'28.12'!E52+COUNTIF(E$9:E$38,$C52)</f>
        <v>0</v>
      </c>
      <c r="F52" s="66">
        <f>'28.12'!F52+COUNTIF(F$9:F$38,$C52)</f>
        <v>0</v>
      </c>
      <c r="G52" s="66">
        <f>'28.12'!G52+COUNTIF(G$9:G$38,$C52)</f>
        <v>0</v>
      </c>
      <c r="H52" s="66">
        <f>'28.12'!H52+COUNTIF(H$9:H$38,$C52)</f>
        <v>0</v>
      </c>
      <c r="I52" s="66">
        <f>'28.12'!I52+COUNTIF(I$9:I$38,$C52)</f>
        <v>0</v>
      </c>
      <c r="J52" s="66">
        <f>'28.12'!J52+COUNTIF(J$9:J$38,$C52)</f>
        <v>0</v>
      </c>
    </row>
    <row r="53" spans="1:10" ht="28.5" customHeight="1" x14ac:dyDescent="0.4">
      <c r="A53" s="1"/>
      <c r="B53" s="60"/>
      <c r="C53" s="256">
        <f>'01.09'!C53</f>
        <v>0</v>
      </c>
      <c r="D53" s="66">
        <f>'28.12'!D53+COUNTIF(D$9:D$38,$C53)</f>
        <v>0</v>
      </c>
      <c r="E53" s="66">
        <f>'28.12'!E53+COUNTIF(E$9:E$38,$C53)</f>
        <v>0</v>
      </c>
      <c r="F53" s="66">
        <f>'28.12'!F53+COUNTIF(F$9:F$38,$C53)</f>
        <v>0</v>
      </c>
      <c r="G53" s="66">
        <f>'28.12'!G53+COUNTIF(G$9:G$38,$C53)</f>
        <v>0</v>
      </c>
      <c r="H53" s="66">
        <f>'28.12'!H53+COUNTIF(H$9:H$38,$C53)</f>
        <v>0</v>
      </c>
      <c r="I53" s="66">
        <f>'28.12'!I53+COUNTIF(I$9:I$38,$C53)</f>
        <v>0</v>
      </c>
      <c r="J53" s="66">
        <f>'28.12'!J53+COUNTIF(J$9:J$38,$C53)</f>
        <v>0</v>
      </c>
    </row>
    <row r="54" spans="1:10" ht="28.5" customHeight="1" x14ac:dyDescent="0.4">
      <c r="A54" s="1"/>
      <c r="B54" s="60"/>
      <c r="C54" s="256">
        <f>'01.09'!C54</f>
        <v>0</v>
      </c>
      <c r="D54" s="66">
        <f>'28.12'!D54+COUNTIF(D$9:D$38,$C54)</f>
        <v>0</v>
      </c>
      <c r="E54" s="66">
        <f>'28.12'!E54+COUNTIF(E$9:E$38,$C54)</f>
        <v>0</v>
      </c>
      <c r="F54" s="66">
        <f>'28.12'!F54+COUNTIF(F$9:F$38,$C54)</f>
        <v>0</v>
      </c>
      <c r="G54" s="66">
        <f>'28.12'!G54+COUNTIF(G$9:G$38,$C54)</f>
        <v>0</v>
      </c>
      <c r="H54" s="66">
        <f>'28.12'!H54+COUNTIF(H$9:H$38,$C54)</f>
        <v>0</v>
      </c>
      <c r="I54" s="66">
        <f>'28.12'!I54+COUNTIF(I$9:I$38,$C54)</f>
        <v>0</v>
      </c>
      <c r="J54" s="66">
        <f>'28.12'!J54+COUNTIF(J$9:J$38,$C54)</f>
        <v>0</v>
      </c>
    </row>
    <row r="55" spans="1:10" ht="28.5" customHeight="1" x14ac:dyDescent="0.4">
      <c r="A55" s="1"/>
      <c r="B55" s="60"/>
      <c r="C55" s="256">
        <f>'01.09'!C55</f>
        <v>0</v>
      </c>
      <c r="D55" s="66">
        <f>'28.12'!D55+COUNTIF(D$9:D$38,$C55)</f>
        <v>0</v>
      </c>
      <c r="E55" s="66">
        <f>'28.12'!E55+COUNTIF(E$9:E$38,$C55)</f>
        <v>0</v>
      </c>
      <c r="F55" s="66">
        <f>'28.12'!F55+COUNTIF(F$9:F$38,$C55)</f>
        <v>0</v>
      </c>
      <c r="G55" s="66">
        <f>'28.12'!G55+COUNTIF(G$9:G$38,$C55)</f>
        <v>0</v>
      </c>
      <c r="H55" s="66">
        <f>'28.12'!H55+COUNTIF(H$9:H$38,$C55)</f>
        <v>0</v>
      </c>
      <c r="I55" s="66">
        <f>'28.12'!I55+COUNTIF(I$9:I$38,$C55)</f>
        <v>0</v>
      </c>
      <c r="J55" s="66">
        <f>'28.12'!J55+COUNTIF(J$9:J$38,$C55)</f>
        <v>0</v>
      </c>
    </row>
    <row r="56" spans="1:10" ht="28.5" customHeight="1" x14ac:dyDescent="0.4">
      <c r="A56" s="1"/>
      <c r="B56" s="60"/>
      <c r="C56" s="256">
        <f>'01.09'!C56</f>
        <v>0</v>
      </c>
      <c r="D56" s="66">
        <f>'28.12'!D56+COUNTIF(D$9:D$38,$C56)</f>
        <v>0</v>
      </c>
      <c r="E56" s="66">
        <f>'28.12'!E56+COUNTIF(E$9:E$38,$C56)</f>
        <v>0</v>
      </c>
      <c r="F56" s="66">
        <f>'28.12'!F56+COUNTIF(F$9:F$38,$C56)</f>
        <v>0</v>
      </c>
      <c r="G56" s="66">
        <f>'28.12'!G56+COUNTIF(G$9:G$38,$C56)</f>
        <v>0</v>
      </c>
      <c r="H56" s="66">
        <f>'28.12'!H56+COUNTIF(H$9:H$38,$C56)</f>
        <v>0</v>
      </c>
      <c r="I56" s="66">
        <f>'28.12'!I56+COUNTIF(I$9:I$38,$C56)</f>
        <v>0</v>
      </c>
      <c r="J56" s="66">
        <f>'28.12'!J56+COUNTIF(J$9:J$38,$C56)</f>
        <v>0</v>
      </c>
    </row>
    <row r="57" spans="1:10" ht="28.5" customHeight="1" x14ac:dyDescent="0.4">
      <c r="A57" s="1"/>
      <c r="B57" s="60"/>
      <c r="C57" s="256">
        <f>'01.09'!C57</f>
        <v>0</v>
      </c>
      <c r="D57" s="66">
        <f>'28.12'!D57+COUNTIF(D$9:D$38,$C57)</f>
        <v>0</v>
      </c>
      <c r="E57" s="66">
        <f>'28.12'!E57+COUNTIF(E$9:E$38,$C57)</f>
        <v>0</v>
      </c>
      <c r="F57" s="66">
        <f>'28.12'!F57+COUNTIF(F$9:F$38,$C57)</f>
        <v>0</v>
      </c>
      <c r="G57" s="66">
        <f>'28.12'!G57+COUNTIF(G$9:G$38,$C57)</f>
        <v>0</v>
      </c>
      <c r="H57" s="66">
        <f>'28.12'!H57+COUNTIF(H$9:H$38,$C57)</f>
        <v>0</v>
      </c>
      <c r="I57" s="66">
        <f>'28.12'!I57+COUNTIF(I$9:I$38,$C57)</f>
        <v>0</v>
      </c>
      <c r="J57" s="66">
        <f>'28.12'!J57+COUNTIF(J$9:J$38,$C57)</f>
        <v>0</v>
      </c>
    </row>
    <row r="58" spans="1:10" ht="28.5" customHeight="1" x14ac:dyDescent="0.4">
      <c r="A58" s="1"/>
      <c r="B58" s="60"/>
      <c r="C58" s="256">
        <f>'01.09'!C58</f>
        <v>0</v>
      </c>
      <c r="D58" s="66">
        <f>'28.12'!D58+COUNTIF(D$9:D$38,$C58)</f>
        <v>0</v>
      </c>
      <c r="E58" s="66">
        <f>'28.12'!E58+COUNTIF(E$9:E$38,$C58)</f>
        <v>0</v>
      </c>
      <c r="F58" s="66">
        <f>'28.12'!F58+COUNTIF(F$9:F$38,$C58)</f>
        <v>0</v>
      </c>
      <c r="G58" s="66">
        <f>'28.12'!G58+COUNTIF(G$9:G$38,$C58)</f>
        <v>0</v>
      </c>
      <c r="H58" s="66">
        <f>'28.12'!H58+COUNTIF(H$9:H$38,$C58)</f>
        <v>0</v>
      </c>
      <c r="I58" s="66">
        <f>'28.12'!I58+COUNTIF(I$9:I$38,$C58)</f>
        <v>0</v>
      </c>
      <c r="J58" s="66">
        <f>'28.12'!J58+COUNTIF(J$9:J$38,$C58)</f>
        <v>0</v>
      </c>
    </row>
    <row r="59" spans="1:10" ht="28.5" customHeight="1" x14ac:dyDescent="0.4">
      <c r="A59" s="1"/>
      <c r="B59" s="138"/>
      <c r="C59" s="256">
        <f>'01.09'!C59</f>
        <v>0</v>
      </c>
      <c r="D59" s="66">
        <f>'28.12'!D59+COUNTIF(D$9:D$38,$C59)</f>
        <v>0</v>
      </c>
      <c r="E59" s="66">
        <f>'28.12'!E59+COUNTIF(E$9:E$38,$C59)</f>
        <v>0</v>
      </c>
      <c r="F59" s="66">
        <f>'28.12'!F59+COUNTIF(F$9:F$38,$C59)</f>
        <v>0</v>
      </c>
      <c r="G59" s="66">
        <f>'28.12'!G59+COUNTIF(G$9:G$38,$C59)</f>
        <v>0</v>
      </c>
      <c r="H59" s="66">
        <f>'28.12'!H59+COUNTIF(H$9:H$38,$C59)</f>
        <v>0</v>
      </c>
      <c r="I59" s="66">
        <f>'28.12'!I59+COUNTIF(I$9:I$38,$C59)</f>
        <v>0</v>
      </c>
      <c r="J59" s="66">
        <f>'28.12'!J59+COUNTIF(J$9:J$38,$C59)</f>
        <v>0</v>
      </c>
    </row>
    <row r="60" spans="1:10" ht="28.5" customHeight="1" x14ac:dyDescent="0.4">
      <c r="A60" s="1"/>
      <c r="B60" s="138"/>
      <c r="C60" s="256">
        <f>'01.09'!C60</f>
        <v>0</v>
      </c>
      <c r="D60" s="66">
        <f>'28.12'!D60+COUNTIF(D$9:D$38,$C60)</f>
        <v>0</v>
      </c>
      <c r="E60" s="66">
        <f>'28.12'!E60+COUNTIF(E$9:E$38,$C60)</f>
        <v>0</v>
      </c>
      <c r="F60" s="66">
        <f>'28.12'!F60+COUNTIF(F$9:F$38,$C60)</f>
        <v>0</v>
      </c>
      <c r="G60" s="66">
        <f>'28.12'!G60+COUNTIF(G$9:G$38,$C60)</f>
        <v>0</v>
      </c>
      <c r="H60" s="66">
        <f>'28.12'!H60+COUNTIF(H$9:H$38,$C60)</f>
        <v>0</v>
      </c>
      <c r="I60" s="66">
        <f>'28.12'!I60+COUNTIF(I$9:I$38,$C60)</f>
        <v>0</v>
      </c>
      <c r="J60" s="66">
        <f>'28.12'!J60+COUNTIF(J$9:J$38,$C60)</f>
        <v>0</v>
      </c>
    </row>
    <row r="61" spans="1:10" ht="28.5" customHeight="1" x14ac:dyDescent="0.4">
      <c r="A61" s="1"/>
      <c r="B61" s="60"/>
      <c r="C61" s="256">
        <f>'01.09'!C61</f>
        <v>0</v>
      </c>
      <c r="D61" s="66">
        <f>'28.12'!D61+COUNTIF(D$9:D$38,$C61)</f>
        <v>0</v>
      </c>
      <c r="E61" s="66">
        <f>'28.12'!E61+COUNTIF(E$9:E$38,$C61)</f>
        <v>0</v>
      </c>
      <c r="F61" s="66">
        <f>'28.12'!F61+COUNTIF(F$9:F$38,$C61)</f>
        <v>0</v>
      </c>
      <c r="G61" s="66">
        <f>'28.12'!G61+COUNTIF(G$9:G$38,$C61)</f>
        <v>0</v>
      </c>
      <c r="H61" s="66">
        <f>'28.12'!H61+COUNTIF(H$9:H$38,$C61)</f>
        <v>0</v>
      </c>
      <c r="I61" s="66">
        <f>'28.12'!I61+COUNTIF(I$9:I$38,$C61)</f>
        <v>0</v>
      </c>
      <c r="J61" s="66">
        <f>'28.12'!J61+COUNTIF(J$9:J$38,$C61)</f>
        <v>0</v>
      </c>
    </row>
    <row r="62" spans="1:10" ht="28.5" customHeight="1" x14ac:dyDescent="0.4">
      <c r="A62" s="1"/>
      <c r="B62" s="98"/>
      <c r="C62" s="256">
        <f>'01.09'!C62</f>
        <v>0</v>
      </c>
      <c r="D62" s="66">
        <f>'28.12'!D62+COUNTIF(D$9:D$38,$C62)</f>
        <v>0</v>
      </c>
      <c r="E62" s="66">
        <f>'28.12'!E62+COUNTIF(E$9:E$38,$C62)</f>
        <v>0</v>
      </c>
      <c r="F62" s="66">
        <f>'28.12'!F62+COUNTIF(F$9:F$38,$C62)</f>
        <v>0</v>
      </c>
      <c r="G62" s="66">
        <f>'28.12'!G62+COUNTIF(G$9:G$38,$C62)</f>
        <v>0</v>
      </c>
      <c r="H62" s="66">
        <f>'28.12'!H62+COUNTIF(H$9:H$38,$C62)</f>
        <v>0</v>
      </c>
      <c r="I62" s="66">
        <f>'28.12'!I62+COUNTIF(I$9:I$38,$C62)</f>
        <v>0</v>
      </c>
      <c r="J62" s="66">
        <f>'28.12'!J62+COUNTIF(J$9:J$38,$C62)</f>
        <v>0</v>
      </c>
    </row>
    <row r="63" spans="1:10" ht="26.25" x14ac:dyDescent="0.4">
      <c r="A63" s="1"/>
      <c r="B63" s="60"/>
      <c r="C63" s="256">
        <f>'01.09'!C63</f>
        <v>0</v>
      </c>
      <c r="D63" s="66">
        <f>'28.12'!D63+COUNTIF(D$9:D$38,$C63)</f>
        <v>0</v>
      </c>
      <c r="E63" s="66">
        <f>'28.12'!E63+COUNTIF(E$9:E$38,$C63)</f>
        <v>0</v>
      </c>
      <c r="F63" s="66">
        <f>'28.12'!F63+COUNTIF(F$9:F$38,$C63)</f>
        <v>0</v>
      </c>
      <c r="G63" s="66">
        <f>'28.12'!G63+COUNTIF(G$9:G$38,$C63)</f>
        <v>0</v>
      </c>
      <c r="H63" s="66">
        <f>'28.12'!H63+COUNTIF(H$9:H$38,$C63)</f>
        <v>0</v>
      </c>
      <c r="I63" s="66">
        <f>'28.12'!I63+COUNTIF(I$9:I$38,$C63)</f>
        <v>0</v>
      </c>
      <c r="J63" s="66">
        <f>'28.12'!J63+COUNTIF(J$9:J$38,$C63)</f>
        <v>0</v>
      </c>
    </row>
    <row r="64" spans="1:10" ht="26.25" x14ac:dyDescent="0.25">
      <c r="A64" s="1"/>
      <c r="B64" s="1"/>
      <c r="C64" s="256">
        <f>'01.09'!C64</f>
        <v>0</v>
      </c>
      <c r="D64" s="66">
        <f>'28.12'!D64+COUNTIF(D$9:D$38,$C64)</f>
        <v>0</v>
      </c>
      <c r="E64" s="66">
        <f>'28.12'!E64+COUNTIF(E$9:E$38,$C64)</f>
        <v>0</v>
      </c>
      <c r="F64" s="66">
        <f>'28.12'!F64+COUNTIF(F$9:F$38,$C64)</f>
        <v>0</v>
      </c>
      <c r="G64" s="66">
        <f>'28.12'!G64+COUNTIF(G$9:G$38,$C64)</f>
        <v>0</v>
      </c>
      <c r="H64" s="66">
        <f>'28.12'!H64+COUNTIF(H$9:H$38,$C64)</f>
        <v>0</v>
      </c>
      <c r="I64" s="66">
        <f>'28.12'!I64+COUNTIF(I$9:I$38,$C64)</f>
        <v>0</v>
      </c>
      <c r="J64" s="66">
        <f>'28.12'!J64+COUNTIF(J$9:J$38,$C64)</f>
        <v>0</v>
      </c>
    </row>
    <row r="65" spans="1:10" ht="26.25" x14ac:dyDescent="0.25">
      <c r="A65" s="1"/>
      <c r="B65" s="1"/>
      <c r="C65" s="256">
        <f>'01.09'!C65</f>
        <v>0</v>
      </c>
      <c r="D65" s="66">
        <f>'28.12'!D65+COUNTIF(D$9:D$38,$C65)</f>
        <v>0</v>
      </c>
      <c r="E65" s="66">
        <f>'28.12'!E65+COUNTIF(E$9:E$38,$C65)</f>
        <v>0</v>
      </c>
      <c r="F65" s="66">
        <f>'28.12'!F65+COUNTIF(F$9:F$38,$C65)</f>
        <v>0</v>
      </c>
      <c r="G65" s="66">
        <f>'28.12'!G65+COUNTIF(G$9:G$38,$C65)</f>
        <v>0</v>
      </c>
      <c r="H65" s="66">
        <f>'28.12'!H65+COUNTIF(H$9:H$38,$C65)</f>
        <v>0</v>
      </c>
      <c r="I65" s="66">
        <f>'28.12'!I65+COUNTIF(I$9:I$38,$C65)</f>
        <v>0</v>
      </c>
      <c r="J65" s="66">
        <f>'28.12'!J65+COUNTIF(J$9:J$38,$C65)</f>
        <v>0</v>
      </c>
    </row>
    <row r="66" spans="1:10" ht="26.25" x14ac:dyDescent="0.25">
      <c r="A66" s="1"/>
      <c r="B66" s="1"/>
      <c r="C66" s="228">
        <f>'01.09'!C66</f>
        <v>0</v>
      </c>
      <c r="D66" s="66">
        <f>'28.12'!D66+COUNTIF(D$9:D$38,$C66)</f>
        <v>0</v>
      </c>
      <c r="E66" s="66">
        <f>'28.12'!E66+COUNTIF(E$9:E$38,$C66)</f>
        <v>0</v>
      </c>
      <c r="F66" s="66">
        <f>'28.12'!F66+COUNTIF(F$9:F$38,$C66)</f>
        <v>0</v>
      </c>
      <c r="G66" s="66">
        <f>'28.12'!G66+COUNTIF(G$9:G$38,$C66)</f>
        <v>0</v>
      </c>
      <c r="H66" s="66">
        <f>'28.12'!H66+COUNTIF(H$9:H$38,$C66)</f>
        <v>0</v>
      </c>
      <c r="I66" s="66">
        <f>'28.12'!I66+COUNTIF(I$9:I$38,$C66)</f>
        <v>0</v>
      </c>
      <c r="J66" s="66">
        <f>'28.12'!J66+COUNTIF(J$9:J$38,$C66)</f>
        <v>0</v>
      </c>
    </row>
    <row r="67" spans="1:10" ht="26.25" x14ac:dyDescent="0.25">
      <c r="A67" s="1"/>
      <c r="B67" s="1"/>
      <c r="C67" s="228">
        <f>'01.09'!C67</f>
        <v>0</v>
      </c>
      <c r="D67" s="66">
        <f>'28.12'!D67+COUNTIF(D$9:D$38,$C67)</f>
        <v>0</v>
      </c>
      <c r="E67" s="66">
        <f>'28.12'!E67+COUNTIF(E$9:E$38,$C67)</f>
        <v>0</v>
      </c>
      <c r="F67" s="66">
        <f>'28.12'!F67+COUNTIF(F$9:F$38,$C67)</f>
        <v>0</v>
      </c>
      <c r="G67" s="66">
        <f>'28.12'!G67+COUNTIF(G$9:G$38,$C67)</f>
        <v>0</v>
      </c>
      <c r="H67" s="66">
        <f>'28.12'!H67+COUNTIF(H$9:H$38,$C67)</f>
        <v>0</v>
      </c>
      <c r="I67" s="66">
        <f>'28.12'!I67+COUNTIF(I$9:I$38,$C67)</f>
        <v>0</v>
      </c>
      <c r="J67" s="66">
        <f>'28.12'!J67+COUNTIF(J$9:J$38,$C67)</f>
        <v>0</v>
      </c>
    </row>
    <row r="68" spans="1:10" ht="26.25" x14ac:dyDescent="0.25">
      <c r="A68" s="1"/>
      <c r="B68" s="1"/>
      <c r="C68" s="228">
        <f>'01.09'!C68</f>
        <v>0</v>
      </c>
      <c r="D68" s="66">
        <f>'28.12'!D68+COUNTIF(D$9:D$38,$C68)</f>
        <v>0</v>
      </c>
      <c r="E68" s="66">
        <f>'28.12'!E68+COUNTIF(E$9:E$38,$C68)</f>
        <v>0</v>
      </c>
      <c r="F68" s="66">
        <f>'28.12'!F68+COUNTIF(F$9:F$38,$C68)</f>
        <v>0</v>
      </c>
      <c r="G68" s="66">
        <f>'28.12'!G68+COUNTIF(G$9:G$38,$C68)</f>
        <v>0</v>
      </c>
      <c r="H68" s="66">
        <f>'28.12'!H68+COUNTIF(H$9:H$38,$C68)</f>
        <v>0</v>
      </c>
      <c r="I68" s="66">
        <f>'28.12'!I68+COUNTIF(I$9:I$38,$C68)</f>
        <v>0</v>
      </c>
      <c r="J68" s="66">
        <f>'28.12'!J68+COUNTIF(J$9:J$38,$C68)</f>
        <v>0</v>
      </c>
    </row>
    <row r="69" spans="1:10" ht="26.25" x14ac:dyDescent="0.25">
      <c r="A69" s="1"/>
      <c r="B69" s="1"/>
      <c r="C69" s="228">
        <f>'01.09'!C69</f>
        <v>0</v>
      </c>
      <c r="D69" s="66">
        <f>'28.12'!D69+COUNTIF(D$9:D$38,$C69)</f>
        <v>0</v>
      </c>
      <c r="E69" s="66">
        <f>'28.12'!E69+COUNTIF(E$9:E$38,$C69)</f>
        <v>0</v>
      </c>
      <c r="F69" s="66">
        <f>'28.12'!F69+COUNTIF(F$9:F$38,$C69)</f>
        <v>0</v>
      </c>
      <c r="G69" s="66">
        <f>'28.12'!G69+COUNTIF(G$9:G$38,$C69)</f>
        <v>0</v>
      </c>
      <c r="H69" s="66">
        <f>'28.12'!H69+COUNTIF(H$9:H$38,$C69)</f>
        <v>0</v>
      </c>
      <c r="I69" s="66">
        <f>'28.12'!I69+COUNTIF(I$9:I$38,$C69)</f>
        <v>0</v>
      </c>
      <c r="J69" s="66">
        <f>'28.12'!J69+COUNTIF(J$9:J$38,$C69)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34:A38"/>
    <mergeCell ref="B34:B38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7:A8"/>
    <mergeCell ref="B7:B8"/>
    <mergeCell ref="C7:C8"/>
    <mergeCell ref="B1:J1"/>
    <mergeCell ref="B2:J2"/>
    <mergeCell ref="A3:J3"/>
    <mergeCell ref="B4:J4"/>
    <mergeCell ref="B5:J5"/>
  </mergeCells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view="pageBreakPreview" zoomScale="40" zoomScaleNormal="40" zoomScaleSheetLayoutView="40" zoomScalePageLayoutView="40" workbookViewId="0">
      <selection activeCell="E12" sqref="E12"/>
    </sheetView>
  </sheetViews>
  <sheetFormatPr defaultRowHeight="15" x14ac:dyDescent="0.25"/>
  <cols>
    <col min="1" max="1" width="4.42578125" customWidth="1"/>
    <col min="2" max="2" width="8" customWidth="1"/>
    <col min="3" max="3" width="29.7109375" customWidth="1"/>
    <col min="4" max="4" width="49" customWidth="1"/>
    <col min="5" max="5" width="53" customWidth="1"/>
    <col min="6" max="6" width="46" customWidth="1"/>
    <col min="7" max="7" width="62.85546875" customWidth="1"/>
    <col min="8" max="8" width="61.5703125" customWidth="1"/>
    <col min="9" max="9" width="60.5703125" customWidth="1"/>
    <col min="10" max="10" width="58.85546875" customWidth="1"/>
  </cols>
  <sheetData>
    <row r="1" spans="1:10" s="4" customFormat="1" ht="30" x14ac:dyDescent="0.4">
      <c r="A1" s="234"/>
      <c r="B1" s="554" t="s">
        <v>133</v>
      </c>
      <c r="C1" s="554"/>
      <c r="D1" s="554"/>
      <c r="E1" s="554"/>
      <c r="F1" s="554"/>
      <c r="G1" s="554"/>
      <c r="H1" s="554"/>
      <c r="I1" s="554"/>
      <c r="J1" s="554"/>
    </row>
    <row r="2" spans="1:10" s="4" customFormat="1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4" customFormat="1" ht="30" x14ac:dyDescent="0.35">
      <c r="A4" s="235"/>
      <c r="B4" s="554" t="s">
        <v>134</v>
      </c>
      <c r="C4" s="554"/>
      <c r="D4" s="554"/>
      <c r="E4" s="554"/>
      <c r="F4" s="554"/>
      <c r="G4" s="554"/>
      <c r="H4" s="554"/>
      <c r="I4" s="554"/>
      <c r="J4" s="554"/>
    </row>
    <row r="5" spans="1:10" s="4" customFormat="1" ht="30" x14ac:dyDescent="0.3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14" t="s">
        <v>80</v>
      </c>
      <c r="E7" s="215" t="s">
        <v>43</v>
      </c>
      <c r="F7" s="215" t="s">
        <v>44</v>
      </c>
      <c r="G7" s="215" t="s">
        <v>45</v>
      </c>
      <c r="H7" s="216" t="s">
        <v>46</v>
      </c>
      <c r="I7" s="216" t="s">
        <v>47</v>
      </c>
      <c r="J7" s="217" t="s">
        <v>11</v>
      </c>
    </row>
    <row r="8" spans="1:10" ht="160.5" customHeight="1" thickBot="1" x14ac:dyDescent="0.3">
      <c r="A8" s="633"/>
      <c r="B8" s="633"/>
      <c r="C8" s="634"/>
      <c r="D8" s="218" t="s">
        <v>65</v>
      </c>
      <c r="E8" s="394" t="s">
        <v>67</v>
      </c>
      <c r="F8" s="394" t="s">
        <v>48</v>
      </c>
      <c r="G8" s="394" t="s">
        <v>63</v>
      </c>
      <c r="H8" s="394" t="s">
        <v>56</v>
      </c>
      <c r="I8" s="394" t="s">
        <v>83</v>
      </c>
      <c r="J8" s="179" t="s">
        <v>82</v>
      </c>
    </row>
    <row r="9" spans="1:10" ht="135.75" customHeight="1" x14ac:dyDescent="0.25">
      <c r="A9" s="643" t="s">
        <v>0</v>
      </c>
      <c r="B9" s="648">
        <v>46188</v>
      </c>
      <c r="C9" s="90" t="s">
        <v>5</v>
      </c>
      <c r="D9" s="243"/>
      <c r="E9" s="286"/>
      <c r="F9" s="286"/>
      <c r="G9" s="286"/>
      <c r="H9" s="286"/>
      <c r="I9" s="286"/>
      <c r="J9" s="287"/>
    </row>
    <row r="10" spans="1:10" ht="135.75" customHeight="1" x14ac:dyDescent="0.25">
      <c r="A10" s="644"/>
      <c r="B10" s="619"/>
      <c r="C10" s="91" t="s">
        <v>6</v>
      </c>
      <c r="D10" s="239"/>
      <c r="E10" s="240"/>
      <c r="F10" s="240"/>
      <c r="G10" s="240"/>
      <c r="H10" s="240"/>
      <c r="I10" s="240"/>
      <c r="J10" s="288"/>
    </row>
    <row r="11" spans="1:10" ht="135.75" customHeight="1" x14ac:dyDescent="0.25">
      <c r="A11" s="644"/>
      <c r="B11" s="619"/>
      <c r="C11" s="91" t="s">
        <v>7</v>
      </c>
      <c r="D11" s="450"/>
      <c r="E11" s="237"/>
      <c r="F11" s="147"/>
      <c r="G11" s="451"/>
      <c r="H11" s="237"/>
      <c r="I11" s="237"/>
      <c r="J11" s="242"/>
    </row>
    <row r="12" spans="1:10" ht="135.75" customHeight="1" x14ac:dyDescent="0.25">
      <c r="A12" s="644"/>
      <c r="B12" s="619"/>
      <c r="C12" s="91" t="s">
        <v>8</v>
      </c>
      <c r="D12" s="450"/>
      <c r="E12" s="237"/>
      <c r="F12" s="147"/>
      <c r="G12" s="451"/>
      <c r="H12" s="237"/>
      <c r="I12" s="237"/>
      <c r="J12" s="242"/>
    </row>
    <row r="13" spans="1:10" ht="135.75" customHeight="1" thickBot="1" x14ac:dyDescent="0.3">
      <c r="A13" s="644"/>
      <c r="B13" s="619"/>
      <c r="C13" s="92" t="s">
        <v>10</v>
      </c>
      <c r="D13" s="391"/>
      <c r="E13" s="392"/>
      <c r="F13" s="392"/>
      <c r="G13" s="392"/>
      <c r="H13" s="392"/>
      <c r="I13" s="392"/>
      <c r="J13" s="393"/>
    </row>
    <row r="14" spans="1:10" ht="102" customHeight="1" x14ac:dyDescent="0.25">
      <c r="A14" s="643" t="s">
        <v>1</v>
      </c>
      <c r="B14" s="621">
        <f>B9+1</f>
        <v>46189</v>
      </c>
      <c r="C14" s="90" t="s">
        <v>5</v>
      </c>
      <c r="D14" s="289"/>
      <c r="E14" s="205"/>
      <c r="F14" s="205"/>
      <c r="G14" s="205"/>
      <c r="H14" s="205"/>
      <c r="I14" s="205"/>
      <c r="J14" s="197"/>
    </row>
    <row r="15" spans="1:10" ht="102" customHeight="1" x14ac:dyDescent="0.25">
      <c r="A15" s="644"/>
      <c r="B15" s="619"/>
      <c r="C15" s="91" t="s">
        <v>6</v>
      </c>
      <c r="D15" s="255"/>
      <c r="E15" s="427"/>
      <c r="F15" s="237"/>
      <c r="G15" s="237"/>
      <c r="H15" s="237"/>
      <c r="I15" s="237"/>
      <c r="J15" s="242"/>
    </row>
    <row r="16" spans="1:10" ht="102" customHeight="1" x14ac:dyDescent="0.25">
      <c r="A16" s="644"/>
      <c r="B16" s="619"/>
      <c r="C16" s="91" t="s">
        <v>7</v>
      </c>
      <c r="D16" s="450"/>
      <c r="E16" s="237"/>
      <c r="F16" s="147"/>
      <c r="G16" s="451"/>
      <c r="H16" s="451"/>
      <c r="I16" s="237"/>
      <c r="J16" s="452"/>
    </row>
    <row r="17" spans="1:11" ht="102" customHeight="1" x14ac:dyDescent="0.25">
      <c r="A17" s="644"/>
      <c r="B17" s="619"/>
      <c r="C17" s="91" t="s">
        <v>8</v>
      </c>
      <c r="D17" s="432"/>
      <c r="E17" s="433"/>
      <c r="F17" s="433"/>
      <c r="G17" s="433"/>
      <c r="H17" s="433"/>
      <c r="I17" s="433"/>
      <c r="J17" s="434"/>
    </row>
    <row r="18" spans="1:11" ht="102" customHeight="1" thickBot="1" x14ac:dyDescent="0.3">
      <c r="A18" s="645"/>
      <c r="B18" s="619"/>
      <c r="C18" s="92" t="s">
        <v>10</v>
      </c>
      <c r="D18" s="384"/>
      <c r="E18" s="154"/>
      <c r="F18" s="154"/>
      <c r="G18" s="195"/>
      <c r="H18" s="154"/>
      <c r="I18" s="195"/>
      <c r="J18" s="155"/>
      <c r="K18" s="2"/>
    </row>
    <row r="19" spans="1:11" ht="102" customHeight="1" x14ac:dyDescent="0.25">
      <c r="A19" s="657" t="s">
        <v>2</v>
      </c>
      <c r="B19" s="626">
        <f>B14+1</f>
        <v>46190</v>
      </c>
      <c r="C19" s="57" t="s">
        <v>5</v>
      </c>
      <c r="D19" s="430"/>
      <c r="E19" s="186"/>
      <c r="F19" s="186"/>
      <c r="G19" s="186"/>
      <c r="H19" s="238"/>
      <c r="I19" s="186"/>
      <c r="J19" s="187"/>
    </row>
    <row r="20" spans="1:11" ht="102" customHeight="1" x14ac:dyDescent="0.25">
      <c r="A20" s="661"/>
      <c r="B20" s="624"/>
      <c r="C20" s="58" t="s">
        <v>6</v>
      </c>
      <c r="D20" s="450"/>
      <c r="E20" s="147"/>
      <c r="F20" s="147"/>
      <c r="G20" s="147"/>
      <c r="H20" s="237"/>
      <c r="I20" s="451"/>
      <c r="J20" s="452"/>
    </row>
    <row r="21" spans="1:11" ht="102" customHeight="1" x14ac:dyDescent="0.25">
      <c r="A21" s="661"/>
      <c r="B21" s="624"/>
      <c r="C21" s="58" t="s">
        <v>7</v>
      </c>
      <c r="D21" s="152"/>
      <c r="E21" s="451"/>
      <c r="F21" s="451"/>
      <c r="G21" s="147"/>
      <c r="H21" s="451"/>
      <c r="I21" s="451"/>
      <c r="J21" s="452"/>
      <c r="K21" s="2"/>
    </row>
    <row r="22" spans="1:11" ht="102" customHeight="1" x14ac:dyDescent="0.25">
      <c r="A22" s="661"/>
      <c r="B22" s="624"/>
      <c r="C22" s="58" t="s">
        <v>8</v>
      </c>
      <c r="D22" s="152"/>
      <c r="E22" s="147"/>
      <c r="F22" s="147"/>
      <c r="G22" s="147"/>
      <c r="H22" s="184"/>
      <c r="I22" s="451"/>
      <c r="J22" s="452"/>
    </row>
    <row r="23" spans="1:11" ht="102" customHeight="1" thickBot="1" x14ac:dyDescent="0.3">
      <c r="A23" s="662"/>
      <c r="B23" s="624"/>
      <c r="C23" s="59" t="s">
        <v>10</v>
      </c>
      <c r="D23" s="153"/>
      <c r="E23" s="154"/>
      <c r="F23" s="195"/>
      <c r="G23" s="154"/>
      <c r="H23" s="154"/>
      <c r="I23" s="195"/>
      <c r="J23" s="155"/>
    </row>
    <row r="24" spans="1:11" ht="102" customHeight="1" x14ac:dyDescent="0.25">
      <c r="A24" s="657" t="s">
        <v>3</v>
      </c>
      <c r="B24" s="626">
        <f>B19+1</f>
        <v>46191</v>
      </c>
      <c r="C24" s="57" t="s">
        <v>5</v>
      </c>
      <c r="D24" s="196"/>
      <c r="E24" s="205"/>
      <c r="F24" s="183"/>
      <c r="G24" s="205"/>
      <c r="H24" s="205"/>
      <c r="I24" s="205"/>
      <c r="J24" s="383"/>
    </row>
    <row r="25" spans="1:11" ht="102" customHeight="1" x14ac:dyDescent="0.25">
      <c r="A25" s="658"/>
      <c r="B25" s="624"/>
      <c r="C25" s="58" t="s">
        <v>6</v>
      </c>
      <c r="D25" s="450"/>
      <c r="E25" s="147"/>
      <c r="F25" s="147"/>
      <c r="G25" s="147"/>
      <c r="H25" s="147"/>
      <c r="I25" s="451"/>
      <c r="J25" s="242"/>
    </row>
    <row r="26" spans="1:11" ht="102" customHeight="1" x14ac:dyDescent="0.25">
      <c r="A26" s="658"/>
      <c r="B26" s="624"/>
      <c r="C26" s="58" t="s">
        <v>7</v>
      </c>
      <c r="D26" s="152"/>
      <c r="E26" s="147"/>
      <c r="F26" s="147"/>
      <c r="G26" s="451"/>
      <c r="H26" s="184"/>
      <c r="I26" s="147"/>
      <c r="J26" s="148"/>
    </row>
    <row r="27" spans="1:11" ht="102" customHeight="1" x14ac:dyDescent="0.25">
      <c r="A27" s="658"/>
      <c r="B27" s="624"/>
      <c r="C27" s="58" t="s">
        <v>8</v>
      </c>
      <c r="D27" s="152"/>
      <c r="E27" s="147"/>
      <c r="F27" s="147"/>
      <c r="G27" s="451"/>
      <c r="H27" s="147"/>
      <c r="I27" s="147"/>
      <c r="J27" s="148"/>
    </row>
    <row r="28" spans="1:11" ht="102" customHeight="1" thickBot="1" x14ac:dyDescent="0.3">
      <c r="A28" s="659"/>
      <c r="B28" s="624"/>
      <c r="C28" s="59" t="s">
        <v>10</v>
      </c>
      <c r="D28" s="428"/>
      <c r="E28" s="429"/>
      <c r="F28" s="194"/>
      <c r="G28" s="212"/>
      <c r="H28" s="199"/>
      <c r="I28" s="212"/>
      <c r="J28" s="308"/>
    </row>
    <row r="29" spans="1:11" ht="102" customHeight="1" x14ac:dyDescent="0.25">
      <c r="A29" s="657" t="s">
        <v>4</v>
      </c>
      <c r="B29" s="626">
        <f>B24+1</f>
        <v>46192</v>
      </c>
      <c r="C29" s="67" t="s">
        <v>5</v>
      </c>
      <c r="D29" s="196"/>
      <c r="E29" s="236"/>
      <c r="F29" s="183"/>
      <c r="G29" s="205"/>
      <c r="H29" s="236"/>
      <c r="I29" s="236"/>
      <c r="J29" s="197"/>
    </row>
    <row r="30" spans="1:11" ht="102" customHeight="1" x14ac:dyDescent="0.25">
      <c r="A30" s="661"/>
      <c r="B30" s="624"/>
      <c r="C30" s="68" t="s">
        <v>6</v>
      </c>
      <c r="D30" s="152"/>
      <c r="E30" s="237"/>
      <c r="F30" s="147"/>
      <c r="G30" s="147"/>
      <c r="H30" s="237"/>
      <c r="I30" s="237"/>
      <c r="J30" s="148"/>
    </row>
    <row r="31" spans="1:11" ht="102" customHeight="1" x14ac:dyDescent="0.25">
      <c r="A31" s="661"/>
      <c r="B31" s="624"/>
      <c r="C31" s="68" t="s">
        <v>7</v>
      </c>
      <c r="D31" s="450"/>
      <c r="E31" s="147"/>
      <c r="F31" s="147"/>
      <c r="G31" s="451"/>
      <c r="H31" s="147"/>
      <c r="I31" s="147"/>
      <c r="J31" s="288"/>
    </row>
    <row r="32" spans="1:11" ht="102" customHeight="1" x14ac:dyDescent="0.25">
      <c r="A32" s="661"/>
      <c r="B32" s="624"/>
      <c r="C32" s="68" t="s">
        <v>8</v>
      </c>
      <c r="D32" s="450"/>
      <c r="E32" s="147"/>
      <c r="F32" s="147"/>
      <c r="G32" s="147"/>
      <c r="H32" s="147"/>
      <c r="I32" s="240"/>
      <c r="J32" s="190"/>
    </row>
    <row r="33" spans="1:13" ht="102" customHeight="1" thickBot="1" x14ac:dyDescent="0.3">
      <c r="A33" s="662"/>
      <c r="B33" s="624"/>
      <c r="C33" s="69" t="s">
        <v>10</v>
      </c>
      <c r="D33" s="153"/>
      <c r="E33" s="154"/>
      <c r="F33" s="154"/>
      <c r="G33" s="154"/>
      <c r="H33" s="154"/>
      <c r="I33" s="154"/>
      <c r="J33" s="188"/>
    </row>
    <row r="34" spans="1:13" ht="75" customHeight="1" x14ac:dyDescent="0.25">
      <c r="A34" s="627" t="s">
        <v>12</v>
      </c>
      <c r="B34" s="626">
        <f>B29+1</f>
        <v>46193</v>
      </c>
      <c r="C34" s="67" t="s">
        <v>5</v>
      </c>
      <c r="D34" s="162"/>
      <c r="E34" s="163"/>
      <c r="F34" s="163"/>
      <c r="G34" s="163"/>
      <c r="H34" s="163"/>
      <c r="I34" s="163"/>
      <c r="J34" s="187"/>
    </row>
    <row r="35" spans="1:13" ht="75" customHeight="1" x14ac:dyDescent="0.25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148"/>
    </row>
    <row r="36" spans="1:13" ht="75" customHeight="1" x14ac:dyDescent="0.25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3" ht="75" customHeight="1" x14ac:dyDescent="0.25">
      <c r="A37" s="624"/>
      <c r="B37" s="624"/>
      <c r="C37" s="68" t="s">
        <v>8</v>
      </c>
      <c r="D37" s="29"/>
      <c r="E37" s="30"/>
      <c r="F37" s="30"/>
      <c r="G37" s="121"/>
      <c r="H37" s="30"/>
      <c r="I37" s="121"/>
      <c r="J37" s="38"/>
    </row>
    <row r="38" spans="1:13" ht="75" customHeight="1" thickBot="1" x14ac:dyDescent="0.3">
      <c r="A38" s="660"/>
      <c r="B38" s="660"/>
      <c r="C38" s="69" t="s">
        <v>10</v>
      </c>
      <c r="D38" s="180"/>
      <c r="E38" s="81"/>
      <c r="F38" s="81"/>
      <c r="G38" s="32"/>
      <c r="H38" s="32"/>
      <c r="I38" s="81"/>
      <c r="J38" s="158"/>
    </row>
    <row r="39" spans="1:13" ht="27.75" x14ac:dyDescent="0.25">
      <c r="A39" s="1"/>
      <c r="B39" s="1"/>
      <c r="C39" s="1"/>
      <c r="D39" s="136" t="s">
        <v>51</v>
      </c>
      <c r="E39" s="1"/>
      <c r="F39" s="1"/>
      <c r="G39" s="1"/>
      <c r="H39" s="1"/>
      <c r="I39" s="1"/>
    </row>
    <row r="40" spans="1:13" ht="28.5" customHeight="1" x14ac:dyDescent="0.4">
      <c r="A40" s="1"/>
      <c r="B40" s="60"/>
      <c r="C40" s="256" t="str">
        <f>'01.09'!C40</f>
        <v>*Л. Основы медицинских знаний и спортивная медицина*</v>
      </c>
      <c r="D40" s="66">
        <f>'08.06'!D40+COUNTIF(D$9:D$38,$C40)</f>
        <v>8</v>
      </c>
      <c r="E40" s="66">
        <f>'08.06'!E40+COUNTIF(E$9:E$38,$C40)</f>
        <v>8</v>
      </c>
      <c r="F40" s="66">
        <f>'08.06'!F40+COUNTIF(F$9:F$38,$C40)</f>
        <v>8</v>
      </c>
      <c r="G40" s="66">
        <f>'08.06'!G40+COUNTIF(G$9:G$38,$C40)</f>
        <v>8</v>
      </c>
      <c r="H40" s="66">
        <f>'08.06'!H40+COUNTIF(H$9:H$38,$C40)</f>
        <v>8</v>
      </c>
      <c r="I40" s="66">
        <f>'08.06'!I40+COUNTIF(I$9:I$38,$C40)</f>
        <v>8</v>
      </c>
      <c r="J40" s="66">
        <f>'08.06'!J40+COUNTIF(J$9:J$38,$C40)</f>
        <v>8</v>
      </c>
    </row>
    <row r="41" spans="1:13" ht="28.5" customHeight="1" x14ac:dyDescent="0.4">
      <c r="A41" s="1"/>
      <c r="B41" s="60"/>
      <c r="C41" s="256" t="str">
        <f>'01.09'!C41</f>
        <v>*Пр. Основы медицинских знаний и спортивная медицина*</v>
      </c>
      <c r="D41" s="66">
        <f>'08.06'!D41+COUNTIF(D$9:D$38,$C41)</f>
        <v>14</v>
      </c>
      <c r="E41" s="66">
        <f>'08.06'!E41+COUNTIF(E$9:E$38,$C41)</f>
        <v>14</v>
      </c>
      <c r="F41" s="66">
        <f>'08.06'!F41+COUNTIF(F$9:F$38,$C41)</f>
        <v>13</v>
      </c>
      <c r="G41" s="66">
        <f>'08.06'!G41+COUNTIF(G$9:G$38,$C41)</f>
        <v>9</v>
      </c>
      <c r="H41" s="66">
        <f>'08.06'!H41+COUNTIF(H$9:H$38,$C41)</f>
        <v>14</v>
      </c>
      <c r="I41" s="66">
        <f>'08.06'!I41+COUNTIF(I$9:I$38,$C41)</f>
        <v>13</v>
      </c>
      <c r="J41" s="66">
        <f>'08.06'!J41+COUNTIF(J$9:J$38,$C41)</f>
        <v>13</v>
      </c>
    </row>
    <row r="42" spans="1:13" ht="28.5" customHeight="1" x14ac:dyDescent="0.4">
      <c r="A42" s="1"/>
      <c r="B42" s="60"/>
      <c r="C42" s="256" t="str">
        <f>'01.09'!C42</f>
        <v>*Л. Массаж*</v>
      </c>
      <c r="D42" s="66">
        <f>'08.06'!D42+COUNTIF(D$9:D$38,$C42)</f>
        <v>5</v>
      </c>
      <c r="E42" s="66">
        <f>'08.06'!E42+COUNTIF(E$9:E$38,$C42)</f>
        <v>5</v>
      </c>
      <c r="F42" s="66">
        <f>'08.06'!F42+COUNTIF(F$9:F$38,$C42)</f>
        <v>5</v>
      </c>
      <c r="G42" s="66">
        <f>'08.06'!G42+COUNTIF(G$9:G$38,$C42)</f>
        <v>5</v>
      </c>
      <c r="H42" s="66">
        <f>'08.06'!H42+COUNTIF(H$9:H$38,$C42)</f>
        <v>5</v>
      </c>
      <c r="I42" s="66">
        <f>'08.06'!I42+COUNTIF(I$9:I$38,$C42)</f>
        <v>5</v>
      </c>
      <c r="J42" s="66">
        <f>'08.06'!J42+COUNTIF(J$9:J$38,$C42)</f>
        <v>5</v>
      </c>
    </row>
    <row r="43" spans="1:13" ht="28.5" customHeight="1" x14ac:dyDescent="0.4">
      <c r="A43" s="1"/>
      <c r="B43" s="60"/>
      <c r="C43" s="256" t="str">
        <f>'01.09'!C43</f>
        <v>*Пр. Массаж*</v>
      </c>
      <c r="D43" s="66">
        <f>'08.06'!D43+COUNTIF(D$9:D$38,$C43)</f>
        <v>13</v>
      </c>
      <c r="E43" s="66">
        <f>'08.06'!E43+COUNTIF(E$9:E$38,$C43)</f>
        <v>13</v>
      </c>
      <c r="F43" s="66">
        <f>'08.06'!F43+COUNTIF(F$9:F$38,$C43)</f>
        <v>13</v>
      </c>
      <c r="G43" s="66">
        <f>'08.06'!G43+COUNTIF(G$9:G$38,$C43)</f>
        <v>14</v>
      </c>
      <c r="H43" s="66">
        <f>'08.06'!H43+COUNTIF(H$9:H$38,$C43)</f>
        <v>14</v>
      </c>
      <c r="I43" s="66">
        <f>'08.06'!I43+COUNTIF(I$9:I$38,$C43)</f>
        <v>14</v>
      </c>
      <c r="J43" s="66">
        <f>'08.06'!J43+COUNTIF(J$9:J$38,$C43)</f>
        <v>14</v>
      </c>
    </row>
    <row r="44" spans="1:13" ht="28.5" customHeight="1" x14ac:dyDescent="0.4">
      <c r="A44" s="1"/>
      <c r="B44" s="60"/>
      <c r="C44" s="256" t="str">
        <f>'01.09'!C44</f>
        <v>*Л. Правовые основы профессиональной деятельности*</v>
      </c>
      <c r="D44" s="66">
        <f>'08.06'!D44+COUNTIF(D$9:D$38,$C44)</f>
        <v>5</v>
      </c>
      <c r="E44" s="66">
        <f>'08.06'!E44+COUNTIF(E$9:E$38,$C44)</f>
        <v>5</v>
      </c>
      <c r="F44" s="66">
        <f>'08.06'!F44+COUNTIF(F$9:F$38,$C44)</f>
        <v>5</v>
      </c>
      <c r="G44" s="66">
        <f>'08.06'!G44+COUNTIF(G$9:G$38,$C44)</f>
        <v>5</v>
      </c>
      <c r="H44" s="66">
        <f>'08.06'!H44+COUNTIF(H$9:H$38,$C44)</f>
        <v>5</v>
      </c>
      <c r="I44" s="66">
        <f>'08.06'!I44+COUNTIF(I$9:I$38,$C44)</f>
        <v>5</v>
      </c>
      <c r="J44" s="66">
        <f>'08.06'!J44+COUNTIF(J$9:J$38,$C44)</f>
        <v>5</v>
      </c>
    </row>
    <row r="45" spans="1:13" ht="28.5" customHeight="1" thickBot="1" x14ac:dyDescent="0.45">
      <c r="A45" s="1"/>
      <c r="B45" s="60"/>
      <c r="C45" s="358" t="str">
        <f>'01.09'!C45</f>
        <v>*Пр. Правовые основы профессиональной деятельности*</v>
      </c>
      <c r="D45" s="339">
        <f>'08.06'!D45+COUNTIF(D$9:D$38,$C45)</f>
        <v>7</v>
      </c>
      <c r="E45" s="339">
        <f>'08.06'!E45+COUNTIF(E$9:E$38,$C45)</f>
        <v>8</v>
      </c>
      <c r="F45" s="339">
        <f>'08.06'!F45+COUNTIF(F$9:F$38,$C45)</f>
        <v>7</v>
      </c>
      <c r="G45" s="339">
        <f>'08.06'!G45+COUNTIF(G$9:G$38,$C45)</f>
        <v>7</v>
      </c>
      <c r="H45" s="339">
        <f>'08.06'!H45+COUNTIF(H$9:H$38,$C45)</f>
        <v>7</v>
      </c>
      <c r="I45" s="339">
        <f>'08.06'!I45+COUNTIF(I$9:I$38,$C45)</f>
        <v>6</v>
      </c>
      <c r="J45" s="339">
        <f>'08.06'!J45+COUNTIF(J$9:J$38,$C45)</f>
        <v>7</v>
      </c>
    </row>
    <row r="46" spans="1:13" ht="28.5" customHeight="1" x14ac:dyDescent="0.4">
      <c r="A46" s="1"/>
      <c r="B46" s="60"/>
      <c r="C46" s="435" t="str">
        <f>'01.09'!C46</f>
        <v>*Л. Теория и методика*</v>
      </c>
      <c r="D46" s="342">
        <f>'08.06'!D46+COUNTIF(D$9:D$38,$C46)</f>
        <v>4</v>
      </c>
      <c r="E46" s="342">
        <f>'08.06'!E46+COUNTIF(E$9:E$38,$C46)</f>
        <v>4</v>
      </c>
      <c r="F46" s="342">
        <f>'08.06'!F46+COUNTIF(F$9:F$38,$C46)</f>
        <v>4</v>
      </c>
      <c r="G46" s="342">
        <f>'08.06'!G46+COUNTIF(G$9:G$38,$C46)</f>
        <v>4</v>
      </c>
      <c r="H46" s="342">
        <f>'08.06'!H46+COUNTIF(H$9:H$38,$C46)</f>
        <v>4</v>
      </c>
      <c r="I46" s="342">
        <f>'08.06'!I46+COUNTIF(I$9:I$38,$C46)</f>
        <v>4</v>
      </c>
      <c r="J46" s="436">
        <f>'08.06'!J46+COUNTIF(J$9:J$38,$C46)</f>
        <v>4</v>
      </c>
      <c r="K46" s="682"/>
      <c r="L46" s="683"/>
      <c r="M46" s="684"/>
    </row>
    <row r="47" spans="1:13" ht="28.5" customHeight="1" thickBot="1" x14ac:dyDescent="0.45">
      <c r="A47" s="1"/>
      <c r="B47" s="60"/>
      <c r="C47" s="437" t="str">
        <f>'01.09'!C47</f>
        <v>*Пр. Теория и методика*</v>
      </c>
      <c r="D47" s="345">
        <f>'08.06'!D47+COUNTIF(D$9:D$38,$C47)</f>
        <v>30</v>
      </c>
      <c r="E47" s="345">
        <f>'08.06'!E47+COUNTIF(E$9:E$38,$C47)</f>
        <v>30</v>
      </c>
      <c r="F47" s="345">
        <f>'08.06'!F47+COUNTIF(F$9:F$38,$C47)</f>
        <v>31</v>
      </c>
      <c r="G47" s="345">
        <f>'08.06'!G47+COUNTIF(G$9:G$38,$C47)</f>
        <v>35</v>
      </c>
      <c r="H47" s="345">
        <f>'08.06'!H47+COUNTIF(H$9:H$38,$C47)</f>
        <v>35</v>
      </c>
      <c r="I47" s="345">
        <f>'08.06'!I47+COUNTIF(I$9:I$38,$C47)</f>
        <v>37</v>
      </c>
      <c r="J47" s="438">
        <f>'08.06'!J47+COUNTIF(J$9:J$38,$C47)</f>
        <v>37</v>
      </c>
      <c r="K47" s="685"/>
      <c r="L47" s="686"/>
      <c r="M47" s="687"/>
    </row>
    <row r="48" spans="1:13" ht="28.5" customHeight="1" x14ac:dyDescent="0.4">
      <c r="A48" s="1"/>
      <c r="B48" s="60"/>
      <c r="C48" s="361" t="str">
        <f>'01.09'!C48</f>
        <v>*Л. Спортивная метрология*</v>
      </c>
      <c r="D48" s="340">
        <f>'08.06'!D48+COUNTIF(D$9:D$38,$C48)</f>
        <v>5</v>
      </c>
      <c r="E48" s="340">
        <f>'08.06'!E48+COUNTIF(E$9:E$38,$C48)</f>
        <v>5</v>
      </c>
      <c r="F48" s="340">
        <f>'08.06'!F48+COUNTIF(F$9:F$38,$C48)</f>
        <v>5</v>
      </c>
      <c r="G48" s="340">
        <f>'08.06'!G48+COUNTIF(G$9:G$38,$C48)</f>
        <v>5</v>
      </c>
      <c r="H48" s="340">
        <f>'08.06'!H48+COUNTIF(H$9:H$38,$C48)</f>
        <v>5</v>
      </c>
      <c r="I48" s="340">
        <f>'08.06'!I48+COUNTIF(I$9:I$38,$C48)</f>
        <v>5</v>
      </c>
      <c r="J48" s="340">
        <f>'08.06'!J48+COUNTIF(J$9:J$38,$C48)</f>
        <v>5</v>
      </c>
    </row>
    <row r="49" spans="1:13" ht="28.5" customHeight="1" x14ac:dyDescent="0.4">
      <c r="A49" s="1"/>
      <c r="B49" s="60"/>
      <c r="C49" s="256" t="str">
        <f>'01.09'!C49</f>
        <v>*Пр. Спортивная метрология*</v>
      </c>
      <c r="D49" s="66">
        <f>'08.06'!D49+COUNTIF(D$9:D$38,$C49)</f>
        <v>7</v>
      </c>
      <c r="E49" s="66">
        <f>'08.06'!E49+COUNTIF(E$9:E$38,$C49)</f>
        <v>7</v>
      </c>
      <c r="F49" s="66">
        <f>'08.06'!F49+COUNTIF(F$9:F$38,$C49)</f>
        <v>7</v>
      </c>
      <c r="G49" s="66">
        <f>'08.06'!G49+COUNTIF(G$9:G$38,$C49)</f>
        <v>7</v>
      </c>
      <c r="H49" s="66">
        <f>'08.06'!H49+COUNTIF(H$9:H$38,$C49)</f>
        <v>7</v>
      </c>
      <c r="I49" s="66">
        <f>'08.06'!I49+COUNTIF(I$9:I$38,$C49)</f>
        <v>7</v>
      </c>
      <c r="J49" s="66">
        <f>'08.06'!J49+COUNTIF(J$9:J$38,$C49)</f>
        <v>7</v>
      </c>
    </row>
    <row r="50" spans="1:13" ht="28.5" customHeight="1" x14ac:dyDescent="0.4">
      <c r="A50" s="1"/>
      <c r="B50" s="60"/>
      <c r="C50" s="256" t="str">
        <f>'01.09'!C50</f>
        <v>*Л.  Теория и методика циклических и сложнокоординационных*</v>
      </c>
      <c r="D50" s="66">
        <f>'08.06'!D50+COUNTIF(D$9:D$38,$C50)</f>
        <v>0</v>
      </c>
      <c r="E50" s="425">
        <f>'08.06'!E50+COUNTIF(E$9:E$38,$C50)</f>
        <v>0</v>
      </c>
      <c r="F50" s="425">
        <f>'08.06'!F50+COUNTIF(F$9:F$38,$C50)</f>
        <v>0</v>
      </c>
      <c r="G50" s="425">
        <f>'08.06'!G50+COUNTIF(G$9:G$38,$C50)</f>
        <v>0</v>
      </c>
      <c r="H50" s="425">
        <f>'08.06'!H50+COUNTIF(H$9:H$38,$C50)</f>
        <v>4</v>
      </c>
      <c r="I50" s="425">
        <f>'08.06'!I50+COUNTIF(I$9:I$38,$C50)</f>
        <v>0</v>
      </c>
      <c r="J50" s="425">
        <f>'08.06'!J50+COUNTIF(J$9:J$38,$C50)</f>
        <v>0</v>
      </c>
    </row>
    <row r="51" spans="1:13" ht="28.5" customHeight="1" x14ac:dyDescent="0.4">
      <c r="A51" s="1"/>
      <c r="B51" s="60"/>
      <c r="C51" s="256" t="str">
        <f>'01.09'!C51</f>
        <v>*Пр.  Теория и методика циклических и сложнокоординационных*</v>
      </c>
      <c r="D51" s="66">
        <f>'08.06'!D51+COUNTIF(D$9:D$38,$C51)</f>
        <v>0</v>
      </c>
      <c r="E51" s="425">
        <f>'08.06'!E51+COUNTIF(E$9:E$38,$C51)</f>
        <v>0</v>
      </c>
      <c r="F51" s="425">
        <f>'08.06'!F51+COUNTIF(F$9:F$38,$C51)</f>
        <v>0</v>
      </c>
      <c r="G51" s="425">
        <f>'08.06'!G51+COUNTIF(G$9:G$38,$C51)</f>
        <v>0</v>
      </c>
      <c r="H51" s="425">
        <f>'08.06'!H51+COUNTIF(H$9:H$38,$C51)</f>
        <v>39</v>
      </c>
      <c r="I51" s="425">
        <f>'08.06'!I51+COUNTIF(I$9:I$38,$C51)</f>
        <v>0</v>
      </c>
      <c r="J51" s="425">
        <f>'08.06'!J51+COUNTIF(J$9:J$38,$C51)</f>
        <v>0</v>
      </c>
    </row>
    <row r="52" spans="1:13" ht="28.5" customHeight="1" thickBot="1" x14ac:dyDescent="0.45">
      <c r="A52" s="1"/>
      <c r="B52" s="60"/>
      <c r="C52" s="256">
        <f>'01.09'!C52</f>
        <v>0</v>
      </c>
      <c r="D52" s="66">
        <f>'08.06'!D52+COUNTIF(D$9:D$38,$C52)</f>
        <v>0</v>
      </c>
      <c r="E52" s="66">
        <f>'08.06'!E52+COUNTIF(E$9:E$38,$C52)</f>
        <v>0</v>
      </c>
      <c r="F52" s="66">
        <f>'08.06'!F52+COUNTIF(F$9:F$38,$C52)</f>
        <v>0</v>
      </c>
      <c r="G52" s="66">
        <f>'08.06'!G52+COUNTIF(G$9:G$38,$C52)</f>
        <v>0</v>
      </c>
      <c r="H52" s="66">
        <f>'08.06'!H52+COUNTIF(H$9:H$38,$C52)</f>
        <v>0</v>
      </c>
      <c r="I52" s="66">
        <f>'08.06'!I52+COUNTIF(I$9:I$38,$C52)</f>
        <v>0</v>
      </c>
      <c r="J52" s="66">
        <f>'08.06'!J52+COUNTIF(J$9:J$38,$C52)</f>
        <v>0</v>
      </c>
    </row>
    <row r="53" spans="1:13" ht="28.5" customHeight="1" x14ac:dyDescent="0.4">
      <c r="A53" s="1"/>
      <c r="B53" s="60"/>
      <c r="C53" s="256">
        <f>'01.09'!C53</f>
        <v>0</v>
      </c>
      <c r="D53" s="425">
        <f>'08.06'!D53+COUNTIF(D$9:D$38,$C53)</f>
        <v>0</v>
      </c>
      <c r="E53" s="425">
        <f>'08.06'!E53+COUNTIF(E$9:E$38,$C53)</f>
        <v>0</v>
      </c>
      <c r="F53" s="425">
        <f>'08.06'!F53+COUNTIF(F$9:F$38,$C53)</f>
        <v>0</v>
      </c>
      <c r="G53" s="425">
        <f>'08.06'!G53+COUNTIF(G$9:G$38,$C53)</f>
        <v>0</v>
      </c>
      <c r="H53" s="66">
        <f>'08.06'!H53+COUNTIF(H$9:H$38,$C53)</f>
        <v>0</v>
      </c>
      <c r="I53" s="425">
        <f>'08.06'!I53+COUNTIF(I$9:I$38,$C53)</f>
        <v>0</v>
      </c>
      <c r="J53" s="426">
        <f>'08.06'!J53+COUNTIF(J$9:J$38,$C53)</f>
        <v>0</v>
      </c>
      <c r="K53" s="676"/>
      <c r="L53" s="677"/>
      <c r="M53" s="678"/>
    </row>
    <row r="54" spans="1:13" ht="28.5" customHeight="1" thickBot="1" x14ac:dyDescent="0.45">
      <c r="A54" s="1"/>
      <c r="B54" s="60"/>
      <c r="C54" s="256">
        <f>'01.09'!C54</f>
        <v>0</v>
      </c>
      <c r="D54" s="425">
        <f>'08.06'!D54+COUNTIF(D$9:D$38,$C54)</f>
        <v>0</v>
      </c>
      <c r="E54" s="425">
        <f>'08.06'!E54+COUNTIF(E$9:E$38,$C54)</f>
        <v>0</v>
      </c>
      <c r="F54" s="425">
        <f>'08.06'!F54+COUNTIF(F$9:F$38,$C54)</f>
        <v>0</v>
      </c>
      <c r="G54" s="425">
        <f>'08.06'!G54+COUNTIF(G$9:G$38,$C54)</f>
        <v>0</v>
      </c>
      <c r="H54" s="66">
        <f>'08.06'!H54+COUNTIF(H$9:H$38,$C54)</f>
        <v>0</v>
      </c>
      <c r="I54" s="425">
        <f>'08.06'!I54+COUNTIF(I$9:I$38,$C54)</f>
        <v>0</v>
      </c>
      <c r="J54" s="426">
        <f>'08.06'!J54+COUNTIF(J$9:J$38,$C54)</f>
        <v>0</v>
      </c>
      <c r="K54" s="679"/>
      <c r="L54" s="680"/>
      <c r="M54" s="681"/>
    </row>
    <row r="55" spans="1:13" ht="28.5" customHeight="1" x14ac:dyDescent="0.4">
      <c r="A55" s="1"/>
      <c r="B55" s="60"/>
      <c r="C55" s="256">
        <f>'01.09'!C55</f>
        <v>0</v>
      </c>
      <c r="D55" s="66">
        <f>'08.06'!D55+COUNTIF(D$9:D$38,$C55)</f>
        <v>0</v>
      </c>
      <c r="E55" s="66">
        <f>'08.06'!E55+COUNTIF(E$9:E$38,$C55)</f>
        <v>0</v>
      </c>
      <c r="F55" s="66">
        <f>'08.06'!F55+COUNTIF(F$9:F$38,$C55)</f>
        <v>0</v>
      </c>
      <c r="G55" s="66">
        <f>'08.06'!G55+COUNTIF(G$9:G$38,$C55)</f>
        <v>0</v>
      </c>
      <c r="H55" s="66">
        <f>'08.06'!H55+COUNTIF(H$9:H$38,$C55)</f>
        <v>0</v>
      </c>
      <c r="I55" s="66">
        <f>'08.06'!I55+COUNTIF(I$9:I$38,$C55)</f>
        <v>0</v>
      </c>
      <c r="J55" s="66">
        <f>'08.06'!J55+COUNTIF(J$9:J$38,$C55)</f>
        <v>0</v>
      </c>
    </row>
    <row r="56" spans="1:13" ht="28.5" customHeight="1" x14ac:dyDescent="0.4">
      <c r="A56" s="1"/>
      <c r="B56" s="60"/>
      <c r="C56" s="256">
        <f>'01.09'!C56</f>
        <v>0</v>
      </c>
      <c r="D56" s="66">
        <f>'08.06'!D56+COUNTIF(D$9:D$38,$C56)</f>
        <v>0</v>
      </c>
      <c r="E56" s="66">
        <f>'08.06'!E56+COUNTIF(E$9:E$38,$C56)</f>
        <v>0</v>
      </c>
      <c r="F56" s="66">
        <f>'08.06'!F56+COUNTIF(F$9:F$38,$C56)</f>
        <v>0</v>
      </c>
      <c r="G56" s="66">
        <f>'08.06'!G56+COUNTIF(G$9:G$38,$C56)</f>
        <v>0</v>
      </c>
      <c r="H56" s="66">
        <f>'08.06'!H56+COUNTIF(H$9:H$38,$C56)</f>
        <v>0</v>
      </c>
      <c r="I56" s="66">
        <f>'08.06'!I56+COUNTIF(I$9:I$38,$C56)</f>
        <v>0</v>
      </c>
      <c r="J56" s="66">
        <f>'08.06'!J56+COUNTIF(J$9:J$38,$C56)</f>
        <v>0</v>
      </c>
    </row>
    <row r="57" spans="1:13" ht="28.5" customHeight="1" x14ac:dyDescent="0.4">
      <c r="A57" s="1"/>
      <c r="B57" s="60"/>
      <c r="C57" s="256">
        <f>'01.09'!C57</f>
        <v>0</v>
      </c>
      <c r="D57" s="66">
        <f>'08.06'!D57+COUNTIF(D$9:D$38,$C57)</f>
        <v>0</v>
      </c>
      <c r="E57" s="66">
        <f>'08.06'!E57+COUNTIF(E$9:E$38,$C57)</f>
        <v>0</v>
      </c>
      <c r="F57" s="66">
        <f>'08.06'!F57+COUNTIF(F$9:F$38,$C57)</f>
        <v>0</v>
      </c>
      <c r="G57" s="66">
        <f>'08.06'!G57+COUNTIF(G$9:G$38,$C57)</f>
        <v>0</v>
      </c>
      <c r="H57" s="66">
        <f>'08.06'!H57+COUNTIF(H$9:H$38,$C57)</f>
        <v>0</v>
      </c>
      <c r="I57" s="66">
        <f>'08.06'!I57+COUNTIF(I$9:I$38,$C57)</f>
        <v>0</v>
      </c>
      <c r="J57" s="66">
        <f>'08.06'!J57+COUNTIF(J$9:J$38,$C57)</f>
        <v>0</v>
      </c>
    </row>
    <row r="58" spans="1:13" ht="28.5" customHeight="1" x14ac:dyDescent="0.4">
      <c r="A58" s="1"/>
      <c r="B58" s="60"/>
      <c r="C58" s="256">
        <f>'01.09'!C58</f>
        <v>0</v>
      </c>
      <c r="D58" s="66">
        <f>'08.06'!D58+COUNTIF(D$9:D$38,$C58)</f>
        <v>0</v>
      </c>
      <c r="E58" s="66">
        <f>'08.06'!E58+COUNTIF(E$9:E$38,$C58)</f>
        <v>0</v>
      </c>
      <c r="F58" s="66">
        <f>'08.06'!F58+COUNTIF(F$9:F$38,$C58)</f>
        <v>0</v>
      </c>
      <c r="G58" s="66">
        <f>'08.06'!G58+COUNTIF(G$9:G$38,$C58)</f>
        <v>0</v>
      </c>
      <c r="H58" s="66">
        <f>'08.06'!H58+COUNTIF(H$9:H$38,$C58)</f>
        <v>0</v>
      </c>
      <c r="I58" s="66">
        <f>'08.06'!I58+COUNTIF(I$9:I$38,$C58)</f>
        <v>0</v>
      </c>
      <c r="J58" s="66">
        <f>'08.06'!J58+COUNTIF(J$9:J$38,$C58)</f>
        <v>0</v>
      </c>
    </row>
    <row r="59" spans="1:13" ht="28.5" customHeight="1" x14ac:dyDescent="0.4">
      <c r="A59" s="1"/>
      <c r="B59" s="138"/>
      <c r="C59" s="256">
        <f>'01.09'!C59</f>
        <v>0</v>
      </c>
      <c r="D59" s="66">
        <f>'08.06'!D59+COUNTIF(D$9:D$38,$C59)</f>
        <v>0</v>
      </c>
      <c r="E59" s="66">
        <f>'08.06'!E59+COUNTIF(E$9:E$38,$C59)</f>
        <v>0</v>
      </c>
      <c r="F59" s="66">
        <f>'08.06'!F59+COUNTIF(F$9:F$38,$C59)</f>
        <v>0</v>
      </c>
      <c r="G59" s="66">
        <f>'08.06'!G59+COUNTIF(G$9:G$38,$C59)</f>
        <v>0</v>
      </c>
      <c r="H59" s="66">
        <f>'08.06'!H59+COUNTIF(H$9:H$38,$C59)</f>
        <v>0</v>
      </c>
      <c r="I59" s="66">
        <f>'08.06'!I59+COUNTIF(I$9:I$38,$C59)</f>
        <v>0</v>
      </c>
      <c r="J59" s="66">
        <f>'08.06'!J59+COUNTIF(J$9:J$38,$C59)</f>
        <v>0</v>
      </c>
    </row>
    <row r="60" spans="1:13" ht="28.5" customHeight="1" x14ac:dyDescent="0.4">
      <c r="A60" s="1"/>
      <c r="B60" s="138"/>
      <c r="C60" s="256">
        <f>'01.09'!C60</f>
        <v>0</v>
      </c>
      <c r="D60" s="66">
        <f>'08.06'!D60+COUNTIF(D$9:D$38,$C60)</f>
        <v>0</v>
      </c>
      <c r="E60" s="66">
        <f>'08.06'!E60+COUNTIF(E$9:E$38,$C60)</f>
        <v>0</v>
      </c>
      <c r="F60" s="66">
        <f>'08.06'!F60+COUNTIF(F$9:F$38,$C60)</f>
        <v>0</v>
      </c>
      <c r="G60" s="66">
        <f>'08.06'!G60+COUNTIF(G$9:G$38,$C60)</f>
        <v>0</v>
      </c>
      <c r="H60" s="66">
        <f>'08.06'!H60+COUNTIF(H$9:H$38,$C60)</f>
        <v>0</v>
      </c>
      <c r="I60" s="66">
        <f>'08.06'!I60+COUNTIF(I$9:I$38,$C60)</f>
        <v>0</v>
      </c>
      <c r="J60" s="66">
        <f>'08.06'!J60+COUNTIF(J$9:J$38,$C60)</f>
        <v>0</v>
      </c>
    </row>
    <row r="61" spans="1:13" ht="28.5" customHeight="1" x14ac:dyDescent="0.4">
      <c r="A61" s="1"/>
      <c r="B61" s="60"/>
      <c r="C61" s="256">
        <f>'01.09'!C61</f>
        <v>0</v>
      </c>
      <c r="D61" s="66">
        <f>'08.06'!D61+COUNTIF(D$9:D$38,$C61)</f>
        <v>0</v>
      </c>
      <c r="E61" s="66">
        <f>'08.06'!E61+COUNTIF(E$9:E$38,$C61)</f>
        <v>0</v>
      </c>
      <c r="F61" s="66">
        <f>'08.06'!F61+COUNTIF(F$9:F$38,$C61)</f>
        <v>0</v>
      </c>
      <c r="G61" s="66">
        <f>'08.06'!G61+COUNTIF(G$9:G$38,$C61)</f>
        <v>0</v>
      </c>
      <c r="H61" s="66">
        <f>'08.06'!H61+COUNTIF(H$9:H$38,$C61)</f>
        <v>0</v>
      </c>
      <c r="I61" s="66">
        <f>'08.06'!I61+COUNTIF(I$9:I$38,$C61)</f>
        <v>0</v>
      </c>
      <c r="J61" s="66">
        <f>'08.06'!J61+COUNTIF(J$9:J$38,$C61)</f>
        <v>0</v>
      </c>
    </row>
    <row r="62" spans="1:13" ht="28.5" customHeight="1" x14ac:dyDescent="0.4">
      <c r="A62" s="1"/>
      <c r="B62" s="98"/>
      <c r="C62" s="256">
        <f>'01.09'!C62</f>
        <v>0</v>
      </c>
      <c r="D62" s="66">
        <f>'08.06'!D62+COUNTIF(D$9:D$38,$C62)</f>
        <v>0</v>
      </c>
      <c r="E62" s="66">
        <f>'08.06'!E62+COUNTIF(E$9:E$38,$C62)</f>
        <v>0</v>
      </c>
      <c r="F62" s="66">
        <f>'08.06'!F62+COUNTIF(F$9:F$38,$C62)</f>
        <v>0</v>
      </c>
      <c r="G62" s="66">
        <f>'08.06'!G62+COUNTIF(G$9:G$38,$C62)</f>
        <v>0</v>
      </c>
      <c r="H62" s="66">
        <f>'08.06'!H62+COUNTIF(H$9:H$38,$C62)</f>
        <v>0</v>
      </c>
      <c r="I62" s="66">
        <f>'08.06'!I62+COUNTIF(I$9:I$38,$C62)</f>
        <v>0</v>
      </c>
      <c r="J62" s="66">
        <f>'08.06'!J62+COUNTIF(J$9:J$38,$C62)</f>
        <v>0</v>
      </c>
    </row>
    <row r="63" spans="1:13" ht="26.25" x14ac:dyDescent="0.4">
      <c r="A63" s="1"/>
      <c r="B63" s="60"/>
      <c r="C63" s="256">
        <f>'01.09'!C63</f>
        <v>0</v>
      </c>
      <c r="D63" s="66">
        <f>'08.06'!D63+COUNTIF(D$9:D$38,$C63)</f>
        <v>0</v>
      </c>
      <c r="E63" s="66">
        <f>'08.06'!E63+COUNTIF(E$9:E$38,$C63)</f>
        <v>0</v>
      </c>
      <c r="F63" s="66">
        <f>'08.06'!F63+COUNTIF(F$9:F$38,$C63)</f>
        <v>0</v>
      </c>
      <c r="G63" s="66">
        <f>'08.06'!G63+COUNTIF(G$9:G$38,$C63)</f>
        <v>0</v>
      </c>
      <c r="H63" s="66">
        <f>'08.06'!H63+COUNTIF(H$9:H$38,$C63)</f>
        <v>0</v>
      </c>
      <c r="I63" s="66">
        <f>'08.06'!I63+COUNTIF(I$9:I$38,$C63)</f>
        <v>0</v>
      </c>
      <c r="J63" s="66">
        <f>'08.06'!J63+COUNTIF(J$9:J$38,$C63)</f>
        <v>0</v>
      </c>
    </row>
    <row r="64" spans="1:13" ht="26.25" x14ac:dyDescent="0.25">
      <c r="A64" s="1"/>
      <c r="B64" s="1"/>
      <c r="C64" s="256">
        <f>'01.09'!C64</f>
        <v>0</v>
      </c>
      <c r="D64" s="66">
        <f>'08.06'!D64+COUNTIF(D$9:D$38,$C64)</f>
        <v>0</v>
      </c>
      <c r="E64" s="66">
        <f>'08.06'!E64+COUNTIF(E$9:E$38,$C64)</f>
        <v>0</v>
      </c>
      <c r="F64" s="66">
        <f>'08.06'!F64+COUNTIF(F$9:F$38,$C64)</f>
        <v>0</v>
      </c>
      <c r="G64" s="66">
        <f>'08.06'!G64+COUNTIF(G$9:G$38,$C64)</f>
        <v>0</v>
      </c>
      <c r="H64" s="66">
        <f>'08.06'!H64+COUNTIF(H$9:H$38,$C64)</f>
        <v>0</v>
      </c>
      <c r="I64" s="66">
        <f>'08.06'!I64+COUNTIF(I$9:I$38,$C64)</f>
        <v>0</v>
      </c>
      <c r="J64" s="66">
        <f>'08.06'!J64+COUNTIF(J$9:J$38,$C64)</f>
        <v>0</v>
      </c>
    </row>
    <row r="65" spans="1:10" ht="26.25" x14ac:dyDescent="0.25">
      <c r="A65" s="1"/>
      <c r="B65" s="1"/>
      <c r="C65" s="256">
        <f>'01.09'!C65</f>
        <v>0</v>
      </c>
      <c r="D65" s="66">
        <f>'08.06'!D65+COUNTIF(D$9:D$38,$C65)</f>
        <v>0</v>
      </c>
      <c r="E65" s="66">
        <f>'08.06'!E65+COUNTIF(E$9:E$38,$C65)</f>
        <v>0</v>
      </c>
      <c r="F65" s="66">
        <f>'08.06'!F65+COUNTIF(F$9:F$38,$C65)</f>
        <v>0</v>
      </c>
      <c r="G65" s="66">
        <f>'08.06'!G65+COUNTIF(G$9:G$38,$C65)</f>
        <v>0</v>
      </c>
      <c r="H65" s="66">
        <f>'08.06'!H65+COUNTIF(H$9:H$38,$C65)</f>
        <v>0</v>
      </c>
      <c r="I65" s="66">
        <f>'08.06'!I65+COUNTIF(I$9:I$38,$C65)</f>
        <v>0</v>
      </c>
      <c r="J65" s="66">
        <f>'08.06'!J65+COUNTIF(J$9:J$38,$C65)</f>
        <v>0</v>
      </c>
    </row>
    <row r="66" spans="1:10" ht="26.25" x14ac:dyDescent="0.25">
      <c r="A66" s="1"/>
      <c r="B66" s="1"/>
      <c r="C66" s="228">
        <f>'01.09'!C66</f>
        <v>0</v>
      </c>
      <c r="D66" s="66">
        <f>'08.06'!D66+COUNTIF(D$9:D$38,$C66)</f>
        <v>0</v>
      </c>
      <c r="E66" s="66">
        <f>'08.06'!E66+COUNTIF(E$9:E$38,$C66)</f>
        <v>0</v>
      </c>
      <c r="F66" s="66">
        <f>'08.06'!F66+COUNTIF(F$9:F$38,$C66)</f>
        <v>0</v>
      </c>
      <c r="G66" s="66">
        <f>'08.06'!G66+COUNTIF(G$9:G$38,$C66)</f>
        <v>0</v>
      </c>
      <c r="H66" s="66">
        <f>'08.06'!H66+COUNTIF(H$9:H$38,$C66)</f>
        <v>0</v>
      </c>
      <c r="I66" s="66">
        <f>'08.06'!I66+COUNTIF(I$9:I$38,$C66)</f>
        <v>0</v>
      </c>
      <c r="J66" s="66">
        <f>'08.06'!J66+COUNTIF(J$9:J$38,$C66)</f>
        <v>0</v>
      </c>
    </row>
    <row r="67" spans="1:10" ht="26.25" x14ac:dyDescent="0.25">
      <c r="A67" s="1"/>
      <c r="B67" s="1"/>
      <c r="C67" s="228">
        <f>'01.09'!C67</f>
        <v>0</v>
      </c>
      <c r="D67" s="66">
        <f>'08.06'!D67+COUNTIF(D$9:D$38,$C67)</f>
        <v>0</v>
      </c>
      <c r="E67" s="66">
        <f>'08.06'!E67+COUNTIF(E$9:E$38,$C67)</f>
        <v>0</v>
      </c>
      <c r="F67" s="66">
        <f>'08.06'!F67+COUNTIF(F$9:F$38,$C67)</f>
        <v>0</v>
      </c>
      <c r="G67" s="66">
        <f>'08.06'!G67+COUNTIF(G$9:G$38,$C67)</f>
        <v>0</v>
      </c>
      <c r="H67" s="66">
        <f>'08.06'!H67+COUNTIF(H$9:H$38,$C67)</f>
        <v>0</v>
      </c>
      <c r="I67" s="66">
        <f>'08.06'!I67+COUNTIF(I$9:I$38,$C67)</f>
        <v>0</v>
      </c>
      <c r="J67" s="66">
        <f>'08.06'!J67+COUNTIF(J$9:J$38,$C67)</f>
        <v>0</v>
      </c>
    </row>
    <row r="68" spans="1:10" ht="26.25" x14ac:dyDescent="0.25">
      <c r="A68" s="1"/>
      <c r="B68" s="1"/>
      <c r="C68" s="228">
        <f>'01.09'!C68</f>
        <v>0</v>
      </c>
      <c r="D68" s="66">
        <f>'08.06'!D68+COUNTIF(D$9:D$38,$C68)</f>
        <v>0</v>
      </c>
      <c r="E68" s="66">
        <f>'08.06'!E68+COUNTIF(E$9:E$38,$C68)</f>
        <v>0</v>
      </c>
      <c r="F68" s="66">
        <f>'08.06'!F68+COUNTIF(F$9:F$38,$C68)</f>
        <v>0</v>
      </c>
      <c r="G68" s="66">
        <f>'08.06'!G68+COUNTIF(G$9:G$38,$C68)</f>
        <v>0</v>
      </c>
      <c r="H68" s="66">
        <f>'08.06'!H68+COUNTIF(H$9:H$38,$C68)</f>
        <v>0</v>
      </c>
      <c r="I68" s="66">
        <f>'08.06'!I68+COUNTIF(I$9:I$38,$C68)</f>
        <v>0</v>
      </c>
      <c r="J68" s="66">
        <f>'08.06'!J68+COUNTIF(J$9:J$38,$C68)</f>
        <v>0</v>
      </c>
    </row>
    <row r="69" spans="1:10" ht="26.25" x14ac:dyDescent="0.25">
      <c r="A69" s="1"/>
      <c r="B69" s="1"/>
      <c r="C69" s="228">
        <f>'01.09'!C69</f>
        <v>0</v>
      </c>
      <c r="D69" s="66">
        <f>'08.06'!D69+COUNTIF(D$9:D$38,$C69)</f>
        <v>0</v>
      </c>
      <c r="E69" s="66">
        <f>'08.06'!E69+COUNTIF(E$9:E$38,$C69)</f>
        <v>0</v>
      </c>
      <c r="F69" s="66">
        <f>'08.06'!F69+COUNTIF(F$9:F$38,$C69)</f>
        <v>0</v>
      </c>
      <c r="G69" s="66">
        <f>'08.06'!G69+COUNTIF(G$9:G$38,$C69)</f>
        <v>0</v>
      </c>
      <c r="H69" s="66">
        <f>'08.06'!H69+COUNTIF(H$9:H$38,$C69)</f>
        <v>0</v>
      </c>
      <c r="I69" s="66">
        <f>'08.06'!I69+COUNTIF(I$9:I$38,$C69)</f>
        <v>0</v>
      </c>
      <c r="J69" s="66">
        <f>'08.06'!J69+COUNTIF(J$9:J$38,$C69)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2">
    <mergeCell ref="K46:M47"/>
    <mergeCell ref="B24:B28"/>
    <mergeCell ref="A29:A33"/>
    <mergeCell ref="B29:B33"/>
    <mergeCell ref="A34:A38"/>
    <mergeCell ref="B34:B38"/>
    <mergeCell ref="K53:M54"/>
    <mergeCell ref="A7:A8"/>
    <mergeCell ref="B7:B8"/>
    <mergeCell ref="C7:C8"/>
    <mergeCell ref="B1:J1"/>
    <mergeCell ref="B2:J2"/>
    <mergeCell ref="A3:J3"/>
    <mergeCell ref="B4:J4"/>
    <mergeCell ref="B5:J5"/>
    <mergeCell ref="A9:A13"/>
    <mergeCell ref="B9:B13"/>
    <mergeCell ref="A14:A18"/>
    <mergeCell ref="B14:B18"/>
    <mergeCell ref="A19:A23"/>
    <mergeCell ref="B19:B23"/>
    <mergeCell ref="A24:A28"/>
  </mergeCells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zoomScale="40" zoomScaleNormal="40" zoomScaleSheetLayoutView="40" zoomScalePageLayoutView="40" workbookViewId="0">
      <selection sqref="A1:J5"/>
    </sheetView>
  </sheetViews>
  <sheetFormatPr defaultRowHeight="15" x14ac:dyDescent="0.25"/>
  <cols>
    <col min="1" max="1" width="4.42578125" customWidth="1"/>
    <col min="2" max="2" width="6.28515625" customWidth="1"/>
    <col min="3" max="3" width="28.42578125" customWidth="1"/>
    <col min="4" max="4" width="49" customWidth="1"/>
    <col min="5" max="5" width="47" customWidth="1"/>
    <col min="6" max="6" width="46" customWidth="1"/>
    <col min="7" max="7" width="62.85546875" customWidth="1"/>
    <col min="8" max="8" width="70.7109375" customWidth="1"/>
    <col min="9" max="9" width="51.85546875" customWidth="1"/>
    <col min="10" max="10" width="49" customWidth="1"/>
  </cols>
  <sheetData>
    <row r="1" spans="1:10" s="4" customFormat="1" ht="30" x14ac:dyDescent="0.4">
      <c r="A1" s="234"/>
      <c r="B1" s="554" t="s">
        <v>115</v>
      </c>
      <c r="C1" s="554"/>
      <c r="D1" s="554"/>
      <c r="E1" s="554"/>
      <c r="F1" s="554"/>
      <c r="G1" s="554"/>
      <c r="H1" s="554"/>
      <c r="I1" s="554"/>
      <c r="J1" s="554"/>
    </row>
    <row r="2" spans="1:10" s="4" customFormat="1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4" customFormat="1" ht="30" x14ac:dyDescent="0.35">
      <c r="A4" s="235"/>
      <c r="B4" s="554" t="s">
        <v>116</v>
      </c>
      <c r="C4" s="554"/>
      <c r="D4" s="554"/>
      <c r="E4" s="554"/>
      <c r="F4" s="554"/>
      <c r="G4" s="554"/>
      <c r="H4" s="554"/>
      <c r="I4" s="554"/>
      <c r="J4" s="554"/>
    </row>
    <row r="5" spans="1:10" s="4" customFormat="1" ht="30" x14ac:dyDescent="0.3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60.5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298" t="s">
        <v>83</v>
      </c>
      <c r="J8" s="179" t="s">
        <v>82</v>
      </c>
    </row>
    <row r="9" spans="1:10" ht="153.75" customHeight="1" x14ac:dyDescent="0.25">
      <c r="A9" s="643" t="s">
        <v>0</v>
      </c>
      <c r="B9" s="648">
        <v>45817</v>
      </c>
      <c r="C9" s="90" t="s">
        <v>5</v>
      </c>
      <c r="D9" s="332"/>
      <c r="E9" s="309"/>
      <c r="F9" s="309"/>
      <c r="G9" s="309"/>
      <c r="H9" s="309"/>
      <c r="I9" s="309"/>
      <c r="J9" s="310"/>
    </row>
    <row r="10" spans="1:10" ht="26.25" x14ac:dyDescent="0.25">
      <c r="A10" s="644"/>
      <c r="B10" s="619"/>
      <c r="C10" s="91" t="s">
        <v>6</v>
      </c>
      <c r="D10" s="253"/>
      <c r="E10" s="311"/>
      <c r="F10" s="311"/>
      <c r="G10" s="311"/>
      <c r="H10" s="311"/>
      <c r="I10" s="311"/>
      <c r="J10" s="338"/>
    </row>
    <row r="11" spans="1:10" ht="246" customHeight="1" x14ac:dyDescent="0.25">
      <c r="A11" s="644"/>
      <c r="B11" s="619"/>
      <c r="C11" s="91" t="s">
        <v>7</v>
      </c>
      <c r="D11" s="312"/>
      <c r="E11" s="330"/>
      <c r="F11" s="313"/>
      <c r="G11" s="121"/>
      <c r="H11" s="313"/>
      <c r="I11" s="311"/>
      <c r="J11" s="337"/>
    </row>
    <row r="12" spans="1:10" ht="157.5" customHeight="1" x14ac:dyDescent="0.25">
      <c r="A12" s="644"/>
      <c r="B12" s="619"/>
      <c r="C12" s="91" t="s">
        <v>8</v>
      </c>
      <c r="D12" s="312"/>
      <c r="E12" s="30"/>
      <c r="F12" s="313"/>
      <c r="G12" s="30"/>
      <c r="H12" s="313"/>
      <c r="I12" s="313"/>
      <c r="J12" s="38"/>
    </row>
    <row r="13" spans="1:10" ht="27" thickBot="1" x14ac:dyDescent="0.3">
      <c r="A13" s="644"/>
      <c r="B13" s="619"/>
      <c r="C13" s="92" t="s">
        <v>10</v>
      </c>
      <c r="D13" s="274"/>
      <c r="E13" s="325"/>
      <c r="F13" s="325"/>
      <c r="G13" s="325"/>
      <c r="H13" s="325"/>
      <c r="I13" s="325"/>
      <c r="J13" s="326"/>
    </row>
    <row r="14" spans="1:10" ht="26.25" x14ac:dyDescent="0.25">
      <c r="A14" s="643" t="s">
        <v>1</v>
      </c>
      <c r="B14" s="621">
        <f>B9+1</f>
        <v>45818</v>
      </c>
      <c r="C14" s="90" t="s">
        <v>5</v>
      </c>
      <c r="D14" s="329"/>
      <c r="E14" s="163"/>
      <c r="F14" s="163"/>
      <c r="G14" s="163"/>
      <c r="H14" s="163"/>
      <c r="I14" s="163"/>
      <c r="J14" s="164"/>
    </row>
    <row r="15" spans="1:10" ht="26.25" x14ac:dyDescent="0.25">
      <c r="A15" s="644"/>
      <c r="B15" s="619"/>
      <c r="C15" s="91" t="s">
        <v>6</v>
      </c>
      <c r="D15" s="333"/>
      <c r="E15" s="330"/>
      <c r="F15" s="313"/>
      <c r="G15" s="313"/>
      <c r="H15" s="327"/>
      <c r="I15" s="313"/>
      <c r="J15" s="334"/>
    </row>
    <row r="16" spans="1:10" ht="26.25" x14ac:dyDescent="0.25">
      <c r="A16" s="644"/>
      <c r="B16" s="619"/>
      <c r="C16" s="91" t="s">
        <v>7</v>
      </c>
      <c r="D16" s="29"/>
      <c r="E16" s="30"/>
      <c r="F16" s="30"/>
      <c r="G16" s="30"/>
      <c r="H16" s="121"/>
      <c r="I16" s="121"/>
      <c r="J16" s="315"/>
    </row>
    <row r="17" spans="1:11" ht="26.25" x14ac:dyDescent="0.25">
      <c r="A17" s="644"/>
      <c r="B17" s="619"/>
      <c r="C17" s="91" t="s">
        <v>8</v>
      </c>
      <c r="D17" s="157"/>
      <c r="E17" s="30"/>
      <c r="F17" s="30"/>
      <c r="G17" s="121"/>
      <c r="H17" s="30"/>
      <c r="I17" s="313"/>
      <c r="J17" s="38"/>
    </row>
    <row r="18" spans="1:11" ht="27" thickBot="1" x14ac:dyDescent="0.3">
      <c r="A18" s="645"/>
      <c r="B18" s="619"/>
      <c r="C18" s="92" t="s">
        <v>10</v>
      </c>
      <c r="D18" s="316"/>
      <c r="E18" s="317"/>
      <c r="F18" s="317"/>
      <c r="G18" s="318"/>
      <c r="H18" s="317"/>
      <c r="I18" s="318"/>
      <c r="J18" s="319"/>
      <c r="K18" s="2"/>
    </row>
    <row r="19" spans="1:11" ht="26.25" x14ac:dyDescent="0.25">
      <c r="A19" s="657" t="s">
        <v>2</v>
      </c>
      <c r="B19" s="626">
        <f>B14+1</f>
        <v>45819</v>
      </c>
      <c r="C19" s="67" t="s">
        <v>5</v>
      </c>
      <c r="D19" s="31"/>
      <c r="E19" s="28"/>
      <c r="F19" s="150"/>
      <c r="G19" s="28"/>
      <c r="H19" s="320"/>
      <c r="I19" s="28"/>
      <c r="J19" s="336"/>
    </row>
    <row r="20" spans="1:11" ht="234.75" customHeight="1" x14ac:dyDescent="0.25">
      <c r="A20" s="661"/>
      <c r="B20" s="624"/>
      <c r="C20" s="68" t="s">
        <v>6</v>
      </c>
      <c r="D20" s="29"/>
      <c r="E20" s="327"/>
      <c r="F20" s="30"/>
      <c r="G20" s="30"/>
      <c r="H20" s="313"/>
      <c r="I20" s="121"/>
      <c r="J20" s="315"/>
    </row>
    <row r="21" spans="1:11" ht="118.5" customHeight="1" x14ac:dyDescent="0.25">
      <c r="A21" s="661"/>
      <c r="B21" s="624"/>
      <c r="C21" s="68" t="s">
        <v>7</v>
      </c>
      <c r="D21" s="29"/>
      <c r="E21" s="121"/>
      <c r="F21" s="30"/>
      <c r="G21" s="30"/>
      <c r="H21" s="121"/>
      <c r="I21" s="121"/>
      <c r="J21" s="315"/>
      <c r="K21" s="2"/>
    </row>
    <row r="22" spans="1:11" ht="68.25" customHeight="1" x14ac:dyDescent="0.25">
      <c r="A22" s="661"/>
      <c r="B22" s="624"/>
      <c r="C22" s="68" t="s">
        <v>8</v>
      </c>
      <c r="D22" s="29"/>
      <c r="E22" s="30"/>
      <c r="F22" s="30"/>
      <c r="G22" s="30"/>
      <c r="H22" s="30"/>
      <c r="I22" s="121"/>
      <c r="J22" s="38"/>
    </row>
    <row r="23" spans="1:11" ht="68.25" customHeight="1" thickBot="1" x14ac:dyDescent="0.3">
      <c r="A23" s="662"/>
      <c r="B23" s="624"/>
      <c r="C23" s="69" t="s">
        <v>10</v>
      </c>
      <c r="D23" s="80"/>
      <c r="E23" s="81"/>
      <c r="F23" s="32"/>
      <c r="G23" s="81"/>
      <c r="H23" s="81"/>
      <c r="I23" s="32"/>
      <c r="J23" s="158"/>
    </row>
    <row r="24" spans="1:11" ht="56.25" customHeight="1" x14ac:dyDescent="0.25">
      <c r="A24" s="657" t="s">
        <v>3</v>
      </c>
      <c r="B24" s="626">
        <f>B19+1</f>
        <v>45820</v>
      </c>
      <c r="C24" s="57" t="s">
        <v>5</v>
      </c>
      <c r="D24" s="244"/>
      <c r="E24" s="186"/>
      <c r="F24" s="186"/>
      <c r="G24" s="186"/>
      <c r="H24" s="186"/>
      <c r="I24" s="186"/>
      <c r="J24" s="187"/>
    </row>
    <row r="25" spans="1:11" ht="56.25" customHeight="1" x14ac:dyDescent="0.25">
      <c r="A25" s="658"/>
      <c r="B25" s="624"/>
      <c r="C25" s="58" t="s">
        <v>6</v>
      </c>
      <c r="D25" s="152"/>
      <c r="E25" s="147"/>
      <c r="F25" s="147"/>
      <c r="G25" s="147"/>
      <c r="H25" s="147"/>
      <c r="I25" s="147"/>
      <c r="J25" s="148"/>
    </row>
    <row r="26" spans="1:11" ht="56.25" customHeight="1" x14ac:dyDescent="0.25">
      <c r="A26" s="658"/>
      <c r="B26" s="624"/>
      <c r="C26" s="58" t="s">
        <v>7</v>
      </c>
      <c r="D26" s="152"/>
      <c r="E26" s="147"/>
      <c r="F26" s="147"/>
      <c r="G26" s="184"/>
      <c r="H26" s="147"/>
      <c r="I26" s="147"/>
      <c r="J26" s="148"/>
    </row>
    <row r="27" spans="1:11" ht="56.25" customHeight="1" x14ac:dyDescent="0.25">
      <c r="A27" s="658"/>
      <c r="B27" s="624"/>
      <c r="C27" s="58" t="s">
        <v>8</v>
      </c>
      <c r="D27" s="152"/>
      <c r="E27" s="147"/>
      <c r="F27" s="147"/>
      <c r="G27" s="149"/>
      <c r="H27" s="149"/>
      <c r="I27" s="149"/>
      <c r="J27" s="242"/>
    </row>
    <row r="28" spans="1:11" ht="56.25" customHeight="1" thickBot="1" x14ac:dyDescent="0.3">
      <c r="A28" s="659"/>
      <c r="B28" s="624"/>
      <c r="C28" s="59" t="s">
        <v>10</v>
      </c>
      <c r="D28" s="211"/>
      <c r="E28" s="194"/>
      <c r="F28" s="212"/>
      <c r="G28" s="199"/>
      <c r="H28" s="199"/>
      <c r="I28" s="212"/>
      <c r="J28" s="204"/>
    </row>
    <row r="29" spans="1:11" ht="56.25" customHeight="1" x14ac:dyDescent="0.25">
      <c r="A29" s="657" t="s">
        <v>4</v>
      </c>
      <c r="B29" s="626">
        <f>B24+1</f>
        <v>45821</v>
      </c>
      <c r="C29" s="57" t="s">
        <v>5</v>
      </c>
      <c r="D29" s="205"/>
      <c r="E29" s="205"/>
      <c r="F29" s="205"/>
      <c r="G29" s="156"/>
      <c r="H29" s="205"/>
      <c r="I29" s="205"/>
      <c r="J29" s="197"/>
    </row>
    <row r="30" spans="1:11" ht="56.25" customHeight="1" x14ac:dyDescent="0.25">
      <c r="A30" s="661"/>
      <c r="B30" s="624"/>
      <c r="C30" s="58" t="s">
        <v>6</v>
      </c>
      <c r="D30" s="191"/>
      <c r="E30" s="147"/>
      <c r="F30" s="147"/>
      <c r="G30" s="147"/>
      <c r="H30" s="147"/>
      <c r="I30" s="147"/>
      <c r="J30" s="149"/>
    </row>
    <row r="31" spans="1:11" ht="56.25" customHeight="1" x14ac:dyDescent="0.25">
      <c r="A31" s="661"/>
      <c r="B31" s="624"/>
      <c r="C31" s="58" t="s">
        <v>7</v>
      </c>
      <c r="D31" s="191"/>
      <c r="E31" s="147"/>
      <c r="F31" s="237"/>
      <c r="G31" s="147"/>
      <c r="H31" s="147"/>
      <c r="I31" s="237"/>
      <c r="J31" s="148"/>
    </row>
    <row r="32" spans="1:11" ht="56.25" customHeight="1" x14ac:dyDescent="0.25">
      <c r="A32" s="661"/>
      <c r="B32" s="624"/>
      <c r="C32" s="58" t="s">
        <v>8</v>
      </c>
      <c r="D32" s="191"/>
      <c r="E32" s="147"/>
      <c r="F32" s="147"/>
      <c r="G32" s="238"/>
      <c r="H32" s="147"/>
      <c r="I32" s="238"/>
      <c r="J32" s="148"/>
    </row>
    <row r="33" spans="1:10" ht="56.25" customHeight="1" thickBot="1" x14ac:dyDescent="0.3">
      <c r="A33" s="662"/>
      <c r="B33" s="624"/>
      <c r="C33" s="59" t="s">
        <v>10</v>
      </c>
      <c r="D33" s="153"/>
      <c r="E33" s="154"/>
      <c r="F33" s="154"/>
      <c r="G33" s="154"/>
      <c r="H33" s="154"/>
      <c r="I33" s="154"/>
      <c r="J33" s="188"/>
    </row>
    <row r="34" spans="1:10" ht="56.25" customHeight="1" x14ac:dyDescent="0.25">
      <c r="A34" s="627" t="s">
        <v>12</v>
      </c>
      <c r="B34" s="626">
        <f>B29+1</f>
        <v>45822</v>
      </c>
      <c r="C34" s="67" t="s">
        <v>5</v>
      </c>
      <c r="D34" s="31"/>
      <c r="E34" s="28"/>
      <c r="F34" s="28"/>
      <c r="G34" s="28"/>
      <c r="H34" s="28"/>
      <c r="I34" s="28"/>
      <c r="J34" s="37"/>
    </row>
    <row r="35" spans="1:10" ht="56.25" customHeight="1" x14ac:dyDescent="0.25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38"/>
    </row>
    <row r="36" spans="1:10" ht="56.25" customHeight="1" x14ac:dyDescent="0.25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0" ht="56.25" customHeight="1" x14ac:dyDescent="0.25">
      <c r="A37" s="624"/>
      <c r="B37" s="624"/>
      <c r="C37" s="68" t="s">
        <v>8</v>
      </c>
      <c r="D37" s="157"/>
      <c r="E37" s="79"/>
      <c r="F37" s="79"/>
      <c r="G37" s="79"/>
      <c r="H37" s="30"/>
      <c r="I37" s="79"/>
      <c r="J37" s="86"/>
    </row>
    <row r="38" spans="1:10" ht="56.25" customHeight="1" thickBot="1" x14ac:dyDescent="0.3">
      <c r="A38" s="660"/>
      <c r="B38" s="660"/>
      <c r="C38" s="69" t="s">
        <v>10</v>
      </c>
      <c r="D38" s="80"/>
      <c r="E38" s="81"/>
      <c r="F38" s="32"/>
      <c r="G38" s="32"/>
      <c r="H38" s="81"/>
      <c r="I38" s="81"/>
      <c r="J38" s="158"/>
    </row>
    <row r="39" spans="1:10" ht="27.75" x14ac:dyDescent="0.25">
      <c r="A39" s="1"/>
      <c r="B39" s="1"/>
      <c r="C39" s="1"/>
      <c r="D39" s="136" t="s">
        <v>51</v>
      </c>
      <c r="E39" s="1"/>
      <c r="F39" s="1"/>
      <c r="G39" s="1"/>
      <c r="H39" s="1"/>
      <c r="I39" s="1"/>
    </row>
    <row r="40" spans="1:10" ht="28.5" customHeight="1" x14ac:dyDescent="0.4">
      <c r="A40" s="1"/>
      <c r="B40" s="60"/>
      <c r="C40" s="228" t="str">
        <f>'01.09'!C40</f>
        <v>*Л. Основы медицинских знаний и спортивная медицина*</v>
      </c>
      <c r="D40" s="229">
        <f>'28.12'!D40+COUNTIF(D$9:D$38,$C40)</f>
        <v>8</v>
      </c>
      <c r="E40" s="229">
        <f>'28.12'!E40+COUNTIF(E$9:E$38,$C40)</f>
        <v>8</v>
      </c>
      <c r="F40" s="229">
        <f>'28.12'!F40+COUNTIF(F$9:F$38,$C40)</f>
        <v>8</v>
      </c>
      <c r="G40" s="229">
        <f>'28.12'!G40+COUNTIF(G$9:G$38,$C40)</f>
        <v>8</v>
      </c>
      <c r="H40" s="229">
        <f>'28.12'!H40+COUNTIF(H$9:H$38,$C40)</f>
        <v>8</v>
      </c>
      <c r="I40" s="229">
        <f>'28.12'!I40+COUNTIF(I$9:I$38,$C40)</f>
        <v>8</v>
      </c>
      <c r="J40" s="229">
        <f>'28.12'!J40+COUNTIF(J$9:J$38,$C40)</f>
        <v>8</v>
      </c>
    </row>
    <row r="41" spans="1:10" ht="28.5" customHeight="1" x14ac:dyDescent="0.4">
      <c r="A41" s="1"/>
      <c r="B41" s="60"/>
      <c r="C41" s="228" t="str">
        <f>'01.09'!C41</f>
        <v>*Пр. Основы медицинских знаний и спортивная медицина*</v>
      </c>
      <c r="D41" s="229">
        <f>'28.12'!D41+COUNTIF(D$9:D$38,$C41)</f>
        <v>14</v>
      </c>
      <c r="E41" s="229">
        <f>'28.12'!E41+COUNTIF(E$9:E$38,$C41)</f>
        <v>14</v>
      </c>
      <c r="F41" s="229">
        <f>'28.12'!F41+COUNTIF(F$9:F$38,$C41)</f>
        <v>13</v>
      </c>
      <c r="G41" s="229">
        <f>'28.12'!G41+COUNTIF(G$9:G$38,$C41)</f>
        <v>9</v>
      </c>
      <c r="H41" s="229">
        <f>'28.12'!H41+COUNTIF(H$9:H$38,$C41)</f>
        <v>14</v>
      </c>
      <c r="I41" s="229">
        <f>'28.12'!I41+COUNTIF(I$9:I$38,$C41)</f>
        <v>13</v>
      </c>
      <c r="J41" s="229">
        <f>'28.12'!J41+COUNTIF(J$9:J$38,$C41)</f>
        <v>13</v>
      </c>
    </row>
    <row r="42" spans="1:10" ht="28.5" customHeight="1" x14ac:dyDescent="0.4">
      <c r="A42" s="1"/>
      <c r="B42" s="60"/>
      <c r="C42" s="228" t="str">
        <f>'01.09'!C42</f>
        <v>*Л. Массаж*</v>
      </c>
      <c r="D42" s="229">
        <f>'28.12'!D42+COUNTIF(D$9:D$38,$C42)</f>
        <v>5</v>
      </c>
      <c r="E42" s="229">
        <f>'28.12'!E42+COUNTIF(E$9:E$38,$C42)</f>
        <v>5</v>
      </c>
      <c r="F42" s="229">
        <f>'28.12'!F42+COUNTIF(F$9:F$38,$C42)</f>
        <v>5</v>
      </c>
      <c r="G42" s="229">
        <f>'28.12'!G42+COUNTIF(G$9:G$38,$C42)</f>
        <v>5</v>
      </c>
      <c r="H42" s="229">
        <f>'28.12'!H42+COUNTIF(H$9:H$38,$C42)</f>
        <v>5</v>
      </c>
      <c r="I42" s="229">
        <f>'28.12'!I42+COUNTIF(I$9:I$38,$C42)</f>
        <v>5</v>
      </c>
      <c r="J42" s="229">
        <f>'28.12'!J42+COUNTIF(J$9:J$38,$C42)</f>
        <v>5</v>
      </c>
    </row>
    <row r="43" spans="1:10" ht="28.5" customHeight="1" x14ac:dyDescent="0.4">
      <c r="A43" s="1"/>
      <c r="B43" s="60"/>
      <c r="C43" s="228" t="str">
        <f>'01.09'!C43</f>
        <v>*Пр. Массаж*</v>
      </c>
      <c r="D43" s="229">
        <f>'28.12'!D43+COUNTIF(D$9:D$38,$C43)</f>
        <v>13</v>
      </c>
      <c r="E43" s="229">
        <f>'28.12'!E43+COUNTIF(E$9:E$38,$C43)</f>
        <v>13</v>
      </c>
      <c r="F43" s="229">
        <f>'28.12'!F43+COUNTIF(F$9:F$38,$C43)</f>
        <v>13</v>
      </c>
      <c r="G43" s="229">
        <f>'28.12'!G43+COUNTIF(G$9:G$38,$C43)</f>
        <v>14</v>
      </c>
      <c r="H43" s="229">
        <f>'28.12'!H43+COUNTIF(H$9:H$38,$C43)</f>
        <v>14</v>
      </c>
      <c r="I43" s="229">
        <f>'28.12'!I43+COUNTIF(I$9:I$38,$C43)</f>
        <v>14</v>
      </c>
      <c r="J43" s="229">
        <f>'28.12'!J43+COUNTIF(J$9:J$38,$C43)</f>
        <v>14</v>
      </c>
    </row>
    <row r="44" spans="1:10" ht="28.5" customHeight="1" x14ac:dyDescent="0.4">
      <c r="A44" s="1"/>
      <c r="B44" s="60"/>
      <c r="C44" s="228" t="str">
        <f>'01.09'!C44</f>
        <v>*Л. Правовые основы профессиональной деятельности*</v>
      </c>
      <c r="D44" s="229">
        <f>'28.12'!D44+COUNTIF(D$9:D$38,$C44)</f>
        <v>5</v>
      </c>
      <c r="E44" s="229">
        <f>'28.12'!E44+COUNTIF(E$9:E$38,$C44)</f>
        <v>5</v>
      </c>
      <c r="F44" s="229">
        <f>'28.12'!F44+COUNTIF(F$9:F$38,$C44)</f>
        <v>5</v>
      </c>
      <c r="G44" s="229">
        <f>'28.12'!G44+COUNTIF(G$9:G$38,$C44)</f>
        <v>5</v>
      </c>
      <c r="H44" s="229">
        <f>'28.12'!H44+COUNTIF(H$9:H$38,$C44)</f>
        <v>5</v>
      </c>
      <c r="I44" s="229">
        <f>'28.12'!I44+COUNTIF(I$9:I$38,$C44)</f>
        <v>5</v>
      </c>
      <c r="J44" s="229">
        <f>'28.12'!J44+COUNTIF(J$9:J$38,$C44)</f>
        <v>5</v>
      </c>
    </row>
    <row r="45" spans="1:10" ht="28.5" customHeight="1" x14ac:dyDescent="0.4">
      <c r="A45" s="1"/>
      <c r="B45" s="60"/>
      <c r="C45" s="228" t="str">
        <f>'01.09'!C45</f>
        <v>*Пр. Правовые основы профессиональной деятельности*</v>
      </c>
      <c r="D45" s="229">
        <f>'28.12'!D45+COUNTIF(D$9:D$38,$C45)</f>
        <v>7</v>
      </c>
      <c r="E45" s="229">
        <f>'28.12'!E45+COUNTIF(E$9:E$38,$C45)</f>
        <v>8</v>
      </c>
      <c r="F45" s="229">
        <f>'28.12'!F45+COUNTIF(F$9:F$38,$C45)</f>
        <v>7</v>
      </c>
      <c r="G45" s="229">
        <f>'28.12'!G45+COUNTIF(G$9:G$38,$C45)</f>
        <v>7</v>
      </c>
      <c r="H45" s="229">
        <f>'28.12'!H45+COUNTIF(H$9:H$38,$C45)</f>
        <v>7</v>
      </c>
      <c r="I45" s="229">
        <f>'28.12'!I45+COUNTIF(I$9:I$38,$C45)</f>
        <v>6</v>
      </c>
      <c r="J45" s="229">
        <f>'28.12'!J45+COUNTIF(J$9:J$38,$C45)</f>
        <v>7</v>
      </c>
    </row>
    <row r="46" spans="1:10" ht="28.5" customHeight="1" x14ac:dyDescent="0.4">
      <c r="A46" s="1"/>
      <c r="B46" s="60"/>
      <c r="C46" s="228" t="str">
        <f>'01.09'!C46</f>
        <v>*Л. Теория и методика*</v>
      </c>
      <c r="D46" s="229">
        <f>'28.12'!D46+COUNTIF(D$9:D$38,$C46)</f>
        <v>4</v>
      </c>
      <c r="E46" s="229">
        <f>'28.12'!E46+COUNTIF(E$9:E$38,$C46)</f>
        <v>4</v>
      </c>
      <c r="F46" s="229">
        <f>'28.12'!F46+COUNTIF(F$9:F$38,$C46)</f>
        <v>4</v>
      </c>
      <c r="G46" s="229">
        <f>'28.12'!G46+COUNTIF(G$9:G$38,$C46)</f>
        <v>4</v>
      </c>
      <c r="H46" s="229">
        <f>'28.12'!H46+COUNTIF(H$9:H$38,$C46)</f>
        <v>4</v>
      </c>
      <c r="I46" s="229">
        <f>'28.12'!I46+COUNTIF(I$9:I$38,$C46)</f>
        <v>4</v>
      </c>
      <c r="J46" s="229">
        <f>'28.12'!J46+COUNTIF(J$9:J$38,$C46)</f>
        <v>4</v>
      </c>
    </row>
    <row r="47" spans="1:10" ht="28.5" customHeight="1" x14ac:dyDescent="0.4">
      <c r="A47" s="1"/>
      <c r="B47" s="60"/>
      <c r="C47" s="228" t="str">
        <f>'01.09'!C47</f>
        <v>*Пр. Теория и методика*</v>
      </c>
      <c r="D47" s="229">
        <f>'28.12'!D47+COUNTIF(D$9:D$38,$C47)</f>
        <v>30</v>
      </c>
      <c r="E47" s="229">
        <f>'28.12'!E47+COUNTIF(E$9:E$38,$C47)</f>
        <v>30</v>
      </c>
      <c r="F47" s="229">
        <f>'28.12'!F47+COUNTIF(F$9:F$38,$C47)</f>
        <v>31</v>
      </c>
      <c r="G47" s="229">
        <f>'28.12'!G47+COUNTIF(G$9:G$38,$C47)</f>
        <v>35</v>
      </c>
      <c r="H47" s="229">
        <f>'28.12'!H47+COUNTIF(H$9:H$38,$C47)</f>
        <v>35</v>
      </c>
      <c r="I47" s="229">
        <f>'28.12'!I47+COUNTIF(I$9:I$38,$C47)</f>
        <v>37</v>
      </c>
      <c r="J47" s="229">
        <f>'28.12'!J47+COUNTIF(J$9:J$38,$C47)</f>
        <v>37</v>
      </c>
    </row>
    <row r="48" spans="1:10" ht="28.5" customHeight="1" x14ac:dyDescent="0.4">
      <c r="A48" s="1"/>
      <c r="B48" s="60"/>
      <c r="C48" s="228" t="str">
        <f>'01.09'!C48</f>
        <v>*Л. Спортивная метрология*</v>
      </c>
      <c r="D48" s="229">
        <f>'28.12'!D48+COUNTIF(D$9:D$38,$C48)</f>
        <v>5</v>
      </c>
      <c r="E48" s="229">
        <f>'28.12'!E48+COUNTIF(E$9:E$38,$C48)</f>
        <v>5</v>
      </c>
      <c r="F48" s="229">
        <f>'28.12'!F48+COUNTIF(F$9:F$38,$C48)</f>
        <v>5</v>
      </c>
      <c r="G48" s="229">
        <f>'28.12'!G48+COUNTIF(G$9:G$38,$C48)</f>
        <v>5</v>
      </c>
      <c r="H48" s="229">
        <f>'28.12'!H48+COUNTIF(H$9:H$38,$C48)</f>
        <v>5</v>
      </c>
      <c r="I48" s="229">
        <f>'28.12'!I48+COUNTIF(I$9:I$38,$C48)</f>
        <v>5</v>
      </c>
      <c r="J48" s="229">
        <f>'28.12'!J48+COUNTIF(J$9:J$38,$C48)</f>
        <v>5</v>
      </c>
    </row>
    <row r="49" spans="1:10" ht="28.5" customHeight="1" x14ac:dyDescent="0.4">
      <c r="A49" s="1"/>
      <c r="B49" s="60"/>
      <c r="C49" s="228" t="str">
        <f>'01.09'!C49</f>
        <v>*Пр. Спортивная метрология*</v>
      </c>
      <c r="D49" s="229">
        <f>'28.12'!D49+COUNTIF(D$9:D$38,$C49)</f>
        <v>7</v>
      </c>
      <c r="E49" s="229">
        <f>'28.12'!E49+COUNTIF(E$9:E$38,$C49)</f>
        <v>7</v>
      </c>
      <c r="F49" s="229">
        <f>'28.12'!F49+COUNTIF(F$9:F$38,$C49)</f>
        <v>7</v>
      </c>
      <c r="G49" s="229">
        <f>'28.12'!G49+COUNTIF(G$9:G$38,$C49)</f>
        <v>7</v>
      </c>
      <c r="H49" s="229">
        <f>'28.12'!H49+COUNTIF(H$9:H$38,$C49)</f>
        <v>7</v>
      </c>
      <c r="I49" s="229">
        <f>'28.12'!I49+COUNTIF(I$9:I$38,$C49)</f>
        <v>7</v>
      </c>
      <c r="J49" s="229">
        <f>'28.12'!J49+COUNTIF(J$9:J$38,$C49)</f>
        <v>7</v>
      </c>
    </row>
    <row r="50" spans="1:10" ht="28.5" customHeight="1" x14ac:dyDescent="0.4">
      <c r="A50" s="1"/>
      <c r="B50" s="60"/>
      <c r="C50" s="228" t="str">
        <f>'01.09'!C50</f>
        <v>*Л.  Теория и методика циклических и сложнокоординационных*</v>
      </c>
      <c r="D50" s="229">
        <f>'28.12'!D50+COUNTIF(D$9:D$38,$C50)</f>
        <v>0</v>
      </c>
      <c r="E50" s="229">
        <f>'28.12'!E50+COUNTIF(E$9:E$38,$C50)</f>
        <v>0</v>
      </c>
      <c r="F50" s="229">
        <f>'28.12'!F50+COUNTIF(F$9:F$38,$C50)</f>
        <v>0</v>
      </c>
      <c r="G50" s="229">
        <f>'28.12'!G50+COUNTIF(G$9:G$38,$C50)</f>
        <v>0</v>
      </c>
      <c r="H50" s="229">
        <f>'28.12'!H50+COUNTIF(H$9:H$38,$C50)</f>
        <v>4</v>
      </c>
      <c r="I50" s="229">
        <f>'28.12'!I50+COUNTIF(I$9:I$38,$C50)</f>
        <v>0</v>
      </c>
      <c r="J50" s="229">
        <f>'28.12'!J50+COUNTIF(J$9:J$38,$C50)</f>
        <v>0</v>
      </c>
    </row>
    <row r="51" spans="1:10" ht="28.5" customHeight="1" x14ac:dyDescent="0.4">
      <c r="A51" s="1"/>
      <c r="B51" s="60"/>
      <c r="C51" s="228" t="str">
        <f>'01.09'!C51</f>
        <v>*Пр.  Теория и методика циклических и сложнокоординационных*</v>
      </c>
      <c r="D51" s="229">
        <f>'28.12'!D51+COUNTIF(D$9:D$38,$C51)</f>
        <v>0</v>
      </c>
      <c r="E51" s="229">
        <f>'28.12'!E51+COUNTIF(E$9:E$38,$C51)</f>
        <v>0</v>
      </c>
      <c r="F51" s="229">
        <f>'28.12'!F51+COUNTIF(F$9:F$38,$C51)</f>
        <v>0</v>
      </c>
      <c r="G51" s="229">
        <f>'28.12'!G51+COUNTIF(G$9:G$38,$C51)</f>
        <v>0</v>
      </c>
      <c r="H51" s="229">
        <f>'28.12'!H51+COUNTIF(H$9:H$38,$C51)</f>
        <v>39</v>
      </c>
      <c r="I51" s="229">
        <f>'28.12'!I51+COUNTIF(I$9:I$38,$C51)</f>
        <v>0</v>
      </c>
      <c r="J51" s="229">
        <f>'28.12'!J51+COUNTIF(J$9:J$38,$C51)</f>
        <v>0</v>
      </c>
    </row>
    <row r="52" spans="1:10" ht="28.5" customHeight="1" x14ac:dyDescent="0.4">
      <c r="A52" s="1"/>
      <c r="B52" s="60"/>
      <c r="C52" s="228">
        <f>'01.09'!C52</f>
        <v>0</v>
      </c>
      <c r="D52" s="229">
        <f>'28.12'!D52+COUNTIF(D$9:D$38,$C52)</f>
        <v>0</v>
      </c>
      <c r="E52" s="229">
        <f>'28.12'!E52+COUNTIF(E$9:E$38,$C52)</f>
        <v>0</v>
      </c>
      <c r="F52" s="229">
        <f>'28.12'!F52+COUNTIF(F$9:F$38,$C52)</f>
        <v>0</v>
      </c>
      <c r="G52" s="229">
        <f>'28.12'!G52+COUNTIF(G$9:G$38,$C52)</f>
        <v>0</v>
      </c>
      <c r="H52" s="229">
        <f>'28.12'!H52+COUNTIF(H$9:H$38,$C52)</f>
        <v>0</v>
      </c>
      <c r="I52" s="229">
        <f>'28.12'!I52+COUNTIF(I$9:I$38,$C52)</f>
        <v>0</v>
      </c>
      <c r="J52" s="229">
        <f>'28.12'!J52+COUNTIF(J$9:J$38,$C52)</f>
        <v>0</v>
      </c>
    </row>
    <row r="53" spans="1:10" ht="28.5" customHeight="1" x14ac:dyDescent="0.4">
      <c r="A53" s="1"/>
      <c r="B53" s="60"/>
      <c r="C53" s="228">
        <f>'01.09'!C53</f>
        <v>0</v>
      </c>
      <c r="D53" s="229">
        <f>'28.12'!D53+COUNTIF(D$9:D$38,$C53)</f>
        <v>0</v>
      </c>
      <c r="E53" s="229">
        <f>'28.12'!E53+COUNTIF(E$9:E$38,$C53)</f>
        <v>0</v>
      </c>
      <c r="F53" s="229">
        <f>'28.12'!F53+COUNTIF(F$9:F$38,$C53)</f>
        <v>0</v>
      </c>
      <c r="G53" s="229">
        <f>'28.12'!G53+COUNTIF(G$9:G$38,$C53)</f>
        <v>0</v>
      </c>
      <c r="H53" s="229">
        <f>'28.12'!H53+COUNTIF(H$9:H$38,$C53)</f>
        <v>0</v>
      </c>
      <c r="I53" s="229">
        <f>'28.12'!I53+COUNTIF(I$9:I$38,$C53)</f>
        <v>0</v>
      </c>
      <c r="J53" s="229">
        <f>'28.12'!J53+COUNTIF(J$9:J$38,$C53)</f>
        <v>0</v>
      </c>
    </row>
    <row r="54" spans="1:10" ht="28.5" customHeight="1" x14ac:dyDescent="0.4">
      <c r="A54" s="1"/>
      <c r="B54" s="60"/>
      <c r="C54" s="228">
        <f>'01.09'!C54</f>
        <v>0</v>
      </c>
      <c r="D54" s="229">
        <f>'28.12'!D54+COUNTIF(D$9:D$38,$C54)</f>
        <v>0</v>
      </c>
      <c r="E54" s="229">
        <f>'28.12'!E54+COUNTIF(E$9:E$38,$C54)</f>
        <v>0</v>
      </c>
      <c r="F54" s="229">
        <f>'28.12'!F54+COUNTIF(F$9:F$38,$C54)</f>
        <v>0</v>
      </c>
      <c r="G54" s="229">
        <f>'28.12'!G54+COUNTIF(G$9:G$38,$C54)</f>
        <v>0</v>
      </c>
      <c r="H54" s="229">
        <f>'28.12'!H54+COUNTIF(H$9:H$38,$C54)</f>
        <v>0</v>
      </c>
      <c r="I54" s="229">
        <f>'28.12'!I54+COUNTIF(I$9:I$38,$C54)</f>
        <v>0</v>
      </c>
      <c r="J54" s="229">
        <f>'28.12'!J54+COUNTIF(J$9:J$38,$C54)</f>
        <v>0</v>
      </c>
    </row>
    <row r="55" spans="1:10" ht="28.5" customHeight="1" x14ac:dyDescent="0.4">
      <c r="A55" s="1"/>
      <c r="B55" s="60"/>
      <c r="C55" s="228">
        <f>'01.09'!C55</f>
        <v>0</v>
      </c>
      <c r="D55" s="229">
        <f>'28.12'!D55+COUNTIF(D$9:D$38,$C55)</f>
        <v>0</v>
      </c>
      <c r="E55" s="229">
        <f>'28.12'!E55+COUNTIF(E$9:E$38,$C55)</f>
        <v>0</v>
      </c>
      <c r="F55" s="229">
        <f>'28.12'!F55+COUNTIF(F$9:F$38,$C55)</f>
        <v>0</v>
      </c>
      <c r="G55" s="229">
        <f>'28.12'!G55+COUNTIF(G$9:G$38,$C55)</f>
        <v>0</v>
      </c>
      <c r="H55" s="229">
        <f>'28.12'!H55+COUNTIF(H$9:H$38,$C55)</f>
        <v>0</v>
      </c>
      <c r="I55" s="229">
        <f>'28.12'!I55+COUNTIF(I$9:I$38,$C55)</f>
        <v>0</v>
      </c>
      <c r="J55" s="229">
        <f>'28.12'!J55+COUNTIF(J$9:J$38,$C55)</f>
        <v>0</v>
      </c>
    </row>
    <row r="56" spans="1:10" ht="28.5" customHeight="1" x14ac:dyDescent="0.4">
      <c r="A56" s="1"/>
      <c r="B56" s="60"/>
      <c r="C56" s="228">
        <f>'01.09'!C56</f>
        <v>0</v>
      </c>
      <c r="D56" s="229">
        <f>'28.12'!D56+COUNTIF(D$9:D$38,$C56)</f>
        <v>0</v>
      </c>
      <c r="E56" s="229">
        <f>'28.12'!E56+COUNTIF(E$9:E$38,$C56)</f>
        <v>0</v>
      </c>
      <c r="F56" s="229">
        <f>'28.12'!F56+COUNTIF(F$9:F$38,$C56)</f>
        <v>0</v>
      </c>
      <c r="G56" s="229">
        <f>'28.12'!G56+COUNTIF(G$9:G$38,$C56)</f>
        <v>0</v>
      </c>
      <c r="H56" s="229">
        <f>'28.12'!H56+COUNTIF(H$9:H$38,$C56)</f>
        <v>0</v>
      </c>
      <c r="I56" s="229">
        <f>'28.12'!I56+COUNTIF(I$9:I$38,$C56)</f>
        <v>0</v>
      </c>
      <c r="J56" s="229">
        <f>'28.12'!J56+COUNTIF(J$9:J$38,$C56)</f>
        <v>0</v>
      </c>
    </row>
    <row r="57" spans="1:10" ht="28.5" customHeight="1" x14ac:dyDescent="0.4">
      <c r="A57" s="1"/>
      <c r="B57" s="60"/>
      <c r="C57" s="228">
        <f>'01.09'!C57</f>
        <v>0</v>
      </c>
      <c r="D57" s="229">
        <f>'28.12'!D57+COUNTIF(D$9:D$38,$C57)</f>
        <v>0</v>
      </c>
      <c r="E57" s="229">
        <f>'28.12'!E57+COUNTIF(E$9:E$38,$C57)</f>
        <v>0</v>
      </c>
      <c r="F57" s="229">
        <f>'28.12'!F57+COUNTIF(F$9:F$38,$C57)</f>
        <v>0</v>
      </c>
      <c r="G57" s="229">
        <f>'28.12'!G57+COUNTIF(G$9:G$38,$C57)</f>
        <v>0</v>
      </c>
      <c r="H57" s="229">
        <f>'28.12'!H57+COUNTIF(H$9:H$38,$C57)</f>
        <v>0</v>
      </c>
      <c r="I57" s="229">
        <f>'28.12'!I57+COUNTIF(I$9:I$38,$C57)</f>
        <v>0</v>
      </c>
      <c r="J57" s="229">
        <f>'28.12'!J57+COUNTIF(J$9:J$38,$C57)</f>
        <v>0</v>
      </c>
    </row>
    <row r="58" spans="1:10" ht="28.5" customHeight="1" x14ac:dyDescent="0.4">
      <c r="A58" s="1"/>
      <c r="B58" s="60"/>
      <c r="C58" s="228">
        <f>'01.09'!C58</f>
        <v>0</v>
      </c>
      <c r="D58" s="229">
        <f>'28.12'!D58+COUNTIF(D$9:D$38,$C58)</f>
        <v>0</v>
      </c>
      <c r="E58" s="229">
        <f>'28.12'!E58+COUNTIF(E$9:E$38,$C58)</f>
        <v>0</v>
      </c>
      <c r="F58" s="229">
        <f>'28.12'!F58+COUNTIF(F$9:F$38,$C58)</f>
        <v>0</v>
      </c>
      <c r="G58" s="229">
        <f>'28.12'!G58+COUNTIF(G$9:G$38,$C58)</f>
        <v>0</v>
      </c>
      <c r="H58" s="229">
        <f>'28.12'!H58+COUNTIF(H$9:H$38,$C58)</f>
        <v>0</v>
      </c>
      <c r="I58" s="229">
        <f>'28.12'!I58+COUNTIF(I$9:I$38,$C58)</f>
        <v>0</v>
      </c>
      <c r="J58" s="229">
        <f>'28.12'!J58+COUNTIF(J$9:J$38,$C58)</f>
        <v>0</v>
      </c>
    </row>
    <row r="59" spans="1:10" ht="28.5" customHeight="1" x14ac:dyDescent="0.4">
      <c r="A59" s="1"/>
      <c r="B59" s="138"/>
      <c r="C59" s="228">
        <f>'01.09'!C59</f>
        <v>0</v>
      </c>
      <c r="D59" s="229">
        <f>'28.12'!D59+COUNTIF(D$9:D$38,$C59)</f>
        <v>0</v>
      </c>
      <c r="E59" s="229">
        <f>'28.12'!E59+COUNTIF(E$9:E$38,$C59)</f>
        <v>0</v>
      </c>
      <c r="F59" s="229">
        <f>'28.12'!F59+COUNTIF(F$9:F$38,$C59)</f>
        <v>0</v>
      </c>
      <c r="G59" s="229">
        <f>'28.12'!G59+COUNTIF(G$9:G$38,$C59)</f>
        <v>0</v>
      </c>
      <c r="H59" s="229">
        <f>'28.12'!H59+COUNTIF(H$9:H$38,$C59)</f>
        <v>0</v>
      </c>
      <c r="I59" s="229">
        <f>'28.12'!I59+COUNTIF(I$9:I$38,$C59)</f>
        <v>0</v>
      </c>
      <c r="J59" s="229">
        <f>'28.12'!J59+COUNTIF(J$9:J$38,$C59)</f>
        <v>0</v>
      </c>
    </row>
    <row r="60" spans="1:10" ht="28.5" customHeight="1" x14ac:dyDescent="0.4">
      <c r="A60" s="1"/>
      <c r="B60" s="138"/>
      <c r="C60" s="228">
        <f>'01.09'!C60</f>
        <v>0</v>
      </c>
      <c r="D60" s="229">
        <f>'28.12'!D60+COUNTIF(D$9:D$38,$C60)</f>
        <v>0</v>
      </c>
      <c r="E60" s="229">
        <f>'28.12'!E60+COUNTIF(E$9:E$38,$C60)</f>
        <v>0</v>
      </c>
      <c r="F60" s="229">
        <f>'28.12'!F60+COUNTIF(F$9:F$38,$C60)</f>
        <v>0</v>
      </c>
      <c r="G60" s="229">
        <f>'28.12'!G60+COUNTIF(G$9:G$38,$C60)</f>
        <v>0</v>
      </c>
      <c r="H60" s="229">
        <f>'28.12'!H60+COUNTIF(H$9:H$38,$C60)</f>
        <v>0</v>
      </c>
      <c r="I60" s="229">
        <f>'28.12'!I60+COUNTIF(I$9:I$38,$C60)</f>
        <v>0</v>
      </c>
      <c r="J60" s="229">
        <f>'28.12'!J60+COUNTIF(J$9:J$38,$C60)</f>
        <v>0</v>
      </c>
    </row>
    <row r="61" spans="1:10" ht="28.5" customHeight="1" x14ac:dyDescent="0.4">
      <c r="A61" s="1"/>
      <c r="B61" s="60"/>
      <c r="C61" s="228">
        <f>'01.09'!C61</f>
        <v>0</v>
      </c>
      <c r="D61" s="229">
        <f>'28.12'!D61+COUNTIF(D$9:D$38,$C61)</f>
        <v>0</v>
      </c>
      <c r="E61" s="229">
        <f>'28.12'!E61+COUNTIF(E$9:E$38,$C61)</f>
        <v>0</v>
      </c>
      <c r="F61" s="229">
        <f>'28.12'!F61+COUNTIF(F$9:F$38,$C61)</f>
        <v>0</v>
      </c>
      <c r="G61" s="229">
        <f>'28.12'!G61+COUNTIF(G$9:G$38,$C61)</f>
        <v>0</v>
      </c>
      <c r="H61" s="229">
        <f>'28.12'!H61+COUNTIF(H$9:H$38,$C61)</f>
        <v>0</v>
      </c>
      <c r="I61" s="229">
        <f>'28.12'!I61+COUNTIF(I$9:I$38,$C61)</f>
        <v>0</v>
      </c>
      <c r="J61" s="229">
        <f>'28.12'!J61+COUNTIF(J$9:J$38,$C61)</f>
        <v>0</v>
      </c>
    </row>
    <row r="62" spans="1:10" ht="28.5" customHeight="1" x14ac:dyDescent="0.4">
      <c r="A62" s="1"/>
      <c r="B62" s="98"/>
      <c r="C62" s="228">
        <f>'01.09'!C62</f>
        <v>0</v>
      </c>
      <c r="D62" s="229">
        <f>'28.12'!D62+COUNTIF(D$9:D$38,$C62)</f>
        <v>0</v>
      </c>
      <c r="E62" s="229">
        <f>'28.12'!E62+COUNTIF(E$9:E$38,$C62)</f>
        <v>0</v>
      </c>
      <c r="F62" s="229">
        <f>'28.12'!F62+COUNTIF(F$9:F$38,$C62)</f>
        <v>0</v>
      </c>
      <c r="G62" s="229">
        <f>'28.12'!G62+COUNTIF(G$9:G$38,$C62)</f>
        <v>0</v>
      </c>
      <c r="H62" s="229">
        <f>'28.12'!H62+COUNTIF(H$9:H$38,$C62)</f>
        <v>0</v>
      </c>
      <c r="I62" s="229">
        <f>'28.12'!I62+COUNTIF(I$9:I$38,$C62)</f>
        <v>0</v>
      </c>
      <c r="J62" s="229">
        <f>'28.12'!J62+COUNTIF(J$9:J$38,$C62)</f>
        <v>0</v>
      </c>
    </row>
    <row r="63" spans="1:10" ht="45" customHeight="1" x14ac:dyDescent="0.4">
      <c r="A63" s="1"/>
      <c r="B63" s="60"/>
      <c r="C63" s="228">
        <f>'01.09'!C63</f>
        <v>0</v>
      </c>
      <c r="D63" s="229">
        <f>'28.12'!D63+COUNTIF(D$9:D$38,$C63)</f>
        <v>0</v>
      </c>
      <c r="E63" s="229">
        <f>'28.12'!E63+COUNTIF(E$9:E$38,$C63)</f>
        <v>0</v>
      </c>
      <c r="F63" s="229">
        <f>'28.12'!F63+COUNTIF(F$9:F$38,$C63)</f>
        <v>0</v>
      </c>
      <c r="G63" s="229">
        <f>'28.12'!G63+COUNTIF(G$9:G$38,$C63)</f>
        <v>0</v>
      </c>
      <c r="H63" s="229">
        <f>'28.12'!H63+COUNTIF(H$9:H$38,$C63)</f>
        <v>0</v>
      </c>
      <c r="I63" s="229">
        <f>'28.12'!I63+COUNTIF(I$9:I$38,$C63)</f>
        <v>0</v>
      </c>
      <c r="J63" s="229">
        <f>'28.12'!J63+COUNTIF(J$9:J$38,$C63)</f>
        <v>0</v>
      </c>
    </row>
    <row r="64" spans="1:10" ht="26.25" x14ac:dyDescent="0.25">
      <c r="A64" s="1"/>
      <c r="B64" s="1"/>
      <c r="C64" s="228">
        <f>'01.09'!C64</f>
        <v>0</v>
      </c>
      <c r="D64" s="229">
        <f>'28.12'!D64+COUNTIF(D$9:D$38,$C64)</f>
        <v>0</v>
      </c>
      <c r="E64" s="229">
        <f>'28.12'!E64+COUNTIF(E$9:E$38,$C64)</f>
        <v>0</v>
      </c>
      <c r="F64" s="229">
        <f>'28.12'!F64+COUNTIF(F$9:F$38,$C64)</f>
        <v>0</v>
      </c>
      <c r="G64" s="229">
        <f>'28.12'!G64+COUNTIF(G$9:G$38,$C64)</f>
        <v>0</v>
      </c>
      <c r="H64" s="229">
        <f>'28.12'!H64+COUNTIF(H$9:H$38,$C64)</f>
        <v>0</v>
      </c>
      <c r="I64" s="229">
        <f>'28.12'!I64+COUNTIF(I$9:I$38,$C64)</f>
        <v>0</v>
      </c>
      <c r="J64" s="229">
        <f>'28.12'!J64+COUNTIF(J$9:J$38,$C64)</f>
        <v>0</v>
      </c>
    </row>
    <row r="65" spans="1:10" ht="26.25" x14ac:dyDescent="0.25">
      <c r="A65" s="1"/>
      <c r="B65" s="1"/>
      <c r="C65" s="228">
        <f>'01.09'!C65</f>
        <v>0</v>
      </c>
      <c r="D65" s="229">
        <f>'28.12'!D65+COUNTIF(D$9:D$38,$C65)</f>
        <v>0</v>
      </c>
      <c r="E65" s="229">
        <f>'28.12'!E65+COUNTIF(E$9:E$38,$C65)</f>
        <v>0</v>
      </c>
      <c r="F65" s="229">
        <f>'28.12'!F65+COUNTIF(F$9:F$38,$C65)</f>
        <v>0</v>
      </c>
      <c r="G65" s="229">
        <f>'28.12'!G65+COUNTIF(G$9:G$38,$C65)</f>
        <v>0</v>
      </c>
      <c r="H65" s="229">
        <f>'28.12'!H65+COUNTIF(H$9:H$38,$C65)</f>
        <v>0</v>
      </c>
      <c r="I65" s="229">
        <f>'28.12'!I65+COUNTIF(I$9:I$38,$C65)</f>
        <v>0</v>
      </c>
      <c r="J65" s="229">
        <f>'28.12'!J65+COUNTIF(J$9:J$38,$C65)</f>
        <v>0</v>
      </c>
    </row>
    <row r="66" spans="1:10" ht="26.25" x14ac:dyDescent="0.25">
      <c r="A66" s="1"/>
      <c r="B66" s="1"/>
      <c r="C66" s="228">
        <f>'01.09'!C66</f>
        <v>0</v>
      </c>
      <c r="D66" s="229">
        <f>'28.12'!D66+COUNTIF(D$9:D$38,$C66)</f>
        <v>0</v>
      </c>
      <c r="E66" s="229">
        <f>'28.12'!E66+COUNTIF(E$9:E$38,$C66)</f>
        <v>0</v>
      </c>
      <c r="F66" s="229">
        <f>'28.12'!F66+COUNTIF(F$9:F$38,$C66)</f>
        <v>0</v>
      </c>
      <c r="G66" s="229">
        <f>'28.12'!G66+COUNTIF(G$9:G$38,$C66)</f>
        <v>0</v>
      </c>
      <c r="H66" s="229">
        <f>'28.12'!H66+COUNTIF(H$9:H$38,$C66)</f>
        <v>0</v>
      </c>
      <c r="I66" s="229">
        <f>'28.12'!I66+COUNTIF(I$9:I$38,$C66)</f>
        <v>0</v>
      </c>
      <c r="J66" s="229">
        <f>'28.12'!J66+COUNTIF(J$9:J$38,$C66)</f>
        <v>0</v>
      </c>
    </row>
    <row r="67" spans="1:10" ht="26.25" x14ac:dyDescent="0.25">
      <c r="A67" s="1"/>
      <c r="B67" s="1"/>
      <c r="C67" s="228">
        <f>'01.09'!C67</f>
        <v>0</v>
      </c>
      <c r="D67" s="229">
        <f>'28.12'!D67+COUNTIF(D$9:D$38,$C67)</f>
        <v>0</v>
      </c>
      <c r="E67" s="229">
        <f>'28.12'!E67+COUNTIF(E$9:E$38,$C67)</f>
        <v>0</v>
      </c>
      <c r="F67" s="229">
        <f>'28.12'!F67+COUNTIF(F$9:F$38,$C67)</f>
        <v>0</v>
      </c>
      <c r="G67" s="229">
        <f>'28.12'!G67+COUNTIF(G$9:G$38,$C67)</f>
        <v>0</v>
      </c>
      <c r="H67" s="229">
        <f>'28.12'!H67+COUNTIF(H$9:H$38,$C67)</f>
        <v>0</v>
      </c>
      <c r="I67" s="229">
        <f>'28.12'!I67+COUNTIF(I$9:I$38,$C67)</f>
        <v>0</v>
      </c>
      <c r="J67" s="229">
        <f>'28.12'!J67+COUNTIF(J$9:J$38,$C67)</f>
        <v>0</v>
      </c>
    </row>
    <row r="68" spans="1:10" ht="26.25" x14ac:dyDescent="0.25">
      <c r="A68" s="1"/>
      <c r="B68" s="1"/>
      <c r="C68" s="228">
        <f>'01.09'!C68</f>
        <v>0</v>
      </c>
      <c r="D68" s="229">
        <f>'28.12'!D68+COUNTIF(D$9:D$38,$C68)</f>
        <v>0</v>
      </c>
      <c r="E68" s="229">
        <f>'28.12'!E68+COUNTIF(E$9:E$38,$C68)</f>
        <v>0</v>
      </c>
      <c r="F68" s="229">
        <f>'28.12'!F68+COUNTIF(F$9:F$38,$C68)</f>
        <v>0</v>
      </c>
      <c r="G68" s="229">
        <f>'28.12'!G68+COUNTIF(G$9:G$38,$C68)</f>
        <v>0</v>
      </c>
      <c r="H68" s="229">
        <f>'28.12'!H68+COUNTIF(H$9:H$38,$C68)</f>
        <v>0</v>
      </c>
      <c r="I68" s="229">
        <f>'28.12'!I68+COUNTIF(I$9:I$38,$C68)</f>
        <v>0</v>
      </c>
      <c r="J68" s="229">
        <f>'28.12'!J68+COUNTIF(J$9:J$38,$C68)</f>
        <v>0</v>
      </c>
    </row>
    <row r="69" spans="1:10" ht="26.25" x14ac:dyDescent="0.25">
      <c r="A69" s="1"/>
      <c r="B69" s="1"/>
      <c r="C69" s="228">
        <f>'01.09'!C69</f>
        <v>0</v>
      </c>
      <c r="D69" s="229">
        <f>'28.12'!D69+COUNTIF(D$9:D$38,$C69)</f>
        <v>0</v>
      </c>
      <c r="E69" s="229">
        <f>'28.12'!E69+COUNTIF(E$9:E$38,$C69)</f>
        <v>0</v>
      </c>
      <c r="F69" s="229">
        <f>'28.12'!F69+COUNTIF(F$9:F$38,$C69)</f>
        <v>0</v>
      </c>
      <c r="G69" s="229">
        <f>'28.12'!G69+COUNTIF(G$9:G$38,$C69)</f>
        <v>0</v>
      </c>
      <c r="H69" s="229">
        <f>'28.12'!H69+COUNTIF(H$9:H$38,$C69)</f>
        <v>0</v>
      </c>
      <c r="I69" s="229">
        <f>'28.12'!I69+COUNTIF(I$9:I$38,$C69)</f>
        <v>0</v>
      </c>
      <c r="J69" s="229">
        <f>'28.12'!J69+COUNTIF(J$9:J$38,$C69)</f>
        <v>0</v>
      </c>
    </row>
    <row r="70" spans="1:10" ht="26.25" x14ac:dyDescent="0.25">
      <c r="A70" s="1"/>
      <c r="B70" s="1"/>
      <c r="C70" s="228">
        <f>'01.09'!C70</f>
        <v>0</v>
      </c>
      <c r="D70" s="229">
        <f>'28.12'!D70+COUNTIF(D$9:D$38,$C70)</f>
        <v>0</v>
      </c>
      <c r="E70" s="229">
        <f>'28.12'!E70+COUNTIF(E$9:E$38,$C70)</f>
        <v>0</v>
      </c>
      <c r="F70" s="229">
        <f>'28.12'!F70+COUNTIF(F$9:F$38,$C70)</f>
        <v>0</v>
      </c>
      <c r="G70" s="229">
        <f>'28.12'!G70+COUNTIF(G$9:G$38,$C70)</f>
        <v>0</v>
      </c>
      <c r="H70" s="229">
        <f>'28.12'!H70+COUNTIF(H$9:H$38,$C70)</f>
        <v>0</v>
      </c>
      <c r="I70" s="229">
        <f>'28.12'!I70+COUNTIF(I$9:I$38,$C70)</f>
        <v>0</v>
      </c>
      <c r="J70" s="229">
        <f>'28.12'!J70+COUNTIF(J$9:J$38,$C70)</f>
        <v>0</v>
      </c>
    </row>
    <row r="71" spans="1:10" ht="26.25" x14ac:dyDescent="0.25">
      <c r="A71" s="1"/>
      <c r="B71" s="1"/>
      <c r="C71" s="228">
        <f>'01.09'!C71</f>
        <v>0</v>
      </c>
      <c r="D71" s="229">
        <f>'28.12'!D71+COUNTIF(D$9:D$38,$C71)</f>
        <v>0</v>
      </c>
      <c r="E71" s="229">
        <f>'28.12'!E71+COUNTIF(E$9:E$38,$C71)</f>
        <v>0</v>
      </c>
      <c r="F71" s="229">
        <f>'28.12'!F71+COUNTIF(F$9:F$38,$C71)</f>
        <v>0</v>
      </c>
      <c r="G71" s="229">
        <f>'28.12'!G71+COUNTIF(G$9:G$38,$C71)</f>
        <v>0</v>
      </c>
      <c r="H71" s="229">
        <f>'28.12'!H71+COUNTIF(H$9:H$38,$C71)</f>
        <v>0</v>
      </c>
      <c r="I71" s="229">
        <f>'28.12'!I71+COUNTIF(I$9:I$38,$C71)</f>
        <v>0</v>
      </c>
      <c r="J71" s="229">
        <f>'28.12'!J71+COUNTIF(J$9:J$38,$C71)</f>
        <v>0</v>
      </c>
    </row>
    <row r="72" spans="1:10" ht="26.25" x14ac:dyDescent="0.25">
      <c r="C72" s="228">
        <f>'01.09'!C72</f>
        <v>0</v>
      </c>
      <c r="D72" s="229">
        <f>'28.12'!D72+COUNTIF(D$9:D$38,$C72)</f>
        <v>0</v>
      </c>
      <c r="E72" s="229">
        <f>'28.12'!E72+COUNTIF(E$9:E$38,$C72)</f>
        <v>0</v>
      </c>
      <c r="F72" s="229">
        <f>'28.12'!F72+COUNTIF(F$9:F$38,$C72)</f>
        <v>0</v>
      </c>
      <c r="G72" s="229">
        <f>'28.12'!G72+COUNTIF(G$9:G$38,$C72)</f>
        <v>0</v>
      </c>
      <c r="H72" s="229">
        <f>'28.12'!H72+COUNTIF(H$9:H$38,$C72)</f>
        <v>0</v>
      </c>
      <c r="I72" s="229">
        <f>'28.12'!I72+COUNTIF(I$9:I$38,$C72)</f>
        <v>0</v>
      </c>
      <c r="J72" s="229">
        <f>'28.12'!J72+COUNTIF(J$9:J$38,$C72)</f>
        <v>0</v>
      </c>
    </row>
    <row r="73" spans="1:10" ht="26.25" x14ac:dyDescent="0.25">
      <c r="C73" s="228">
        <f>'01.09'!C73</f>
        <v>0</v>
      </c>
      <c r="D73" s="229">
        <f>'28.12'!D73+COUNTIF(D$9:D$38,$C73)</f>
        <v>0</v>
      </c>
      <c r="E73" s="229">
        <f>'28.12'!E73+COUNTIF(E$9:E$38,$C73)</f>
        <v>0</v>
      </c>
      <c r="F73" s="229">
        <f>'28.12'!F73+COUNTIF(F$9:F$38,$C73)</f>
        <v>0</v>
      </c>
      <c r="G73" s="229">
        <f>'28.12'!G73+COUNTIF(G$9:G$38,$C73)</f>
        <v>0</v>
      </c>
      <c r="H73" s="229">
        <f>'28.12'!H73+COUNTIF(H$9:H$38,$C73)</f>
        <v>0</v>
      </c>
      <c r="I73" s="229">
        <f>'28.12'!I73+COUNTIF(I$9:I$38,$C73)</f>
        <v>0</v>
      </c>
      <c r="J73" s="229">
        <f>'28.12'!J73+COUNTIF(J$9:J$38,$C73)</f>
        <v>0</v>
      </c>
    </row>
  </sheetData>
  <mergeCells count="20">
    <mergeCell ref="B1:J1"/>
    <mergeCell ref="B2:J2"/>
    <mergeCell ref="A3:J3"/>
    <mergeCell ref="B5:J5"/>
    <mergeCell ref="A7:A8"/>
    <mergeCell ref="B7:B8"/>
    <mergeCell ref="C7:C8"/>
    <mergeCell ref="B4:J4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40" zoomScaleNormal="40" zoomScaleSheetLayoutView="40" zoomScalePageLayoutView="40" workbookViewId="0">
      <selection activeCell="G14" sqref="G14"/>
    </sheetView>
  </sheetViews>
  <sheetFormatPr defaultRowHeight="15" x14ac:dyDescent="0.25"/>
  <cols>
    <col min="1" max="1" width="4.42578125" customWidth="1"/>
    <col min="2" max="2" width="6.28515625" customWidth="1"/>
    <col min="3" max="3" width="27.7109375" customWidth="1"/>
    <col min="4" max="4" width="49" customWidth="1"/>
    <col min="5" max="5" width="47" customWidth="1"/>
    <col min="6" max="6" width="46" customWidth="1"/>
    <col min="7" max="7" width="62.85546875" customWidth="1"/>
    <col min="8" max="8" width="70.7109375" customWidth="1"/>
    <col min="9" max="9" width="51.85546875" customWidth="1"/>
    <col min="10" max="10" width="49" customWidth="1"/>
    <col min="11" max="11" width="38.42578125" customWidth="1"/>
  </cols>
  <sheetData>
    <row r="1" spans="1:10" s="4" customFormat="1" ht="30" x14ac:dyDescent="0.4">
      <c r="A1" s="234"/>
      <c r="B1" s="554" t="s">
        <v>115</v>
      </c>
      <c r="C1" s="554"/>
      <c r="D1" s="554"/>
      <c r="E1" s="554"/>
      <c r="F1" s="554"/>
      <c r="G1" s="554"/>
      <c r="H1" s="554"/>
      <c r="I1" s="554"/>
      <c r="J1" s="554"/>
    </row>
    <row r="2" spans="1:10" s="4" customFormat="1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4" customFormat="1" ht="30" x14ac:dyDescent="0.35">
      <c r="A4" s="235"/>
      <c r="B4" s="554" t="s">
        <v>116</v>
      </c>
      <c r="C4" s="554"/>
      <c r="D4" s="554"/>
      <c r="E4" s="554"/>
      <c r="F4" s="554"/>
      <c r="G4" s="554"/>
      <c r="H4" s="554"/>
      <c r="I4" s="554"/>
      <c r="J4" s="554"/>
    </row>
    <row r="5" spans="1:10" s="4" customFormat="1" ht="30" x14ac:dyDescent="0.3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32" t="s">
        <v>16</v>
      </c>
      <c r="B7" s="632" t="s">
        <v>9</v>
      </c>
      <c r="C7" s="602" t="s">
        <v>15</v>
      </c>
      <c r="D7" s="209" t="s">
        <v>80</v>
      </c>
      <c r="E7" s="139" t="s">
        <v>43</v>
      </c>
      <c r="F7" s="139" t="s">
        <v>44</v>
      </c>
      <c r="G7" s="139" t="s">
        <v>45</v>
      </c>
      <c r="H7" s="161" t="s">
        <v>46</v>
      </c>
      <c r="I7" s="161" t="s">
        <v>47</v>
      </c>
      <c r="J7" s="207" t="s">
        <v>11</v>
      </c>
    </row>
    <row r="8" spans="1:10" ht="160.5" customHeight="1" thickBot="1" x14ac:dyDescent="0.3">
      <c r="A8" s="633"/>
      <c r="B8" s="633"/>
      <c r="C8" s="634"/>
      <c r="D8" s="218" t="s">
        <v>65</v>
      </c>
      <c r="E8" s="298" t="s">
        <v>67</v>
      </c>
      <c r="F8" s="298" t="s">
        <v>48</v>
      </c>
      <c r="G8" s="298" t="s">
        <v>63</v>
      </c>
      <c r="H8" s="298" t="s">
        <v>56</v>
      </c>
      <c r="I8" s="298" t="s">
        <v>83</v>
      </c>
      <c r="J8" s="179" t="s">
        <v>82</v>
      </c>
    </row>
    <row r="9" spans="1:10" ht="26.25" x14ac:dyDescent="0.25">
      <c r="A9" s="643" t="s">
        <v>0</v>
      </c>
      <c r="B9" s="648">
        <v>45824</v>
      </c>
      <c r="C9" s="90" t="s">
        <v>5</v>
      </c>
      <c r="D9" s="332"/>
      <c r="E9" s="309"/>
      <c r="F9" s="309"/>
      <c r="G9" s="309"/>
      <c r="H9" s="309"/>
      <c r="I9" s="309"/>
      <c r="J9" s="310"/>
    </row>
    <row r="10" spans="1:10" ht="26.25" x14ac:dyDescent="0.25">
      <c r="A10" s="644"/>
      <c r="B10" s="619"/>
      <c r="C10" s="91" t="s">
        <v>6</v>
      </c>
      <c r="D10" s="253"/>
      <c r="E10" s="311"/>
      <c r="F10" s="311"/>
      <c r="G10" s="311"/>
      <c r="H10" s="311"/>
      <c r="I10" s="311"/>
      <c r="J10" s="338"/>
    </row>
    <row r="11" spans="1:10" ht="240" customHeight="1" x14ac:dyDescent="0.25">
      <c r="A11" s="644"/>
      <c r="B11" s="619"/>
      <c r="C11" s="91" t="s">
        <v>7</v>
      </c>
      <c r="D11" s="312"/>
      <c r="E11" s="330"/>
      <c r="F11" s="313"/>
      <c r="G11" s="121"/>
      <c r="H11" s="313"/>
      <c r="I11" s="311"/>
      <c r="J11" s="337"/>
    </row>
    <row r="12" spans="1:10" ht="165" customHeight="1" x14ac:dyDescent="0.25">
      <c r="A12" s="644"/>
      <c r="B12" s="619"/>
      <c r="C12" s="91" t="s">
        <v>8</v>
      </c>
      <c r="D12" s="312"/>
      <c r="E12" s="30"/>
      <c r="F12" s="313"/>
      <c r="G12" s="30"/>
      <c r="H12" s="313"/>
      <c r="I12" s="313"/>
      <c r="J12" s="38"/>
    </row>
    <row r="13" spans="1:10" ht="27" thickBot="1" x14ac:dyDescent="0.3">
      <c r="A13" s="644"/>
      <c r="B13" s="619"/>
      <c r="C13" s="92" t="s">
        <v>10</v>
      </c>
      <c r="D13" s="274"/>
      <c r="E13" s="325"/>
      <c r="F13" s="325"/>
      <c r="G13" s="325"/>
      <c r="H13" s="325"/>
      <c r="I13" s="325"/>
      <c r="J13" s="326"/>
    </row>
    <row r="14" spans="1:10" ht="73.5" customHeight="1" x14ac:dyDescent="0.25">
      <c r="A14" s="643" t="s">
        <v>1</v>
      </c>
      <c r="B14" s="621">
        <f>B9+1</f>
        <v>45825</v>
      </c>
      <c r="C14" s="90" t="s">
        <v>5</v>
      </c>
      <c r="D14" s="329"/>
      <c r="E14" s="163"/>
      <c r="F14" s="163"/>
      <c r="G14" s="163"/>
      <c r="H14" s="163"/>
      <c r="I14" s="163"/>
      <c r="J14" s="164"/>
    </row>
    <row r="15" spans="1:10" ht="26.25" x14ac:dyDescent="0.25">
      <c r="A15" s="644"/>
      <c r="B15" s="619"/>
      <c r="C15" s="91" t="s">
        <v>6</v>
      </c>
      <c r="D15" s="333"/>
      <c r="E15" s="330"/>
      <c r="F15" s="313"/>
      <c r="G15" s="313"/>
      <c r="H15" s="327"/>
      <c r="I15" s="314"/>
      <c r="J15" s="334"/>
    </row>
    <row r="16" spans="1:10" ht="26.25" x14ac:dyDescent="0.25">
      <c r="A16" s="644"/>
      <c r="B16" s="619"/>
      <c r="C16" s="91" t="s">
        <v>7</v>
      </c>
      <c r="D16" s="29"/>
      <c r="E16" s="30"/>
      <c r="F16" s="30"/>
      <c r="G16" s="30"/>
      <c r="H16" s="121"/>
      <c r="I16" s="313"/>
      <c r="J16" s="315"/>
    </row>
    <row r="17" spans="1:11" ht="26.25" x14ac:dyDescent="0.25">
      <c r="A17" s="644"/>
      <c r="B17" s="619"/>
      <c r="C17" s="91" t="s">
        <v>8</v>
      </c>
      <c r="D17" s="157"/>
      <c r="E17" s="30"/>
      <c r="F17" s="30"/>
      <c r="G17" s="121"/>
      <c r="H17" s="30"/>
      <c r="I17" s="313"/>
      <c r="J17" s="38"/>
    </row>
    <row r="18" spans="1:11" ht="27" thickBot="1" x14ac:dyDescent="0.3">
      <c r="A18" s="645"/>
      <c r="B18" s="619"/>
      <c r="C18" s="92" t="s">
        <v>10</v>
      </c>
      <c r="D18" s="316"/>
      <c r="E18" s="317"/>
      <c r="F18" s="317"/>
      <c r="G18" s="318"/>
      <c r="H18" s="317"/>
      <c r="I18" s="318"/>
      <c r="J18" s="319"/>
      <c r="K18" s="2"/>
    </row>
    <row r="19" spans="1:11" ht="26.25" x14ac:dyDescent="0.25">
      <c r="A19" s="657" t="s">
        <v>2</v>
      </c>
      <c r="B19" s="626">
        <f>B14+1</f>
        <v>45826</v>
      </c>
      <c r="C19" s="57" t="s">
        <v>5</v>
      </c>
      <c r="D19" s="31"/>
      <c r="E19" s="28"/>
      <c r="F19" s="150"/>
      <c r="G19" s="28"/>
      <c r="H19" s="320"/>
      <c r="I19" s="28"/>
      <c r="J19" s="336"/>
    </row>
    <row r="20" spans="1:11" ht="165" customHeight="1" x14ac:dyDescent="0.25">
      <c r="A20" s="661"/>
      <c r="B20" s="624"/>
      <c r="C20" s="58" t="s">
        <v>6</v>
      </c>
      <c r="D20" s="29"/>
      <c r="E20" s="327"/>
      <c r="F20" s="30"/>
      <c r="G20" s="30"/>
      <c r="H20" s="313"/>
      <c r="I20" s="121"/>
      <c r="J20" s="315"/>
    </row>
    <row r="21" spans="1:11" ht="26.25" x14ac:dyDescent="0.25">
      <c r="A21" s="661"/>
      <c r="B21" s="624"/>
      <c r="C21" s="58" t="s">
        <v>7</v>
      </c>
      <c r="D21" s="29"/>
      <c r="E21" s="121"/>
      <c r="F21" s="121"/>
      <c r="G21" s="353"/>
      <c r="H21" s="313"/>
      <c r="I21" s="121"/>
      <c r="J21" s="315"/>
      <c r="K21" s="2"/>
    </row>
    <row r="22" spans="1:11" ht="26.25" x14ac:dyDescent="0.25">
      <c r="A22" s="661"/>
      <c r="B22" s="624"/>
      <c r="C22" s="58" t="s">
        <v>8</v>
      </c>
      <c r="D22" s="29"/>
      <c r="E22" s="30"/>
      <c r="F22" s="30"/>
      <c r="G22" s="30"/>
      <c r="H22" s="30"/>
      <c r="I22" s="121"/>
      <c r="J22" s="38"/>
    </row>
    <row r="23" spans="1:11" ht="28.5" thickBot="1" x14ac:dyDescent="0.3">
      <c r="A23" s="662"/>
      <c r="B23" s="624"/>
      <c r="C23" s="59" t="s">
        <v>10</v>
      </c>
      <c r="D23" s="211"/>
      <c r="E23" s="199"/>
      <c r="F23" s="199"/>
      <c r="G23" s="194"/>
      <c r="H23" s="194"/>
      <c r="I23" s="199"/>
      <c r="J23" s="204"/>
    </row>
    <row r="24" spans="1:11" ht="26.25" x14ac:dyDescent="0.25">
      <c r="A24" s="657" t="s">
        <v>3</v>
      </c>
      <c r="B24" s="626">
        <f>B19+1</f>
        <v>45827</v>
      </c>
      <c r="C24" s="67" t="s">
        <v>5</v>
      </c>
      <c r="D24" s="31"/>
      <c r="E24" s="28"/>
      <c r="F24" s="320"/>
      <c r="G24" s="320"/>
      <c r="H24" s="28"/>
      <c r="I24" s="320"/>
      <c r="J24" s="37"/>
    </row>
    <row r="25" spans="1:11" ht="88.5" customHeight="1" x14ac:dyDescent="0.25">
      <c r="A25" s="658"/>
      <c r="B25" s="624"/>
      <c r="C25" s="68" t="s">
        <v>6</v>
      </c>
      <c r="D25" s="312"/>
      <c r="E25" s="30"/>
      <c r="F25" s="30"/>
      <c r="G25" s="313"/>
      <c r="H25" s="313"/>
      <c r="I25" s="121"/>
      <c r="J25" s="38"/>
    </row>
    <row r="26" spans="1:11" ht="171" customHeight="1" x14ac:dyDescent="0.25">
      <c r="A26" s="658"/>
      <c r="B26" s="624"/>
      <c r="C26" s="68" t="s">
        <v>7</v>
      </c>
      <c r="D26" s="29"/>
      <c r="E26" s="30"/>
      <c r="F26" s="30"/>
      <c r="G26" s="313"/>
      <c r="H26" s="30"/>
      <c r="I26" s="30"/>
      <c r="J26" s="38"/>
    </row>
    <row r="27" spans="1:11" ht="117" customHeight="1" x14ac:dyDescent="0.25">
      <c r="A27" s="658"/>
      <c r="B27" s="624"/>
      <c r="C27" s="68" t="s">
        <v>8</v>
      </c>
      <c r="D27" s="29"/>
      <c r="E27" s="30"/>
      <c r="F27" s="30"/>
      <c r="G27" s="121"/>
      <c r="H27" s="30"/>
      <c r="I27" s="30"/>
      <c r="J27" s="38"/>
    </row>
    <row r="28" spans="1:11" ht="27" thickBot="1" x14ac:dyDescent="0.3">
      <c r="A28" s="659"/>
      <c r="B28" s="624"/>
      <c r="C28" s="69" t="s">
        <v>10</v>
      </c>
      <c r="D28" s="321"/>
      <c r="E28" s="322"/>
      <c r="F28" s="32"/>
      <c r="G28" s="323"/>
      <c r="H28" s="81"/>
      <c r="I28" s="323"/>
      <c r="J28" s="324"/>
    </row>
    <row r="29" spans="1:11" ht="26.25" x14ac:dyDescent="0.25">
      <c r="A29" s="657" t="s">
        <v>4</v>
      </c>
      <c r="B29" s="626">
        <f>B24+1</f>
        <v>45828</v>
      </c>
      <c r="C29" s="57" t="s">
        <v>5</v>
      </c>
      <c r="D29" s="31"/>
      <c r="E29" s="327"/>
      <c r="F29" s="328"/>
      <c r="G29" s="163"/>
      <c r="H29" s="163"/>
      <c r="I29" s="163"/>
      <c r="J29" s="164"/>
    </row>
    <row r="30" spans="1:11" ht="26.25" x14ac:dyDescent="0.25">
      <c r="A30" s="661"/>
      <c r="B30" s="624"/>
      <c r="C30" s="58" t="s">
        <v>6</v>
      </c>
      <c r="D30" s="29"/>
      <c r="E30" s="313"/>
      <c r="F30" s="30"/>
      <c r="G30" s="30"/>
      <c r="H30" s="30"/>
      <c r="I30" s="30"/>
      <c r="J30" s="38"/>
    </row>
    <row r="31" spans="1:11" ht="71.25" customHeight="1" x14ac:dyDescent="0.25">
      <c r="A31" s="661"/>
      <c r="B31" s="624"/>
      <c r="C31" s="58" t="s">
        <v>7</v>
      </c>
      <c r="D31" s="312"/>
      <c r="E31" s="30"/>
      <c r="F31" s="30"/>
      <c r="G31" s="121"/>
      <c r="H31" s="30"/>
      <c r="I31" s="30"/>
      <c r="J31" s="38"/>
    </row>
    <row r="32" spans="1:11" ht="77.25" customHeight="1" x14ac:dyDescent="0.25">
      <c r="A32" s="661"/>
      <c r="B32" s="624"/>
      <c r="C32" s="58" t="s">
        <v>8</v>
      </c>
      <c r="D32" s="312"/>
      <c r="E32" s="30"/>
      <c r="F32" s="30"/>
      <c r="G32" s="30"/>
      <c r="H32" s="30"/>
      <c r="I32" s="313"/>
      <c r="J32" s="38"/>
    </row>
    <row r="33" spans="1:11" ht="85.5" customHeight="1" thickBot="1" x14ac:dyDescent="0.3">
      <c r="A33" s="662"/>
      <c r="B33" s="624"/>
      <c r="C33" s="59" t="s">
        <v>10</v>
      </c>
      <c r="D33" s="80"/>
      <c r="E33" s="81"/>
      <c r="F33" s="81"/>
      <c r="G33" s="81"/>
      <c r="H33" s="81"/>
      <c r="I33" s="81"/>
      <c r="J33" s="93"/>
    </row>
    <row r="34" spans="1:11" ht="84.75" customHeight="1" x14ac:dyDescent="0.25">
      <c r="A34" s="627" t="s">
        <v>12</v>
      </c>
      <c r="B34" s="626">
        <f>B29+1</f>
        <v>45829</v>
      </c>
      <c r="C34" s="67" t="s">
        <v>5</v>
      </c>
      <c r="D34" s="31"/>
      <c r="E34" s="28"/>
      <c r="F34" s="28"/>
      <c r="G34" s="28"/>
      <c r="H34" s="28"/>
      <c r="I34" s="28"/>
      <c r="J34" s="37"/>
    </row>
    <row r="35" spans="1:11" ht="84.75" customHeight="1" x14ac:dyDescent="0.25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38"/>
    </row>
    <row r="36" spans="1:11" ht="84.75" customHeight="1" x14ac:dyDescent="0.25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1" ht="84.75" customHeight="1" x14ac:dyDescent="0.25">
      <c r="A37" s="624"/>
      <c r="B37" s="624"/>
      <c r="C37" s="68" t="s">
        <v>8</v>
      </c>
      <c r="D37" s="157"/>
      <c r="E37" s="79"/>
      <c r="F37" s="79"/>
      <c r="G37" s="79"/>
      <c r="H37" s="30"/>
      <c r="I37" s="79"/>
      <c r="J37" s="86"/>
    </row>
    <row r="38" spans="1:11" ht="84.75" customHeight="1" thickBot="1" x14ac:dyDescent="0.3">
      <c r="A38" s="660"/>
      <c r="B38" s="660"/>
      <c r="C38" s="69" t="s">
        <v>10</v>
      </c>
      <c r="D38" s="80"/>
      <c r="E38" s="81"/>
      <c r="F38" s="32"/>
      <c r="G38" s="32"/>
      <c r="H38" s="81"/>
      <c r="I38" s="81"/>
      <c r="J38" s="158"/>
    </row>
    <row r="39" spans="1:11" ht="27.75" x14ac:dyDescent="0.25">
      <c r="A39" s="1"/>
      <c r="B39" s="1"/>
      <c r="C39" s="1"/>
      <c r="D39" s="136" t="s">
        <v>51</v>
      </c>
      <c r="E39" s="1"/>
      <c r="F39" s="1"/>
      <c r="G39" s="1"/>
      <c r="H39" s="1"/>
      <c r="I39" s="1"/>
    </row>
    <row r="40" spans="1:11" ht="28.5" customHeight="1" x14ac:dyDescent="0.4">
      <c r="A40" s="1"/>
      <c r="B40" s="60">
        <v>9</v>
      </c>
      <c r="C40" s="256" t="str">
        <f>'01.09'!C40</f>
        <v>*Л. Основы медицинских знаний и спортивная медицина*</v>
      </c>
      <c r="D40" s="66">
        <f>'09.06'!D40+COUNTIF(D$9:D$38,$C40)</f>
        <v>8</v>
      </c>
      <c r="E40" s="66">
        <f>'09.06'!E40+COUNTIF(E$9:E$38,$C40)</f>
        <v>8</v>
      </c>
      <c r="F40" s="66">
        <f>'09.06'!F40+COUNTIF(F$9:F$38,$C40)</f>
        <v>8</v>
      </c>
      <c r="G40" s="66">
        <f>'09.06'!G40+COUNTIF(G$9:G$38,$C40)</f>
        <v>8</v>
      </c>
      <c r="H40" s="66">
        <f>'09.06'!H40+COUNTIF(H$9:H$38,$C40)</f>
        <v>8</v>
      </c>
      <c r="I40" s="66">
        <f>'09.06'!I40+COUNTIF(I$9:I$38,$C40)</f>
        <v>8</v>
      </c>
      <c r="J40" s="66">
        <f>'09.06'!J40+COUNTIF(J$9:J$38,$C40)</f>
        <v>8</v>
      </c>
    </row>
    <row r="41" spans="1:11" ht="28.5" customHeight="1" x14ac:dyDescent="0.4">
      <c r="A41" s="1"/>
      <c r="B41" s="60">
        <v>23</v>
      </c>
      <c r="C41" s="256" t="str">
        <f>'01.09'!C41</f>
        <v>*Пр. Основы медицинских знаний и спортивная медицина*</v>
      </c>
      <c r="D41" s="66">
        <f>'09.06'!D41+COUNTIF(D$9:D$38,$C41)</f>
        <v>14</v>
      </c>
      <c r="E41" s="66">
        <f>'09.06'!E41+COUNTIF(E$9:E$38,$C41)</f>
        <v>14</v>
      </c>
      <c r="F41" s="66">
        <f>'09.06'!F41+COUNTIF(F$9:F$38,$C41)</f>
        <v>13</v>
      </c>
      <c r="G41" s="66">
        <f>'09.06'!G41+COUNTIF(G$9:G$38,$C41)</f>
        <v>9</v>
      </c>
      <c r="H41" s="66">
        <f>'09.06'!H41+COUNTIF(H$9:H$38,$C41)</f>
        <v>14</v>
      </c>
      <c r="I41" s="66">
        <f>'09.06'!I41+COUNTIF(I$9:I$38,$C41)</f>
        <v>13</v>
      </c>
      <c r="J41" s="66">
        <f>'09.06'!J41+COUNTIF(J$9:J$38,$C41)</f>
        <v>13</v>
      </c>
    </row>
    <row r="42" spans="1:11" ht="28.5" customHeight="1" x14ac:dyDescent="0.4">
      <c r="A42" s="1"/>
      <c r="B42" s="60">
        <v>6</v>
      </c>
      <c r="C42" s="256" t="str">
        <f>'01.09'!C42</f>
        <v>*Л. Массаж*</v>
      </c>
      <c r="D42" s="66">
        <f>'09.06'!D42+COUNTIF(D$9:D$38,$C42)</f>
        <v>5</v>
      </c>
      <c r="E42" s="66">
        <f>'09.06'!E42+COUNTIF(E$9:E$38,$C42)</f>
        <v>5</v>
      </c>
      <c r="F42" s="66">
        <f>'09.06'!F42+COUNTIF(F$9:F$38,$C42)</f>
        <v>5</v>
      </c>
      <c r="G42" s="66">
        <f>'09.06'!G42+COUNTIF(G$9:G$38,$C42)</f>
        <v>5</v>
      </c>
      <c r="H42" s="66">
        <f>'09.06'!H42+COUNTIF(H$9:H$38,$C42)</f>
        <v>5</v>
      </c>
      <c r="I42" s="66">
        <f>'09.06'!I42+COUNTIF(I$9:I$38,$C42)</f>
        <v>5</v>
      </c>
      <c r="J42" s="66">
        <f>'09.06'!J42+COUNTIF(J$9:J$38,$C42)</f>
        <v>5</v>
      </c>
    </row>
    <row r="43" spans="1:11" ht="28.5" customHeight="1" x14ac:dyDescent="0.4">
      <c r="A43" s="1"/>
      <c r="B43" s="60">
        <v>18</v>
      </c>
      <c r="C43" s="256" t="str">
        <f>'01.09'!C43</f>
        <v>*Пр. Массаж*</v>
      </c>
      <c r="D43" s="66">
        <f>'09.06'!D43+COUNTIF(D$9:D$38,$C43)</f>
        <v>13</v>
      </c>
      <c r="E43" s="66">
        <f>'09.06'!E43+COUNTIF(E$9:E$38,$C43)</f>
        <v>13</v>
      </c>
      <c r="F43" s="66">
        <f>'09.06'!F43+COUNTIF(F$9:F$38,$C43)</f>
        <v>13</v>
      </c>
      <c r="G43" s="66">
        <f>'09.06'!G43+COUNTIF(G$9:G$38,$C43)</f>
        <v>14</v>
      </c>
      <c r="H43" s="66">
        <f>'09.06'!H43+COUNTIF(H$9:H$38,$C43)</f>
        <v>14</v>
      </c>
      <c r="I43" s="66">
        <f>'09.06'!I43+COUNTIF(I$9:I$38,$C43)</f>
        <v>14</v>
      </c>
      <c r="J43" s="66">
        <f>'09.06'!J43+COUNTIF(J$9:J$38,$C43)</f>
        <v>14</v>
      </c>
    </row>
    <row r="44" spans="1:11" ht="28.5" customHeight="1" x14ac:dyDescent="0.4">
      <c r="A44" s="1"/>
      <c r="B44" s="60">
        <v>5</v>
      </c>
      <c r="C44" s="256" t="str">
        <f>'01.09'!C44</f>
        <v>*Л. Правовые основы профессиональной деятельности*</v>
      </c>
      <c r="D44" s="66">
        <f>'09.06'!D44+COUNTIF(D$9:D$38,$C44)</f>
        <v>5</v>
      </c>
      <c r="E44" s="66">
        <f>'09.06'!E44+COUNTIF(E$9:E$38,$C44)</f>
        <v>5</v>
      </c>
      <c r="F44" s="66">
        <f>'09.06'!F44+COUNTIF(F$9:F$38,$C44)</f>
        <v>5</v>
      </c>
      <c r="G44" s="66">
        <f>'09.06'!G44+COUNTIF(G$9:G$38,$C44)</f>
        <v>5</v>
      </c>
      <c r="H44" s="66">
        <f>'09.06'!H44+COUNTIF(H$9:H$38,$C44)</f>
        <v>5</v>
      </c>
      <c r="I44" s="66">
        <f>'09.06'!I44+COUNTIF(I$9:I$38,$C44)</f>
        <v>5</v>
      </c>
      <c r="J44" s="66">
        <f>'09.06'!J44+COUNTIF(J$9:J$38,$C44)</f>
        <v>5</v>
      </c>
    </row>
    <row r="45" spans="1:11" ht="28.5" customHeight="1" thickBot="1" x14ac:dyDescent="0.45">
      <c r="A45" s="1"/>
      <c r="B45" s="60">
        <v>6</v>
      </c>
      <c r="C45" s="358" t="str">
        <f>'01.09'!C45</f>
        <v>*Пр. Правовые основы профессиональной деятельности*</v>
      </c>
      <c r="D45" s="339">
        <f>'09.06'!D45+COUNTIF(D$9:D$38,$C45)</f>
        <v>7</v>
      </c>
      <c r="E45" s="339">
        <f>'09.06'!E45+COUNTIF(E$9:E$38,$C45)</f>
        <v>8</v>
      </c>
      <c r="F45" s="339">
        <f>'09.06'!F45+COUNTIF(F$9:F$38,$C45)</f>
        <v>7</v>
      </c>
      <c r="G45" s="339">
        <f>'09.06'!G45+COUNTIF(G$9:G$38,$C45)</f>
        <v>7</v>
      </c>
      <c r="H45" s="339">
        <f>'09.06'!H45+COUNTIF(H$9:H$38,$C45)</f>
        <v>7</v>
      </c>
      <c r="I45" s="339">
        <f>'09.06'!I45+COUNTIF(I$9:I$38,$C45)</f>
        <v>6</v>
      </c>
      <c r="J45" s="339">
        <f>'09.06'!J45+COUNTIF(J$9:J$38,$C45)</f>
        <v>7</v>
      </c>
    </row>
    <row r="46" spans="1:11" ht="28.5" customHeight="1" x14ac:dyDescent="0.4">
      <c r="A46" s="1"/>
      <c r="B46" s="341">
        <v>5</v>
      </c>
      <c r="C46" s="359" t="str">
        <f>'01.09'!C46</f>
        <v>*Л. Теория и методика*</v>
      </c>
      <c r="D46" s="342">
        <f>'09.06'!D46+COUNTIF(D$9:D$38,$C46)</f>
        <v>4</v>
      </c>
      <c r="E46" s="342">
        <f>'09.06'!E46+COUNTIF(E$9:E$38,$C46)</f>
        <v>4</v>
      </c>
      <c r="F46" s="342">
        <f>'09.06'!F46+COUNTIF(F$9:F$38,$C46)</f>
        <v>4</v>
      </c>
      <c r="G46" s="342">
        <f>'09.06'!G46+COUNTIF(G$9:G$38,$C46)</f>
        <v>4</v>
      </c>
      <c r="H46" s="342">
        <f>'09.06'!H46+COUNTIF(H$9:H$38,$C46)</f>
        <v>4</v>
      </c>
      <c r="I46" s="342">
        <f>'09.06'!I46+COUNTIF(I$9:I$38,$C46)</f>
        <v>4</v>
      </c>
      <c r="J46" s="342">
        <f>'09.06'!J46+COUNTIF(J$9:J$38,$C46)</f>
        <v>4</v>
      </c>
      <c r="K46" s="343"/>
    </row>
    <row r="47" spans="1:11" ht="28.5" customHeight="1" thickBot="1" x14ac:dyDescent="0.45">
      <c r="A47" s="1"/>
      <c r="B47" s="344">
        <v>38</v>
      </c>
      <c r="C47" s="360" t="str">
        <f>'01.09'!C47</f>
        <v>*Пр. Теория и методика*</v>
      </c>
      <c r="D47" s="345">
        <f>'09.06'!D47+COUNTIF(D$9:D$38,$C47)</f>
        <v>30</v>
      </c>
      <c r="E47" s="345">
        <f>'09.06'!E47+COUNTIF(E$9:E$38,$C47)</f>
        <v>30</v>
      </c>
      <c r="F47" s="345">
        <f>'09.06'!F47+COUNTIF(F$9:F$38,$C47)</f>
        <v>31</v>
      </c>
      <c r="G47" s="345">
        <f>'09.06'!G47+COUNTIF(G$9:G$38,$C47)</f>
        <v>35</v>
      </c>
      <c r="H47" s="345">
        <f>'09.06'!H47+COUNTIF(H$9:H$38,$C47)</f>
        <v>35</v>
      </c>
      <c r="I47" s="345">
        <f>'09.06'!I47+COUNTIF(I$9:I$38,$C47)</f>
        <v>37</v>
      </c>
      <c r="J47" s="345">
        <f>'09.06'!J47+COUNTIF(J$9:J$38,$C47)</f>
        <v>37</v>
      </c>
      <c r="K47" s="346"/>
    </row>
    <row r="48" spans="1:11" ht="28.5" customHeight="1" x14ac:dyDescent="0.4">
      <c r="A48" s="1"/>
      <c r="B48" s="60">
        <v>1</v>
      </c>
      <c r="C48" s="361" t="str">
        <f>'01.09'!C48</f>
        <v>*Л. Спортивная метрология*</v>
      </c>
      <c r="D48" s="340">
        <f>'09.06'!D48+COUNTIF(D$9:D$38,$C48)</f>
        <v>5</v>
      </c>
      <c r="E48" s="340">
        <f>'09.06'!E48+COUNTIF(E$9:E$38,$C48)</f>
        <v>5</v>
      </c>
      <c r="F48" s="340">
        <f>'09.06'!F48+COUNTIF(F$9:F$38,$C48)</f>
        <v>5</v>
      </c>
      <c r="G48" s="340">
        <f>'09.06'!G48+COUNTIF(G$9:G$38,$C48)</f>
        <v>5</v>
      </c>
      <c r="H48" s="340">
        <f>'09.06'!H48+COUNTIF(H$9:H$38,$C48)</f>
        <v>5</v>
      </c>
      <c r="I48" s="340">
        <f>'09.06'!I48+COUNTIF(I$9:I$38,$C48)</f>
        <v>5</v>
      </c>
      <c r="J48" s="340">
        <f>'09.06'!J48+COUNTIF(J$9:J$38,$C48)</f>
        <v>5</v>
      </c>
    </row>
    <row r="49" spans="1:11" ht="28.5" customHeight="1" x14ac:dyDescent="0.4">
      <c r="A49" s="1"/>
      <c r="B49" s="60">
        <v>15</v>
      </c>
      <c r="C49" s="256" t="str">
        <f>'01.09'!C49</f>
        <v>*Пр. Спортивная метрология*</v>
      </c>
      <c r="D49" s="66">
        <f>'09.06'!D49+COUNTIF(D$9:D$38,$C49)</f>
        <v>7</v>
      </c>
      <c r="E49" s="66">
        <f>'09.06'!E49+COUNTIF(E$9:E$38,$C49)</f>
        <v>7</v>
      </c>
      <c r="F49" s="66">
        <f>'09.06'!F49+COUNTIF(F$9:F$38,$C49)</f>
        <v>7</v>
      </c>
      <c r="G49" s="66">
        <f>'09.06'!G49+COUNTIF(G$9:G$38,$C49)</f>
        <v>7</v>
      </c>
      <c r="H49" s="66">
        <f>'09.06'!H49+COUNTIF(H$9:H$38,$C49)</f>
        <v>7</v>
      </c>
      <c r="I49" s="66">
        <f>'09.06'!I49+COUNTIF(I$9:I$38,$C49)</f>
        <v>7</v>
      </c>
      <c r="J49" s="66">
        <f>'09.06'!J49+COUNTIF(J$9:J$38,$C49)</f>
        <v>7</v>
      </c>
    </row>
    <row r="50" spans="1:11" ht="28.5" customHeight="1" x14ac:dyDescent="0.4">
      <c r="A50" s="1"/>
      <c r="B50" s="60">
        <v>2</v>
      </c>
      <c r="C50" s="256" t="str">
        <f>'01.09'!C50</f>
        <v>*Л.  Теория и методика циклических и сложнокоординационных*</v>
      </c>
      <c r="D50" s="66">
        <f>'09.06'!D50+COUNTIF(D$9:D$38,$C50)</f>
        <v>0</v>
      </c>
      <c r="E50" s="66">
        <f>'09.06'!E50+COUNTIF(E$9:E$38,$C50)</f>
        <v>0</v>
      </c>
      <c r="F50" s="66">
        <f>'09.06'!F50+COUNTIF(F$9:F$38,$C50)</f>
        <v>0</v>
      </c>
      <c r="G50" s="66">
        <f>'09.06'!G50+COUNTIF(G$9:G$38,$C50)</f>
        <v>0</v>
      </c>
      <c r="H50" s="66">
        <f>'09.06'!H50+COUNTIF(H$9:H$38,$C50)</f>
        <v>4</v>
      </c>
      <c r="I50" s="66">
        <f>'09.06'!I50+COUNTIF(I$9:I$38,$C50)</f>
        <v>0</v>
      </c>
      <c r="J50" s="66">
        <f>'09.06'!J50+COUNTIF(J$9:J$38,$C50)</f>
        <v>0</v>
      </c>
    </row>
    <row r="51" spans="1:11" ht="28.5" customHeight="1" x14ac:dyDescent="0.4">
      <c r="A51" s="1"/>
      <c r="B51" s="60">
        <v>30</v>
      </c>
      <c r="C51" s="256" t="str">
        <f>'01.09'!C51</f>
        <v>*Пр.  Теория и методика циклических и сложнокоординационных*</v>
      </c>
      <c r="D51" s="66">
        <f>'09.06'!D51+COUNTIF(D$9:D$38,$C51)</f>
        <v>0</v>
      </c>
      <c r="E51" s="66">
        <f>'09.06'!E51+COUNTIF(E$9:E$38,$C51)</f>
        <v>0</v>
      </c>
      <c r="F51" s="66">
        <f>'09.06'!F51+COUNTIF(F$9:F$38,$C51)</f>
        <v>0</v>
      </c>
      <c r="G51" s="66">
        <f>'09.06'!G51+COUNTIF(G$9:G$38,$C51)</f>
        <v>0</v>
      </c>
      <c r="H51" s="66">
        <f>'09.06'!H51+COUNTIF(H$9:H$38,$C51)</f>
        <v>39</v>
      </c>
      <c r="I51" s="66">
        <f>'09.06'!I51+COUNTIF(I$9:I$38,$C51)</f>
        <v>0</v>
      </c>
      <c r="J51" s="66">
        <f>'09.06'!J51+COUNTIF(J$9:J$38,$C51)</f>
        <v>0</v>
      </c>
    </row>
    <row r="52" spans="1:11" ht="28.5" customHeight="1" x14ac:dyDescent="0.4">
      <c r="A52" s="1"/>
      <c r="B52" s="60">
        <v>6</v>
      </c>
      <c r="C52" s="256">
        <f>'01.09'!C52</f>
        <v>0</v>
      </c>
      <c r="D52" s="66">
        <f>'09.06'!D52+COUNTIF(D$9:D$38,$C52)</f>
        <v>0</v>
      </c>
      <c r="E52" s="66">
        <f>'09.06'!E52+COUNTIF(E$9:E$38,$C52)</f>
        <v>0</v>
      </c>
      <c r="F52" s="66">
        <f>'09.06'!F52+COUNTIF(F$9:F$38,$C52)</f>
        <v>0</v>
      </c>
      <c r="G52" s="66">
        <f>'09.06'!G52+COUNTIF(G$9:G$38,$C52)</f>
        <v>0</v>
      </c>
      <c r="H52" s="66">
        <f>'09.06'!H52+COUNTIF(H$9:H$38,$C52)</f>
        <v>0</v>
      </c>
      <c r="I52" s="66">
        <f>'09.06'!I52+COUNTIF(I$9:I$38,$C52)</f>
        <v>0</v>
      </c>
      <c r="J52" s="66">
        <f>'09.06'!J52+COUNTIF(J$9:J$38,$C52)</f>
        <v>0</v>
      </c>
    </row>
    <row r="53" spans="1:11" ht="28.5" customHeight="1" x14ac:dyDescent="0.4">
      <c r="A53" s="1"/>
      <c r="B53" s="60">
        <v>7</v>
      </c>
      <c r="C53" s="256">
        <f>'01.09'!C53</f>
        <v>0</v>
      </c>
      <c r="D53" s="66">
        <f>'09.06'!D53+COUNTIF(D$9:D$38,$C53)</f>
        <v>0</v>
      </c>
      <c r="E53" s="66">
        <f>'09.06'!E53+COUNTIF(E$9:E$38,$C53)</f>
        <v>0</v>
      </c>
      <c r="F53" s="66">
        <f>'09.06'!F53+COUNTIF(F$9:F$38,$C53)</f>
        <v>0</v>
      </c>
      <c r="G53" s="66">
        <f>'09.06'!G53+COUNTIF(G$9:G$38,$C53)</f>
        <v>0</v>
      </c>
      <c r="H53" s="66">
        <f>'09.06'!H53+COUNTIF(H$9:H$38,$C53)</f>
        <v>0</v>
      </c>
      <c r="I53" s="66">
        <f>'09.06'!I53+COUNTIF(I$9:I$38,$C53)</f>
        <v>0</v>
      </c>
      <c r="J53" s="66">
        <f>'09.06'!J53+COUNTIF(J$9:J$38,$C53)</f>
        <v>0</v>
      </c>
    </row>
    <row r="54" spans="1:11" ht="28.5" customHeight="1" x14ac:dyDescent="0.4">
      <c r="A54" s="1"/>
      <c r="B54" s="60">
        <v>1</v>
      </c>
      <c r="C54" s="256">
        <f>'01.09'!C54</f>
        <v>0</v>
      </c>
      <c r="D54" s="66">
        <f>'09.06'!D54+COUNTIF(D$9:D$38,$C54)</f>
        <v>0</v>
      </c>
      <c r="E54" s="66">
        <f>'09.06'!E54+COUNTIF(E$9:E$38,$C54)</f>
        <v>0</v>
      </c>
      <c r="F54" s="66">
        <f>'09.06'!F54+COUNTIF(F$9:F$38,$C54)</f>
        <v>0</v>
      </c>
      <c r="G54" s="66">
        <f>'09.06'!G54+COUNTIF(G$9:G$38,$C54)</f>
        <v>0</v>
      </c>
      <c r="H54" s="66">
        <f>'09.06'!H54+COUNTIF(H$9:H$38,$C54)</f>
        <v>0</v>
      </c>
      <c r="I54" s="66">
        <f>'09.06'!I54+COUNTIF(I$9:I$38,$C54)</f>
        <v>0</v>
      </c>
      <c r="J54" s="66">
        <f>'09.06'!J54+COUNTIF(J$9:J$38,$C54)</f>
        <v>0</v>
      </c>
    </row>
    <row r="55" spans="1:11" ht="28.5" customHeight="1" thickBot="1" x14ac:dyDescent="0.45">
      <c r="A55" s="1"/>
      <c r="B55" s="60">
        <v>9</v>
      </c>
      <c r="C55" s="358">
        <f>'01.09'!C55</f>
        <v>0</v>
      </c>
      <c r="D55" s="339">
        <f>'09.06'!D55+COUNTIF(D$9:D$38,$C55)</f>
        <v>0</v>
      </c>
      <c r="E55" s="339">
        <f>'09.06'!E55+COUNTIF(E$9:E$38,$C55)</f>
        <v>0</v>
      </c>
      <c r="F55" s="339">
        <f>'09.06'!F55+COUNTIF(F$9:F$38,$C55)</f>
        <v>0</v>
      </c>
      <c r="G55" s="339">
        <f>'09.06'!G55+COUNTIF(G$9:G$38,$C55)</f>
        <v>0</v>
      </c>
      <c r="H55" s="339">
        <f>'09.06'!H55+COUNTIF(H$9:H$38,$C55)</f>
        <v>0</v>
      </c>
      <c r="I55" s="339">
        <f>'09.06'!I55+COUNTIF(I$9:I$38,$C55)</f>
        <v>0</v>
      </c>
      <c r="J55" s="339">
        <f>'09.06'!J55+COUNTIF(J$9:J$38,$C55)</f>
        <v>0</v>
      </c>
    </row>
    <row r="56" spans="1:11" ht="28.5" customHeight="1" x14ac:dyDescent="0.4">
      <c r="A56" s="1"/>
      <c r="B56" s="341">
        <v>5</v>
      </c>
      <c r="C56" s="359">
        <f>'01.09'!C56</f>
        <v>0</v>
      </c>
      <c r="D56" s="342">
        <f>'09.06'!D56+COUNTIF(D$9:D$38,$C56)</f>
        <v>0</v>
      </c>
      <c r="E56" s="342">
        <f>'09.06'!E56+COUNTIF(E$9:E$38,$C56)</f>
        <v>0</v>
      </c>
      <c r="F56" s="342">
        <f>'09.06'!F56+COUNTIF(F$9:F$38,$C56)</f>
        <v>0</v>
      </c>
      <c r="G56" s="342">
        <f>'09.06'!G56+COUNTIF(G$9:G$38,$C56)</f>
        <v>0</v>
      </c>
      <c r="H56" s="342">
        <f>'09.06'!H56+COUNTIF(H$9:H$38,$C56)</f>
        <v>0</v>
      </c>
      <c r="I56" s="342">
        <f>'09.06'!I56+COUNTIF(I$9:I$38,$C56)</f>
        <v>0</v>
      </c>
      <c r="J56" s="342">
        <f>'09.06'!J56+COUNTIF(J$9:J$38,$C56)</f>
        <v>0</v>
      </c>
      <c r="K56" s="343"/>
    </row>
    <row r="57" spans="1:11" ht="28.5" customHeight="1" thickBot="1" x14ac:dyDescent="0.45">
      <c r="A57" s="1"/>
      <c r="B57" s="344">
        <v>17</v>
      </c>
      <c r="C57" s="360">
        <f>'01.09'!C57</f>
        <v>0</v>
      </c>
      <c r="D57" s="345">
        <f>'09.06'!D57+COUNTIF(D$9:D$38,$C57)</f>
        <v>0</v>
      </c>
      <c r="E57" s="345">
        <f>'09.06'!E57+COUNTIF(E$9:E$38,$C57)</f>
        <v>0</v>
      </c>
      <c r="F57" s="345">
        <f>'09.06'!F57+COUNTIF(F$9:F$38,$C57)</f>
        <v>0</v>
      </c>
      <c r="G57" s="345">
        <f>'09.06'!G57+COUNTIF(G$9:G$38,$C57)</f>
        <v>0</v>
      </c>
      <c r="H57" s="345">
        <f>'09.06'!H57+COUNTIF(H$9:H$38,$C57)</f>
        <v>0</v>
      </c>
      <c r="I57" s="345">
        <f>'09.06'!I57+COUNTIF(I$9:I$38,$C57)</f>
        <v>0</v>
      </c>
      <c r="J57" s="345">
        <f>'09.06'!J57+COUNTIF(J$9:J$38,$C57)</f>
        <v>0</v>
      </c>
      <c r="K57" s="346"/>
    </row>
    <row r="58" spans="1:11" ht="28.5" customHeight="1" x14ac:dyDescent="0.4">
      <c r="A58" s="1"/>
      <c r="B58" s="60">
        <v>5</v>
      </c>
      <c r="C58" s="361">
        <f>'01.09'!C58</f>
        <v>0</v>
      </c>
      <c r="D58" s="340">
        <f>'09.06'!D58+COUNTIF(D$9:D$38,$C58)</f>
        <v>0</v>
      </c>
      <c r="E58" s="340">
        <f>'09.06'!E58+COUNTIF(E$9:E$38,$C58)</f>
        <v>0</v>
      </c>
      <c r="F58" s="340">
        <f>'09.06'!F58+COUNTIF(F$9:F$38,$C58)</f>
        <v>0</v>
      </c>
      <c r="G58" s="340">
        <f>'09.06'!G58+COUNTIF(G$9:G$38,$C58)</f>
        <v>0</v>
      </c>
      <c r="H58" s="340">
        <f>'09.06'!H58+COUNTIF(H$9:H$38,$C58)</f>
        <v>0</v>
      </c>
      <c r="I58" s="340">
        <f>'09.06'!I58+COUNTIF(I$9:I$38,$C58)</f>
        <v>0</v>
      </c>
      <c r="J58" s="340">
        <f>'09.06'!J58+COUNTIF(J$9:J$38,$C58)</f>
        <v>0</v>
      </c>
    </row>
    <row r="59" spans="1:11" ht="28.5" customHeight="1" x14ac:dyDescent="0.4">
      <c r="A59" s="1"/>
      <c r="B59" s="138">
        <v>17</v>
      </c>
      <c r="C59" s="256">
        <f>'01.09'!C59</f>
        <v>0</v>
      </c>
      <c r="D59" s="66">
        <f>'09.06'!D59+COUNTIF(D$9:D$38,$C59)</f>
        <v>0</v>
      </c>
      <c r="E59" s="66">
        <f>'09.06'!E59+COUNTIF(E$9:E$38,$C59)</f>
        <v>0</v>
      </c>
      <c r="F59" s="66">
        <f>'09.06'!F59+COUNTIF(F$9:F$38,$C59)</f>
        <v>0</v>
      </c>
      <c r="G59" s="66">
        <f>'09.06'!G59+COUNTIF(G$9:G$38,$C59)</f>
        <v>0</v>
      </c>
      <c r="H59" s="66">
        <f>'09.06'!H59+COUNTIF(H$9:H$38,$C59)</f>
        <v>0</v>
      </c>
      <c r="I59" s="66">
        <f>'09.06'!I59+COUNTIF(I$9:I$38,$C59)</f>
        <v>0</v>
      </c>
      <c r="J59" s="66">
        <f>'09.06'!J59+COUNTIF(J$9:J$38,$C59)</f>
        <v>0</v>
      </c>
    </row>
    <row r="60" spans="1:11" ht="28.5" customHeight="1" x14ac:dyDescent="0.4">
      <c r="A60" s="1"/>
      <c r="B60" s="138">
        <v>1</v>
      </c>
      <c r="C60" s="256">
        <f>'01.09'!C60</f>
        <v>0</v>
      </c>
      <c r="D60" s="66">
        <f>'09.06'!D60+COUNTIF(D$9:D$38,$C60)</f>
        <v>0</v>
      </c>
      <c r="E60" s="66">
        <f>'09.06'!E60+COUNTIF(E$9:E$38,$C60)</f>
        <v>0</v>
      </c>
      <c r="F60" s="66">
        <f>'09.06'!F60+COUNTIF(F$9:F$38,$C60)</f>
        <v>0</v>
      </c>
      <c r="G60" s="66">
        <f>'09.06'!G60+COUNTIF(G$9:G$38,$C60)</f>
        <v>0</v>
      </c>
      <c r="H60" s="66">
        <f>'09.06'!H60+COUNTIF(H$9:H$38,$C60)</f>
        <v>0</v>
      </c>
      <c r="I60" s="66">
        <f>'09.06'!I60+COUNTIF(I$9:I$38,$C60)</f>
        <v>0</v>
      </c>
      <c r="J60" s="66">
        <f>'09.06'!J60+COUNTIF(J$9:J$38,$C60)</f>
        <v>0</v>
      </c>
    </row>
    <row r="61" spans="1:11" ht="28.5" customHeight="1" thickBot="1" x14ac:dyDescent="0.45">
      <c r="A61" s="1"/>
      <c r="B61" s="60">
        <v>15</v>
      </c>
      <c r="C61" s="256">
        <f>'01.09'!C61</f>
        <v>0</v>
      </c>
      <c r="D61" s="66">
        <f>'09.06'!D61+COUNTIF(D$9:D$38,$C61)</f>
        <v>0</v>
      </c>
      <c r="E61" s="66">
        <f>'09.06'!E61+COUNTIF(E$9:E$38,$C61)</f>
        <v>0</v>
      </c>
      <c r="F61" s="66">
        <f>'09.06'!F61+COUNTIF(F$9:F$38,$C61)</f>
        <v>0</v>
      </c>
      <c r="G61" s="66">
        <f>'09.06'!G61+COUNTIF(G$9:G$38,$C61)</f>
        <v>0</v>
      </c>
      <c r="H61" s="339">
        <f>'09.06'!H61+COUNTIF(H$9:H$38,$C61)</f>
        <v>0</v>
      </c>
      <c r="I61" s="66">
        <f>'09.06'!I61+COUNTIF(I$9:I$38,$C61)</f>
        <v>0</v>
      </c>
      <c r="J61" s="66">
        <f>'09.06'!J61+COUNTIF(J$9:J$38,$C61)</f>
        <v>0</v>
      </c>
    </row>
    <row r="62" spans="1:11" ht="28.5" customHeight="1" x14ac:dyDescent="0.45">
      <c r="A62" s="1"/>
      <c r="B62" s="98">
        <v>5</v>
      </c>
      <c r="C62" s="256">
        <f>'01.09'!C62</f>
        <v>0</v>
      </c>
      <c r="D62" s="66">
        <f>'09.06'!D62+COUNTIF(D$9:D$38,$C62)</f>
        <v>0</v>
      </c>
      <c r="E62" s="66">
        <f>'09.06'!E62+COUNTIF(E$9:E$38,$C62)</f>
        <v>0</v>
      </c>
      <c r="F62" s="66">
        <f>'09.06'!F62+COUNTIF(F$9:F$38,$C62)</f>
        <v>0</v>
      </c>
      <c r="G62" s="356">
        <f>'09.06'!G62+COUNTIF(G$9:G$38,$C62)</f>
        <v>0</v>
      </c>
      <c r="H62" s="347">
        <f>'09.06'!H62+COUNTIF(H$9:H$38,$C62)</f>
        <v>0</v>
      </c>
      <c r="I62" s="357">
        <f>'09.06'!I62+COUNTIF(I$9:I$38,$C62)</f>
        <v>0</v>
      </c>
      <c r="J62" s="66">
        <f>'09.06'!J62+COUNTIF(J$9:J$38,$C62)</f>
        <v>0</v>
      </c>
      <c r="K62" s="306" t="s">
        <v>110</v>
      </c>
    </row>
    <row r="63" spans="1:11" ht="45" customHeight="1" thickBot="1" x14ac:dyDescent="0.5">
      <c r="A63" s="1"/>
      <c r="B63" s="60">
        <v>17</v>
      </c>
      <c r="C63" s="256">
        <f>'01.09'!C63</f>
        <v>0</v>
      </c>
      <c r="D63" s="66">
        <f>'09.06'!D63+COUNTIF(D$9:D$38,$C63)</f>
        <v>0</v>
      </c>
      <c r="E63" s="66">
        <f>'09.06'!E63+COUNTIF(E$9:E$38,$C63)</f>
        <v>0</v>
      </c>
      <c r="F63" s="66">
        <f>'09.06'!F63+COUNTIF(F$9:F$38,$C63)</f>
        <v>0</v>
      </c>
      <c r="G63" s="356">
        <f>'09.06'!G63+COUNTIF(G$9:G$38,$C63)</f>
        <v>0</v>
      </c>
      <c r="H63" s="348">
        <f>'09.06'!H63+COUNTIF(H$9:H$38,$C63)</f>
        <v>0</v>
      </c>
      <c r="I63" s="357">
        <f>'09.06'!I63+COUNTIF(I$9:I$38,$C63)</f>
        <v>0</v>
      </c>
      <c r="J63" s="66">
        <f>'09.06'!J63+COUNTIF(J$9:J$38,$C63)</f>
        <v>0</v>
      </c>
      <c r="K63" s="307" t="s">
        <v>109</v>
      </c>
    </row>
    <row r="64" spans="1:11" ht="30.75" x14ac:dyDescent="0.45">
      <c r="A64" s="1"/>
      <c r="B64" s="60">
        <v>5</v>
      </c>
      <c r="C64" s="256">
        <f>'01.09'!C64</f>
        <v>0</v>
      </c>
      <c r="D64" s="66">
        <f>'09.06'!D64+COUNTIF(D$9:D$38,$C64)</f>
        <v>0</v>
      </c>
      <c r="E64" s="66">
        <f>'09.06'!E64+COUNTIF(E$9:E$38,$C64)</f>
        <v>0</v>
      </c>
      <c r="F64" s="66">
        <f>'09.06'!F64+COUNTIF(F$9:F$38,$C64)</f>
        <v>0</v>
      </c>
      <c r="G64" s="356">
        <f>'09.06'!G64+COUNTIF(G$9:G$38,$C64)</f>
        <v>0</v>
      </c>
      <c r="H64" s="347">
        <f>'09.06'!H64+COUNTIF(H$9:H$38,$C64)</f>
        <v>0</v>
      </c>
      <c r="I64" s="357">
        <f>'09.06'!I64+COUNTIF(I$9:I$38,$C64)</f>
        <v>0</v>
      </c>
      <c r="J64" s="66">
        <f>'09.06'!J64+COUNTIF(J$9:J$38,$C64)</f>
        <v>0</v>
      </c>
      <c r="K64" s="306" t="s">
        <v>111</v>
      </c>
    </row>
    <row r="65" spans="1:11" ht="31.5" thickBot="1" x14ac:dyDescent="0.5">
      <c r="A65" s="1"/>
      <c r="B65" s="60">
        <v>38</v>
      </c>
      <c r="C65" s="256">
        <f>'01.09'!C65</f>
        <v>0</v>
      </c>
      <c r="D65" s="66">
        <f>'09.06'!D65+COUNTIF(D$9:D$38,$C65)</f>
        <v>0</v>
      </c>
      <c r="E65" s="66">
        <f>'09.06'!E65+COUNTIF(E$9:E$38,$C65)</f>
        <v>0</v>
      </c>
      <c r="F65" s="66">
        <f>'09.06'!F65+COUNTIF(F$9:F$38,$C65)</f>
        <v>0</v>
      </c>
      <c r="G65" s="356">
        <f>'09.06'!G65+COUNTIF(G$9:G$38,$C65)</f>
        <v>0</v>
      </c>
      <c r="H65" s="348">
        <f>'09.06'!H65+COUNTIF(H$9:H$38,$C65)</f>
        <v>0</v>
      </c>
      <c r="I65" s="357">
        <f>'09.06'!I65+COUNTIF(I$9:I$38,$C65)</f>
        <v>0</v>
      </c>
      <c r="J65" s="66">
        <f>'09.06'!J65+COUNTIF(J$9:J$38,$C65)</f>
        <v>0</v>
      </c>
      <c r="K65" s="306" t="s">
        <v>111</v>
      </c>
    </row>
    <row r="66" spans="1:11" ht="26.25" x14ac:dyDescent="0.25">
      <c r="A66" s="1"/>
      <c r="B66" s="1"/>
      <c r="C66" s="228">
        <f>'01.09'!C66</f>
        <v>0</v>
      </c>
      <c r="D66" s="66">
        <f>'09.06'!D66+COUNTIF(D$9:D$38,$C66)</f>
        <v>0</v>
      </c>
      <c r="E66" s="66">
        <f>'09.06'!E66+COUNTIF(E$9:E$38,$C66)</f>
        <v>0</v>
      </c>
      <c r="F66" s="66">
        <f>'09.06'!F66+COUNTIF(F$9:F$38,$C66)</f>
        <v>0</v>
      </c>
      <c r="G66" s="66">
        <f>'09.06'!G66+COUNTIF(G$9:G$38,$C66)</f>
        <v>0</v>
      </c>
      <c r="H66" s="340">
        <f>'09.06'!H66+COUNTIF(H$9:H$38,$C66)</f>
        <v>0</v>
      </c>
      <c r="I66" s="66">
        <f>'09.06'!I66+COUNTIF(I$9:I$38,$C66)</f>
        <v>0</v>
      </c>
      <c r="J66" s="66">
        <f>'09.06'!J66+COUNTIF(J$9:J$38,$C66)</f>
        <v>0</v>
      </c>
    </row>
    <row r="67" spans="1:11" ht="26.25" x14ac:dyDescent="0.25">
      <c r="A67" s="1"/>
      <c r="B67" s="1"/>
      <c r="C67" s="228">
        <f>'01.09'!C67</f>
        <v>0</v>
      </c>
      <c r="D67" s="229">
        <f>'09.06'!D67+COUNTIF(D$9:D$38,$C67)</f>
        <v>0</v>
      </c>
      <c r="E67" s="229">
        <f>'09.06'!E67+COUNTIF(E$9:E$38,$C67)</f>
        <v>0</v>
      </c>
      <c r="F67" s="229">
        <f>'09.06'!F67+COUNTIF(F$9:F$38,$C67)</f>
        <v>0</v>
      </c>
      <c r="G67" s="229">
        <f>'09.06'!G67+COUNTIF(G$9:G$38,$C67)</f>
        <v>0</v>
      </c>
      <c r="H67" s="229">
        <f>'09.06'!H67+COUNTIF(H$9:H$38,$C67)</f>
        <v>0</v>
      </c>
      <c r="I67" s="229">
        <f>'09.06'!I67+COUNTIF(I$9:I$38,$C67)</f>
        <v>0</v>
      </c>
      <c r="J67" s="229">
        <f>'09.06'!J67+COUNTIF(J$9:J$38,$C67)</f>
        <v>0</v>
      </c>
    </row>
    <row r="68" spans="1:11" ht="26.25" x14ac:dyDescent="0.25">
      <c r="A68" s="1"/>
      <c r="B68" s="1"/>
      <c r="C68" s="228">
        <f>'01.09'!C68</f>
        <v>0</v>
      </c>
      <c r="D68" s="229">
        <f>'09.06'!D68+COUNTIF(D$9:D$38,$C68)</f>
        <v>0</v>
      </c>
      <c r="E68" s="229">
        <f>'09.06'!E68+COUNTIF(E$9:E$38,$C68)</f>
        <v>0</v>
      </c>
      <c r="F68" s="229">
        <f>'09.06'!F68+COUNTIF(F$9:F$38,$C68)</f>
        <v>0</v>
      </c>
      <c r="G68" s="229">
        <f>'09.06'!G68+COUNTIF(G$9:G$38,$C68)</f>
        <v>0</v>
      </c>
      <c r="H68" s="229">
        <f>'09.06'!H68+COUNTIF(H$9:H$38,$C68)</f>
        <v>0</v>
      </c>
      <c r="I68" s="229">
        <f>'09.06'!I68+COUNTIF(I$9:I$38,$C68)</f>
        <v>0</v>
      </c>
      <c r="J68" s="229">
        <f>'09.06'!J68+COUNTIF(J$9:J$38,$C68)</f>
        <v>0</v>
      </c>
    </row>
    <row r="69" spans="1:11" ht="26.25" x14ac:dyDescent="0.25">
      <c r="A69" s="1"/>
      <c r="B69" s="1"/>
      <c r="C69" s="228">
        <f>'01.09'!C69</f>
        <v>0</v>
      </c>
      <c r="D69" s="229">
        <f>'09.06'!D69+COUNTIF(D$9:D$38,$C69)</f>
        <v>0</v>
      </c>
      <c r="E69" s="229">
        <f>'09.06'!E69+COUNTIF(E$9:E$38,$C69)</f>
        <v>0</v>
      </c>
      <c r="F69" s="229">
        <f>'09.06'!F69+COUNTIF(F$9:F$38,$C69)</f>
        <v>0</v>
      </c>
      <c r="G69" s="229">
        <f>'09.06'!G69+COUNTIF(G$9:G$38,$C69)</f>
        <v>0</v>
      </c>
      <c r="H69" s="229">
        <f>'09.06'!H69+COUNTIF(H$9:H$38,$C69)</f>
        <v>0</v>
      </c>
      <c r="I69" s="229">
        <f>'09.06'!I69+COUNTIF(I$9:I$38,$C69)</f>
        <v>0</v>
      </c>
      <c r="J69" s="229">
        <f>'09.06'!J69+COUNTIF(J$9:J$38,$C69)</f>
        <v>0</v>
      </c>
    </row>
    <row r="70" spans="1:11" ht="26.25" x14ac:dyDescent="0.25">
      <c r="A70" s="1"/>
      <c r="B70" s="1"/>
      <c r="C70" s="228">
        <f>'01.09'!C70</f>
        <v>0</v>
      </c>
      <c r="D70" s="229">
        <f>'09.06'!D70+COUNTIF(D$9:D$38,$C70)</f>
        <v>0</v>
      </c>
      <c r="E70" s="229">
        <f>'09.06'!E70+COUNTIF(E$9:E$38,$C70)</f>
        <v>0</v>
      </c>
      <c r="F70" s="229">
        <f>'09.06'!F70+COUNTIF(F$9:F$38,$C70)</f>
        <v>0</v>
      </c>
      <c r="G70" s="229">
        <f>'09.06'!G70+COUNTIF(G$9:G$38,$C70)</f>
        <v>0</v>
      </c>
      <c r="H70" s="229">
        <f>'09.06'!H70+COUNTIF(H$9:H$38,$C70)</f>
        <v>0</v>
      </c>
      <c r="I70" s="229">
        <f>'09.06'!I70+COUNTIF(I$9:I$38,$C70)</f>
        <v>0</v>
      </c>
      <c r="J70" s="229">
        <f>'09.06'!J70+COUNTIF(J$9:J$38,$C70)</f>
        <v>0</v>
      </c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B1:J1"/>
    <mergeCell ref="B2:J2"/>
    <mergeCell ref="A3:J3"/>
    <mergeCell ref="B5:J5"/>
    <mergeCell ref="A7:A8"/>
    <mergeCell ref="B7:B8"/>
    <mergeCell ref="C7:C8"/>
    <mergeCell ref="B4:J4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zoomScale="40" zoomScaleNormal="40" zoomScaleSheetLayoutView="40" zoomScalePageLayoutView="40" workbookViewId="0">
      <selection sqref="A1:J5"/>
    </sheetView>
  </sheetViews>
  <sheetFormatPr defaultRowHeight="15" x14ac:dyDescent="0.25"/>
  <cols>
    <col min="1" max="1" width="4.42578125" customWidth="1"/>
    <col min="2" max="2" width="9.140625" customWidth="1"/>
    <col min="3" max="3" width="25.85546875" customWidth="1"/>
    <col min="4" max="4" width="49" customWidth="1"/>
    <col min="5" max="5" width="47" customWidth="1"/>
    <col min="6" max="6" width="46" customWidth="1"/>
    <col min="7" max="7" width="62.85546875" customWidth="1"/>
    <col min="8" max="8" width="70.7109375" customWidth="1"/>
    <col min="9" max="9" width="51.85546875" customWidth="1"/>
    <col min="10" max="10" width="49" customWidth="1"/>
  </cols>
  <sheetData>
    <row r="1" spans="1:10" s="4" customFormat="1" ht="30" x14ac:dyDescent="0.4">
      <c r="A1" s="234"/>
      <c r="B1" s="554" t="s">
        <v>99</v>
      </c>
      <c r="C1" s="554"/>
      <c r="D1" s="554"/>
      <c r="E1" s="554"/>
      <c r="F1" s="554"/>
      <c r="G1" s="554"/>
      <c r="H1" s="554"/>
      <c r="I1" s="554"/>
      <c r="J1" s="554"/>
    </row>
    <row r="2" spans="1:10" s="4" customFormat="1" ht="30" x14ac:dyDescent="0.4">
      <c r="A2" s="234"/>
      <c r="B2" s="554" t="s">
        <v>55</v>
      </c>
      <c r="C2" s="554"/>
      <c r="D2" s="554"/>
      <c r="E2" s="554"/>
      <c r="F2" s="554"/>
      <c r="G2" s="554"/>
      <c r="H2" s="554"/>
      <c r="I2" s="554"/>
      <c r="J2" s="554"/>
    </row>
    <row r="3" spans="1:10" s="4" customFormat="1" ht="25.5" customHeight="1" x14ac:dyDescent="0.35">
      <c r="A3" s="635" t="s">
        <v>60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0" s="4" customFormat="1" ht="30" x14ac:dyDescent="0.35">
      <c r="A4" s="235"/>
      <c r="B4" s="554" t="s">
        <v>100</v>
      </c>
      <c r="C4" s="554"/>
      <c r="D4" s="554"/>
      <c r="E4" s="554"/>
      <c r="F4" s="554"/>
      <c r="G4" s="554"/>
      <c r="H4" s="554"/>
      <c r="I4" s="554"/>
      <c r="J4" s="554"/>
    </row>
    <row r="5" spans="1:10" s="4" customFormat="1" ht="30" x14ac:dyDescent="0.35">
      <c r="A5" s="235"/>
      <c r="B5" s="636" t="s">
        <v>81</v>
      </c>
      <c r="C5" s="636"/>
      <c r="D5" s="636"/>
      <c r="E5" s="636"/>
      <c r="F5" s="636"/>
      <c r="G5" s="636"/>
      <c r="H5" s="636"/>
      <c r="I5" s="636"/>
      <c r="J5" s="636"/>
    </row>
    <row r="6" spans="1:10" ht="1.5" customHeight="1" thickBot="1" x14ac:dyDescent="0.45">
      <c r="A6" s="49"/>
      <c r="B6" s="49"/>
      <c r="C6" s="49"/>
      <c r="D6" s="49"/>
      <c r="E6" s="49"/>
      <c r="F6" s="49"/>
      <c r="G6" s="49"/>
      <c r="H6" s="49"/>
      <c r="I6" s="49"/>
    </row>
    <row r="7" spans="1:10" ht="26.25" customHeight="1" thickBot="1" x14ac:dyDescent="0.3">
      <c r="A7" s="646" t="s">
        <v>16</v>
      </c>
      <c r="B7" s="646" t="s">
        <v>9</v>
      </c>
      <c r="C7" s="617" t="s">
        <v>15</v>
      </c>
      <c r="D7" s="214" t="s">
        <v>80</v>
      </c>
      <c r="E7" s="215" t="s">
        <v>43</v>
      </c>
      <c r="F7" s="215" t="s">
        <v>44</v>
      </c>
      <c r="G7" s="215" t="s">
        <v>45</v>
      </c>
      <c r="H7" s="216" t="s">
        <v>46</v>
      </c>
      <c r="I7" s="216" t="s">
        <v>47</v>
      </c>
      <c r="J7" s="217" t="s">
        <v>11</v>
      </c>
    </row>
    <row r="8" spans="1:10" ht="160.5" customHeight="1" thickBot="1" x14ac:dyDescent="0.3">
      <c r="A8" s="647"/>
      <c r="B8" s="647"/>
      <c r="C8" s="618"/>
      <c r="D8" s="218" t="s">
        <v>65</v>
      </c>
      <c r="E8" s="178" t="s">
        <v>67</v>
      </c>
      <c r="F8" s="178" t="s">
        <v>48</v>
      </c>
      <c r="G8" s="178" t="s">
        <v>63</v>
      </c>
      <c r="H8" s="178" t="s">
        <v>56</v>
      </c>
      <c r="I8" s="178" t="s">
        <v>83</v>
      </c>
      <c r="J8" s="179" t="s">
        <v>82</v>
      </c>
    </row>
    <row r="9" spans="1:10" ht="76.5" customHeight="1" x14ac:dyDescent="0.25">
      <c r="A9" s="643" t="s">
        <v>0</v>
      </c>
      <c r="B9" s="648">
        <v>45460</v>
      </c>
      <c r="C9" s="90" t="s">
        <v>5</v>
      </c>
      <c r="D9" s="196"/>
      <c r="E9" s="205"/>
      <c r="F9" s="236"/>
      <c r="G9" s="205"/>
      <c r="H9" s="205"/>
      <c r="I9" s="205"/>
      <c r="J9" s="197"/>
    </row>
    <row r="10" spans="1:10" ht="87.75" customHeight="1" x14ac:dyDescent="0.25">
      <c r="A10" s="644"/>
      <c r="B10" s="619"/>
      <c r="C10" s="91" t="s">
        <v>6</v>
      </c>
      <c r="D10" s="152"/>
      <c r="E10" s="147"/>
      <c r="F10" s="237"/>
      <c r="G10" s="147"/>
      <c r="H10" s="147"/>
      <c r="I10" s="147"/>
      <c r="J10" s="242"/>
    </row>
    <row r="11" spans="1:10" ht="27.75" x14ac:dyDescent="0.25">
      <c r="A11" s="644"/>
      <c r="B11" s="619"/>
      <c r="C11" s="91" t="s">
        <v>7</v>
      </c>
      <c r="D11" s="152"/>
      <c r="E11" s="147"/>
      <c r="F11" s="147"/>
      <c r="G11" s="149"/>
      <c r="H11" s="147"/>
      <c r="I11" s="237"/>
      <c r="J11" s="148"/>
    </row>
    <row r="12" spans="1:10" ht="27.75" x14ac:dyDescent="0.25">
      <c r="A12" s="644"/>
      <c r="B12" s="619"/>
      <c r="C12" s="91" t="s">
        <v>8</v>
      </c>
      <c r="D12" s="152"/>
      <c r="E12" s="147"/>
      <c r="F12" s="147"/>
      <c r="G12" s="147"/>
      <c r="H12" s="147"/>
      <c r="I12" s="238"/>
      <c r="J12" s="148"/>
    </row>
    <row r="13" spans="1:10" ht="81" customHeight="1" thickBot="1" x14ac:dyDescent="0.3">
      <c r="A13" s="644"/>
      <c r="B13" s="619"/>
      <c r="C13" s="92" t="s">
        <v>10</v>
      </c>
      <c r="D13" s="198"/>
      <c r="E13" s="199"/>
      <c r="F13" s="199"/>
      <c r="G13" s="199"/>
      <c r="H13" s="199"/>
      <c r="I13" s="199"/>
      <c r="J13" s="200"/>
    </row>
    <row r="14" spans="1:10" ht="76.5" customHeight="1" x14ac:dyDescent="0.25">
      <c r="A14" s="643" t="s">
        <v>1</v>
      </c>
      <c r="B14" s="621">
        <f>B9+1</f>
        <v>45461</v>
      </c>
      <c r="C14" s="90" t="s">
        <v>5</v>
      </c>
      <c r="D14" s="213"/>
      <c r="E14" s="205"/>
      <c r="F14" s="205"/>
      <c r="G14" s="205"/>
      <c r="H14" s="156"/>
      <c r="I14" s="156"/>
      <c r="J14" s="151"/>
    </row>
    <row r="15" spans="1:10" ht="27.75" x14ac:dyDescent="0.25">
      <c r="A15" s="644"/>
      <c r="B15" s="619"/>
      <c r="C15" s="91" t="s">
        <v>6</v>
      </c>
      <c r="D15" s="152"/>
      <c r="E15" s="147"/>
      <c r="F15" s="147"/>
      <c r="G15" s="147"/>
      <c r="H15" s="237"/>
      <c r="I15" s="149"/>
      <c r="J15" s="148"/>
    </row>
    <row r="16" spans="1:10" ht="27.75" x14ac:dyDescent="0.25">
      <c r="A16" s="644"/>
      <c r="B16" s="619"/>
      <c r="C16" s="91" t="s">
        <v>7</v>
      </c>
      <c r="D16" s="239"/>
      <c r="E16" s="147"/>
      <c r="F16" s="147"/>
      <c r="G16" s="249"/>
      <c r="H16" s="240"/>
      <c r="I16" s="149"/>
      <c r="J16" s="242"/>
    </row>
    <row r="17" spans="1:11" ht="102.75" customHeight="1" x14ac:dyDescent="0.25">
      <c r="A17" s="644"/>
      <c r="B17" s="619"/>
      <c r="C17" s="91" t="s">
        <v>8</v>
      </c>
      <c r="D17" s="239"/>
      <c r="E17" s="147"/>
      <c r="F17" s="147"/>
      <c r="G17" s="147"/>
      <c r="H17" s="147"/>
      <c r="I17" s="184"/>
      <c r="J17" s="148"/>
    </row>
    <row r="18" spans="1:11" ht="102.75" customHeight="1" thickBot="1" x14ac:dyDescent="0.3">
      <c r="A18" s="645"/>
      <c r="B18" s="619"/>
      <c r="C18" s="92" t="s">
        <v>10</v>
      </c>
      <c r="D18" s="198"/>
      <c r="E18" s="199"/>
      <c r="F18" s="194"/>
      <c r="G18" s="199"/>
      <c r="H18" s="199"/>
      <c r="I18" s="194"/>
      <c r="J18" s="200"/>
      <c r="K18" s="2"/>
    </row>
    <row r="19" spans="1:11" ht="98.25" customHeight="1" x14ac:dyDescent="0.25">
      <c r="A19" s="657" t="s">
        <v>2</v>
      </c>
      <c r="B19" s="626">
        <f>B14+1</f>
        <v>45462</v>
      </c>
      <c r="C19" s="67" t="s">
        <v>5</v>
      </c>
      <c r="D19" s="196"/>
      <c r="E19" s="205"/>
      <c r="F19" s="205"/>
      <c r="G19" s="183"/>
      <c r="H19" s="183"/>
      <c r="I19" s="205"/>
      <c r="J19" s="197"/>
    </row>
    <row r="20" spans="1:11" ht="63" customHeight="1" x14ac:dyDescent="0.25">
      <c r="A20" s="661"/>
      <c r="B20" s="624"/>
      <c r="C20" s="68" t="s">
        <v>6</v>
      </c>
      <c r="D20" s="189"/>
      <c r="E20" s="184"/>
      <c r="F20" s="184"/>
      <c r="G20" s="184"/>
      <c r="H20" s="184"/>
      <c r="I20" s="184"/>
      <c r="J20" s="190"/>
    </row>
    <row r="21" spans="1:11" ht="27.75" x14ac:dyDescent="0.25">
      <c r="A21" s="661"/>
      <c r="B21" s="624"/>
      <c r="C21" s="68" t="s">
        <v>7</v>
      </c>
      <c r="D21" s="191"/>
      <c r="E21" s="149"/>
      <c r="F21" s="147"/>
      <c r="G21" s="147"/>
      <c r="H21" s="237"/>
      <c r="I21" s="149"/>
      <c r="J21" s="185"/>
      <c r="K21" s="2"/>
    </row>
    <row r="22" spans="1:11" ht="27.75" x14ac:dyDescent="0.25">
      <c r="A22" s="661"/>
      <c r="B22" s="624"/>
      <c r="C22" s="68" t="s">
        <v>8</v>
      </c>
      <c r="D22" s="191"/>
      <c r="E22" s="147"/>
      <c r="F22" s="147"/>
      <c r="G22" s="147"/>
      <c r="H22" s="237"/>
      <c r="I22" s="149"/>
      <c r="J22" s="185"/>
    </row>
    <row r="23" spans="1:11" ht="69.75" customHeight="1" thickBot="1" x14ac:dyDescent="0.3">
      <c r="A23" s="662"/>
      <c r="B23" s="624"/>
      <c r="C23" s="69" t="s">
        <v>10</v>
      </c>
      <c r="D23" s="227"/>
      <c r="E23" s="154"/>
      <c r="F23" s="154"/>
      <c r="G23" s="195"/>
      <c r="H23" s="195"/>
      <c r="I23" s="154"/>
      <c r="J23" s="155"/>
    </row>
    <row r="24" spans="1:11" ht="90" customHeight="1" x14ac:dyDescent="0.25">
      <c r="A24" s="657" t="s">
        <v>3</v>
      </c>
      <c r="B24" s="626">
        <f>B19+1</f>
        <v>45463</v>
      </c>
      <c r="C24" s="57" t="s">
        <v>5</v>
      </c>
      <c r="D24" s="244"/>
      <c r="E24" s="186"/>
      <c r="F24" s="186"/>
      <c r="G24" s="186"/>
      <c r="H24" s="186"/>
      <c r="I24" s="186"/>
      <c r="J24" s="187"/>
    </row>
    <row r="25" spans="1:11" ht="90" customHeight="1" x14ac:dyDescent="0.25">
      <c r="A25" s="658"/>
      <c r="B25" s="624"/>
      <c r="C25" s="58" t="s">
        <v>6</v>
      </c>
      <c r="D25" s="152"/>
      <c r="E25" s="147"/>
      <c r="F25" s="147"/>
      <c r="G25" s="147"/>
      <c r="H25" s="147"/>
      <c r="I25" s="147"/>
      <c r="J25" s="148"/>
    </row>
    <row r="26" spans="1:11" ht="90" customHeight="1" x14ac:dyDescent="0.25">
      <c r="A26" s="658"/>
      <c r="B26" s="624"/>
      <c r="C26" s="58" t="s">
        <v>7</v>
      </c>
      <c r="D26" s="152"/>
      <c r="E26" s="147"/>
      <c r="F26" s="147"/>
      <c r="G26" s="184"/>
      <c r="H26" s="147"/>
      <c r="I26" s="147"/>
      <c r="J26" s="148"/>
    </row>
    <row r="27" spans="1:11" ht="90" customHeight="1" x14ac:dyDescent="0.25">
      <c r="A27" s="658"/>
      <c r="B27" s="624"/>
      <c r="C27" s="58" t="s">
        <v>8</v>
      </c>
      <c r="D27" s="152"/>
      <c r="E27" s="147"/>
      <c r="F27" s="147"/>
      <c r="G27" s="149"/>
      <c r="H27" s="149"/>
      <c r="I27" s="149"/>
      <c r="J27" s="242"/>
    </row>
    <row r="28" spans="1:11" ht="90" customHeight="1" thickBot="1" x14ac:dyDescent="0.3">
      <c r="A28" s="659"/>
      <c r="B28" s="624"/>
      <c r="C28" s="59" t="s">
        <v>10</v>
      </c>
      <c r="D28" s="211"/>
      <c r="E28" s="194"/>
      <c r="F28" s="212"/>
      <c r="G28" s="199"/>
      <c r="H28" s="199"/>
      <c r="I28" s="212"/>
      <c r="J28" s="204"/>
    </row>
    <row r="29" spans="1:11" ht="57.75" customHeight="1" x14ac:dyDescent="0.25">
      <c r="A29" s="657" t="s">
        <v>4</v>
      </c>
      <c r="B29" s="626">
        <f>B24+1</f>
        <v>45464</v>
      </c>
      <c r="C29" s="57" t="s">
        <v>5</v>
      </c>
      <c r="D29" s="213"/>
      <c r="E29" s="205"/>
      <c r="F29" s="205"/>
      <c r="G29" s="156"/>
      <c r="H29" s="205"/>
      <c r="I29" s="205"/>
      <c r="J29" s="197"/>
    </row>
    <row r="30" spans="1:11" ht="81.75" customHeight="1" x14ac:dyDescent="0.25">
      <c r="A30" s="661"/>
      <c r="B30" s="624"/>
      <c r="C30" s="58" t="s">
        <v>6</v>
      </c>
      <c r="D30" s="191"/>
      <c r="E30" s="147"/>
      <c r="F30" s="147"/>
      <c r="G30" s="147"/>
      <c r="H30" s="147"/>
      <c r="I30" s="147"/>
      <c r="J30" s="148"/>
    </row>
    <row r="31" spans="1:11" ht="27.75" x14ac:dyDescent="0.25">
      <c r="A31" s="661"/>
      <c r="B31" s="624"/>
      <c r="C31" s="58" t="s">
        <v>7</v>
      </c>
      <c r="D31" s="191"/>
      <c r="E31" s="147"/>
      <c r="F31" s="237"/>
      <c r="G31" s="147"/>
      <c r="H31" s="147"/>
      <c r="I31" s="237"/>
      <c r="J31" s="148"/>
    </row>
    <row r="32" spans="1:11" ht="27.75" x14ac:dyDescent="0.25">
      <c r="A32" s="661"/>
      <c r="B32" s="624"/>
      <c r="C32" s="58" t="s">
        <v>8</v>
      </c>
      <c r="D32" s="191"/>
      <c r="E32" s="147"/>
      <c r="F32" s="147"/>
      <c r="G32" s="238"/>
      <c r="H32" s="147"/>
      <c r="I32" s="238"/>
      <c r="J32" s="148"/>
    </row>
    <row r="33" spans="1:10" ht="96" customHeight="1" thickBot="1" x14ac:dyDescent="0.3">
      <c r="A33" s="662"/>
      <c r="B33" s="624"/>
      <c r="C33" s="59" t="s">
        <v>10</v>
      </c>
      <c r="D33" s="153"/>
      <c r="E33" s="154"/>
      <c r="F33" s="154"/>
      <c r="G33" s="154"/>
      <c r="H33" s="154"/>
      <c r="I33" s="154"/>
      <c r="J33" s="188"/>
    </row>
    <row r="34" spans="1:10" ht="84.75" customHeight="1" x14ac:dyDescent="0.25">
      <c r="A34" s="627" t="s">
        <v>12</v>
      </c>
      <c r="B34" s="626">
        <f>B29+1</f>
        <v>45465</v>
      </c>
      <c r="C34" s="67" t="s">
        <v>5</v>
      </c>
      <c r="D34" s="31"/>
      <c r="E34" s="28"/>
      <c r="F34" s="28"/>
      <c r="G34" s="28"/>
      <c r="H34" s="28"/>
      <c r="I34" s="28"/>
      <c r="J34" s="37"/>
    </row>
    <row r="35" spans="1:10" ht="84.75" customHeight="1" x14ac:dyDescent="0.25">
      <c r="A35" s="624"/>
      <c r="B35" s="624"/>
      <c r="C35" s="68" t="s">
        <v>6</v>
      </c>
      <c r="D35" s="29"/>
      <c r="E35" s="30"/>
      <c r="F35" s="30"/>
      <c r="G35" s="30"/>
      <c r="H35" s="30"/>
      <c r="I35" s="30"/>
      <c r="J35" s="38"/>
    </row>
    <row r="36" spans="1:10" ht="84.75" customHeight="1" x14ac:dyDescent="0.25">
      <c r="A36" s="624"/>
      <c r="B36" s="624"/>
      <c r="C36" s="68" t="s">
        <v>7</v>
      </c>
      <c r="D36" s="29"/>
      <c r="E36" s="30"/>
      <c r="F36" s="30"/>
      <c r="G36" s="30"/>
      <c r="H36" s="30"/>
      <c r="I36" s="30"/>
      <c r="J36" s="38"/>
    </row>
    <row r="37" spans="1:10" ht="84.75" customHeight="1" x14ac:dyDescent="0.25">
      <c r="A37" s="624"/>
      <c r="B37" s="624"/>
      <c r="C37" s="68" t="s">
        <v>8</v>
      </c>
      <c r="D37" s="157"/>
      <c r="E37" s="79"/>
      <c r="F37" s="79"/>
      <c r="G37" s="79"/>
      <c r="H37" s="30"/>
      <c r="I37" s="79"/>
      <c r="J37" s="86"/>
    </row>
    <row r="38" spans="1:10" ht="84.75" customHeight="1" thickBot="1" x14ac:dyDescent="0.3">
      <c r="A38" s="660"/>
      <c r="B38" s="660"/>
      <c r="C38" s="69" t="s">
        <v>10</v>
      </c>
      <c r="D38" s="80"/>
      <c r="E38" s="81"/>
      <c r="F38" s="32"/>
      <c r="G38" s="32"/>
      <c r="H38" s="81"/>
      <c r="I38" s="81"/>
      <c r="J38" s="158"/>
    </row>
    <row r="39" spans="1:10" ht="27.75" x14ac:dyDescent="0.25">
      <c r="A39" s="1"/>
      <c r="B39" s="1"/>
      <c r="C39" s="1"/>
      <c r="D39" s="136" t="s">
        <v>51</v>
      </c>
      <c r="E39" s="1"/>
      <c r="F39" s="1"/>
      <c r="G39" s="1"/>
      <c r="H39" s="1"/>
      <c r="I39" s="1"/>
    </row>
    <row r="40" spans="1:10" ht="28.5" customHeight="1" x14ac:dyDescent="0.4">
      <c r="A40" s="1"/>
      <c r="B40" s="60"/>
      <c r="C40" s="256" t="str">
        <f>'01.09'!C40</f>
        <v>*Л. Основы медицинских знаний и спортивная медицина*</v>
      </c>
      <c r="D40" s="66">
        <f>'16.06'!D40+COUNTIF(D$9:D$38,$C40)</f>
        <v>8</v>
      </c>
      <c r="E40" s="66">
        <f>'16.06'!E40+COUNTIF(E$9:E$38,$C40)</f>
        <v>8</v>
      </c>
      <c r="F40" s="66">
        <f>'16.06'!F40+COUNTIF(F$9:F$38,$C40)</f>
        <v>8</v>
      </c>
      <c r="G40" s="66">
        <f>'16.06'!G40+COUNTIF(G$9:G$38,$C40)</f>
        <v>8</v>
      </c>
      <c r="H40" s="66">
        <f>'16.06'!H40+COUNTIF(H$9:H$38,$C40)</f>
        <v>8</v>
      </c>
      <c r="I40" s="66">
        <f>'16.06'!I40+COUNTIF(I$9:I$38,$C40)</f>
        <v>8</v>
      </c>
      <c r="J40" s="66">
        <f>'16.06'!J40+COUNTIF(J$9:J$38,$C40)</f>
        <v>8</v>
      </c>
    </row>
    <row r="41" spans="1:10" ht="28.5" customHeight="1" x14ac:dyDescent="0.4">
      <c r="A41" s="1"/>
      <c r="B41" s="60"/>
      <c r="C41" s="256" t="str">
        <f>'01.09'!C41</f>
        <v>*Пр. Основы медицинских знаний и спортивная медицина*</v>
      </c>
      <c r="D41" s="66">
        <f>'16.06'!D41+COUNTIF(D$9:D$38,$C41)</f>
        <v>14</v>
      </c>
      <c r="E41" s="66">
        <f>'16.06'!E41+COUNTIF(E$9:E$38,$C41)</f>
        <v>14</v>
      </c>
      <c r="F41" s="66">
        <f>'16.06'!F41+COUNTIF(F$9:F$38,$C41)</f>
        <v>13</v>
      </c>
      <c r="G41" s="66">
        <f>'16.06'!G41+COUNTIF(G$9:G$38,$C41)</f>
        <v>9</v>
      </c>
      <c r="H41" s="66">
        <f>'16.06'!H41+COUNTIF(H$9:H$38,$C41)</f>
        <v>14</v>
      </c>
      <c r="I41" s="66">
        <f>'16.06'!I41+COUNTIF(I$9:I$38,$C41)</f>
        <v>13</v>
      </c>
      <c r="J41" s="66">
        <f>'16.06'!J41+COUNTIF(J$9:J$38,$C41)</f>
        <v>13</v>
      </c>
    </row>
    <row r="42" spans="1:10" ht="28.5" customHeight="1" x14ac:dyDescent="0.4">
      <c r="A42" s="1"/>
      <c r="B42" s="60"/>
      <c r="C42" s="256" t="str">
        <f>'01.09'!C42</f>
        <v>*Л. Массаж*</v>
      </c>
      <c r="D42" s="66">
        <f>'16.06'!D42+COUNTIF(D$9:D$38,$C42)</f>
        <v>5</v>
      </c>
      <c r="E42" s="66">
        <f>'16.06'!E42+COUNTIF(E$9:E$38,$C42)</f>
        <v>5</v>
      </c>
      <c r="F42" s="66">
        <f>'16.06'!F42+COUNTIF(F$9:F$38,$C42)</f>
        <v>5</v>
      </c>
      <c r="G42" s="66">
        <f>'16.06'!G42+COUNTIF(G$9:G$38,$C42)</f>
        <v>5</v>
      </c>
      <c r="H42" s="66">
        <f>'16.06'!H42+COUNTIF(H$9:H$38,$C42)</f>
        <v>5</v>
      </c>
      <c r="I42" s="66">
        <f>'16.06'!I42+COUNTIF(I$9:I$38,$C42)</f>
        <v>5</v>
      </c>
      <c r="J42" s="66">
        <f>'16.06'!J42+COUNTIF(J$9:J$38,$C42)</f>
        <v>5</v>
      </c>
    </row>
    <row r="43" spans="1:10" ht="28.5" customHeight="1" x14ac:dyDescent="0.4">
      <c r="A43" s="1"/>
      <c r="B43" s="60"/>
      <c r="C43" s="256" t="str">
        <f>'01.09'!C43</f>
        <v>*Пр. Массаж*</v>
      </c>
      <c r="D43" s="66">
        <f>'16.06'!D43+COUNTIF(D$9:D$38,$C43)</f>
        <v>13</v>
      </c>
      <c r="E43" s="66">
        <f>'16.06'!E43+COUNTIF(E$9:E$38,$C43)</f>
        <v>13</v>
      </c>
      <c r="F43" s="66">
        <f>'16.06'!F43+COUNTIF(F$9:F$38,$C43)</f>
        <v>13</v>
      </c>
      <c r="G43" s="66">
        <f>'16.06'!G43+COUNTIF(G$9:G$38,$C43)</f>
        <v>14</v>
      </c>
      <c r="H43" s="66">
        <f>'16.06'!H43+COUNTIF(H$9:H$38,$C43)</f>
        <v>14</v>
      </c>
      <c r="I43" s="66">
        <f>'16.06'!I43+COUNTIF(I$9:I$38,$C43)</f>
        <v>14</v>
      </c>
      <c r="J43" s="66">
        <f>'16.06'!J43+COUNTIF(J$9:J$38,$C43)</f>
        <v>14</v>
      </c>
    </row>
    <row r="44" spans="1:10" ht="28.5" customHeight="1" x14ac:dyDescent="0.4">
      <c r="A44" s="1"/>
      <c r="B44" s="60"/>
      <c r="C44" s="256" t="str">
        <f>'01.09'!C44</f>
        <v>*Л. Правовые основы профессиональной деятельности*</v>
      </c>
      <c r="D44" s="66">
        <f>'16.06'!D44+COUNTIF(D$9:D$38,$C44)</f>
        <v>5</v>
      </c>
      <c r="E44" s="66">
        <f>'16.06'!E44+COUNTIF(E$9:E$38,$C44)</f>
        <v>5</v>
      </c>
      <c r="F44" s="66">
        <f>'16.06'!F44+COUNTIF(F$9:F$38,$C44)</f>
        <v>5</v>
      </c>
      <c r="G44" s="66">
        <f>'16.06'!G44+COUNTIF(G$9:G$38,$C44)</f>
        <v>5</v>
      </c>
      <c r="H44" s="66">
        <f>'16.06'!H44+COUNTIF(H$9:H$38,$C44)</f>
        <v>5</v>
      </c>
      <c r="I44" s="66">
        <f>'16.06'!I44+COUNTIF(I$9:I$38,$C44)</f>
        <v>5</v>
      </c>
      <c r="J44" s="66">
        <f>'16.06'!J44+COUNTIF(J$9:J$38,$C44)</f>
        <v>5</v>
      </c>
    </row>
    <row r="45" spans="1:10" ht="28.5" customHeight="1" x14ac:dyDescent="0.4">
      <c r="A45" s="1"/>
      <c r="B45" s="60"/>
      <c r="C45" s="256" t="str">
        <f>'01.09'!C45</f>
        <v>*Пр. Правовые основы профессиональной деятельности*</v>
      </c>
      <c r="D45" s="66">
        <f>'16.06'!D45+COUNTIF(D$9:D$38,$C45)</f>
        <v>7</v>
      </c>
      <c r="E45" s="66">
        <f>'16.06'!E45+COUNTIF(E$9:E$38,$C45)</f>
        <v>8</v>
      </c>
      <c r="F45" s="66">
        <f>'16.06'!F45+COUNTIF(F$9:F$38,$C45)</f>
        <v>7</v>
      </c>
      <c r="G45" s="66">
        <f>'16.06'!G45+COUNTIF(G$9:G$38,$C45)</f>
        <v>7</v>
      </c>
      <c r="H45" s="66">
        <f>'16.06'!H45+COUNTIF(H$9:H$38,$C45)</f>
        <v>7</v>
      </c>
      <c r="I45" s="66">
        <f>'16.06'!I45+COUNTIF(I$9:I$38,$C45)</f>
        <v>6</v>
      </c>
      <c r="J45" s="66">
        <f>'16.06'!J45+COUNTIF(J$9:J$38,$C45)</f>
        <v>7</v>
      </c>
    </row>
    <row r="46" spans="1:10" ht="26.25" x14ac:dyDescent="0.4">
      <c r="A46" s="1"/>
      <c r="B46" s="60"/>
      <c r="C46" s="256" t="str">
        <f>'01.09'!C46</f>
        <v>*Л. Теория и методика*</v>
      </c>
      <c r="D46" s="66">
        <f>'16.06'!D46+COUNTIF(D$9:D$38,$C46)</f>
        <v>4</v>
      </c>
      <c r="E46" s="66">
        <f>'16.06'!E46+COUNTIF(E$9:E$38,$C46)</f>
        <v>4</v>
      </c>
      <c r="F46" s="66">
        <f>'16.06'!F46+COUNTIF(F$9:F$38,$C46)</f>
        <v>4</v>
      </c>
      <c r="G46" s="66">
        <f>'16.06'!G46+COUNTIF(G$9:G$38,$C46)</f>
        <v>4</v>
      </c>
      <c r="H46" s="66">
        <f>'16.06'!H46+COUNTIF(H$9:H$38,$C46)</f>
        <v>4</v>
      </c>
      <c r="I46" s="66">
        <f>'16.06'!I46+COUNTIF(I$9:I$38,$C46)</f>
        <v>4</v>
      </c>
      <c r="J46" s="66">
        <f>'16.06'!J46+COUNTIF(J$9:J$38,$C46)</f>
        <v>4</v>
      </c>
    </row>
    <row r="47" spans="1:10" ht="28.5" customHeight="1" x14ac:dyDescent="0.4">
      <c r="A47" s="1"/>
      <c r="B47" s="60"/>
      <c r="C47" s="256" t="str">
        <f>'01.09'!C47</f>
        <v>*Пр. Теория и методика*</v>
      </c>
      <c r="D47" s="66">
        <f>'16.06'!D47+COUNTIF(D$9:D$38,$C47)</f>
        <v>30</v>
      </c>
      <c r="E47" s="66">
        <f>'16.06'!E47+COUNTIF(E$9:E$38,$C47)</f>
        <v>30</v>
      </c>
      <c r="F47" s="66">
        <f>'16.06'!F47+COUNTIF(F$9:F$38,$C47)</f>
        <v>31</v>
      </c>
      <c r="G47" s="66">
        <f>'16.06'!G47+COUNTIF(G$9:G$38,$C47)</f>
        <v>35</v>
      </c>
      <c r="H47" s="66">
        <f>'16.06'!H47+COUNTIF(H$9:H$38,$C47)</f>
        <v>35</v>
      </c>
      <c r="I47" s="66">
        <f>'16.06'!I47+COUNTIF(I$9:I$38,$C47)</f>
        <v>37</v>
      </c>
      <c r="J47" s="66">
        <f>'16.06'!J47+COUNTIF(J$9:J$38,$C47)</f>
        <v>37</v>
      </c>
    </row>
    <row r="48" spans="1:10" ht="28.5" customHeight="1" x14ac:dyDescent="0.4">
      <c r="A48" s="1"/>
      <c r="B48" s="60"/>
      <c r="C48" s="256" t="str">
        <f>'01.09'!C48</f>
        <v>*Л. Спортивная метрология*</v>
      </c>
      <c r="D48" s="66">
        <f>'16.06'!D48+COUNTIF(D$9:D$38,$C48)</f>
        <v>5</v>
      </c>
      <c r="E48" s="66">
        <f>'16.06'!E48+COUNTIF(E$9:E$38,$C48)</f>
        <v>5</v>
      </c>
      <c r="F48" s="66">
        <f>'16.06'!F48+COUNTIF(F$9:F$38,$C48)</f>
        <v>5</v>
      </c>
      <c r="G48" s="66">
        <f>'16.06'!G48+COUNTIF(G$9:G$38,$C48)</f>
        <v>5</v>
      </c>
      <c r="H48" s="66">
        <f>'16.06'!H48+COUNTIF(H$9:H$38,$C48)</f>
        <v>5</v>
      </c>
      <c r="I48" s="66">
        <f>'16.06'!I48+COUNTIF(I$9:I$38,$C48)</f>
        <v>5</v>
      </c>
      <c r="J48" s="66">
        <f>'16.06'!J48+COUNTIF(J$9:J$38,$C48)</f>
        <v>5</v>
      </c>
    </row>
    <row r="49" spans="1:10" ht="28.5" customHeight="1" x14ac:dyDescent="0.4">
      <c r="A49" s="1"/>
      <c r="B49" s="60"/>
      <c r="C49" s="256" t="str">
        <f>'01.09'!C49</f>
        <v>*Пр. Спортивная метрология*</v>
      </c>
      <c r="D49" s="66">
        <f>'16.06'!D49+COUNTIF(D$9:D$38,$C49)</f>
        <v>7</v>
      </c>
      <c r="E49" s="66">
        <f>'16.06'!E49+COUNTIF(E$9:E$38,$C49)</f>
        <v>7</v>
      </c>
      <c r="F49" s="66">
        <f>'16.06'!F49+COUNTIF(F$9:F$38,$C49)</f>
        <v>7</v>
      </c>
      <c r="G49" s="66">
        <f>'16.06'!G49+COUNTIF(G$9:G$38,$C49)</f>
        <v>7</v>
      </c>
      <c r="H49" s="66">
        <f>'16.06'!H49+COUNTIF(H$9:H$38,$C49)</f>
        <v>7</v>
      </c>
      <c r="I49" s="66">
        <f>'16.06'!I49+COUNTIF(I$9:I$38,$C49)</f>
        <v>7</v>
      </c>
      <c r="J49" s="66">
        <f>'16.06'!J49+COUNTIF(J$9:J$38,$C49)</f>
        <v>7</v>
      </c>
    </row>
    <row r="50" spans="1:10" ht="28.5" customHeight="1" x14ac:dyDescent="0.4">
      <c r="A50" s="1"/>
      <c r="B50" s="60"/>
      <c r="C50" s="256" t="str">
        <f>'01.09'!C50</f>
        <v>*Л.  Теория и методика циклических и сложнокоординационных*</v>
      </c>
      <c r="D50" s="66">
        <f>'16.06'!D50+COUNTIF(D$9:D$38,$C50)</f>
        <v>0</v>
      </c>
      <c r="E50" s="66">
        <f>'16.06'!E50+COUNTIF(E$9:E$38,$C50)</f>
        <v>0</v>
      </c>
      <c r="F50" s="66">
        <f>'16.06'!F50+COUNTIF(F$9:F$38,$C50)</f>
        <v>0</v>
      </c>
      <c r="G50" s="66">
        <f>'16.06'!G50+COUNTIF(G$9:G$38,$C50)</f>
        <v>0</v>
      </c>
      <c r="H50" s="66">
        <f>'16.06'!H50+COUNTIF(H$9:H$38,$C50)</f>
        <v>4</v>
      </c>
      <c r="I50" s="66">
        <f>'16.06'!I50+COUNTIF(I$9:I$38,$C50)</f>
        <v>0</v>
      </c>
      <c r="J50" s="66">
        <f>'16.06'!J50+COUNTIF(J$9:J$38,$C50)</f>
        <v>0</v>
      </c>
    </row>
    <row r="51" spans="1:10" ht="28.5" customHeight="1" x14ac:dyDescent="0.4">
      <c r="A51" s="1"/>
      <c r="B51" s="60"/>
      <c r="C51" s="256" t="str">
        <f>'01.09'!C51</f>
        <v>*Пр.  Теория и методика циклических и сложнокоординационных*</v>
      </c>
      <c r="D51" s="66">
        <f>'16.06'!D51+COUNTIF(D$9:D$38,$C51)</f>
        <v>0</v>
      </c>
      <c r="E51" s="66">
        <f>'16.06'!E51+COUNTIF(E$9:E$38,$C51)</f>
        <v>0</v>
      </c>
      <c r="F51" s="66">
        <f>'16.06'!F51+COUNTIF(F$9:F$38,$C51)</f>
        <v>0</v>
      </c>
      <c r="G51" s="66">
        <f>'16.06'!G51+COUNTIF(G$9:G$38,$C51)</f>
        <v>0</v>
      </c>
      <c r="H51" s="66">
        <f>'16.06'!H51+COUNTIF(H$9:H$38,$C51)</f>
        <v>39</v>
      </c>
      <c r="I51" s="66">
        <f>'16.06'!I51+COUNTIF(I$9:I$38,$C51)</f>
        <v>0</v>
      </c>
      <c r="J51" s="66">
        <f>'16.06'!J51+COUNTIF(J$9:J$38,$C51)</f>
        <v>0</v>
      </c>
    </row>
    <row r="52" spans="1:10" ht="28.5" customHeight="1" x14ac:dyDescent="0.4">
      <c r="A52" s="1"/>
      <c r="B52" s="60"/>
      <c r="C52" s="256">
        <f>'01.09'!C52</f>
        <v>0</v>
      </c>
      <c r="D52" s="66">
        <f>'16.06'!D52+COUNTIF(D$9:D$38,$C52)</f>
        <v>0</v>
      </c>
      <c r="E52" s="66">
        <f>'16.06'!E52+COUNTIF(E$9:E$38,$C52)</f>
        <v>0</v>
      </c>
      <c r="F52" s="66">
        <f>'16.06'!F52+COUNTIF(F$9:F$38,$C52)</f>
        <v>0</v>
      </c>
      <c r="G52" s="66">
        <f>'16.06'!G52+COUNTIF(G$9:G$38,$C52)</f>
        <v>0</v>
      </c>
      <c r="H52" s="66">
        <f>'16.06'!H52+COUNTIF(H$9:H$38,$C52)</f>
        <v>0</v>
      </c>
      <c r="I52" s="66">
        <f>'16.06'!I52+COUNTIF(I$9:I$38,$C52)</f>
        <v>0</v>
      </c>
      <c r="J52" s="66">
        <f>'16.06'!J52+COUNTIF(J$9:J$38,$C52)</f>
        <v>0</v>
      </c>
    </row>
    <row r="53" spans="1:10" ht="28.5" customHeight="1" x14ac:dyDescent="0.4">
      <c r="A53" s="1"/>
      <c r="B53" s="60"/>
      <c r="C53" s="256">
        <f>'01.09'!C53</f>
        <v>0</v>
      </c>
      <c r="D53" s="66">
        <f>'16.06'!D53+COUNTIF(D$9:D$38,$C53)</f>
        <v>0</v>
      </c>
      <c r="E53" s="66">
        <f>'16.06'!E53+COUNTIF(E$9:E$38,$C53)</f>
        <v>0</v>
      </c>
      <c r="F53" s="66">
        <f>'16.06'!F53+COUNTIF(F$9:F$38,$C53)</f>
        <v>0</v>
      </c>
      <c r="G53" s="66">
        <f>'16.06'!G53+COUNTIF(G$9:G$38,$C53)</f>
        <v>0</v>
      </c>
      <c r="H53" s="66">
        <f>'16.06'!H53+COUNTIF(H$9:H$38,$C53)</f>
        <v>0</v>
      </c>
      <c r="I53" s="66">
        <f>'16.06'!I53+COUNTIF(I$9:I$38,$C53)</f>
        <v>0</v>
      </c>
      <c r="J53" s="66">
        <f>'16.06'!J53+COUNTIF(J$9:J$38,$C53)</f>
        <v>0</v>
      </c>
    </row>
    <row r="54" spans="1:10" ht="28.5" customHeight="1" x14ac:dyDescent="0.4">
      <c r="A54" s="1"/>
      <c r="B54" s="60"/>
      <c r="C54" s="256">
        <f>'01.09'!C54</f>
        <v>0</v>
      </c>
      <c r="D54" s="66">
        <f>'16.06'!D54+COUNTIF(D$9:D$38,$C54)</f>
        <v>0</v>
      </c>
      <c r="E54" s="66">
        <f>'16.06'!E54+COUNTIF(E$9:E$38,$C54)</f>
        <v>0</v>
      </c>
      <c r="F54" s="66">
        <f>'16.06'!F54+COUNTIF(F$9:F$38,$C54)</f>
        <v>0</v>
      </c>
      <c r="G54" s="66">
        <f>'16.06'!G54+COUNTIF(G$9:G$38,$C54)</f>
        <v>0</v>
      </c>
      <c r="H54" s="66">
        <f>'16.06'!H54+COUNTIF(H$9:H$38,$C54)</f>
        <v>0</v>
      </c>
      <c r="I54" s="66">
        <f>'16.06'!I54+COUNTIF(I$9:I$38,$C54)</f>
        <v>0</v>
      </c>
      <c r="J54" s="66">
        <f>'16.06'!J54+COUNTIF(J$9:J$38,$C54)</f>
        <v>0</v>
      </c>
    </row>
    <row r="55" spans="1:10" ht="28.5" customHeight="1" x14ac:dyDescent="0.4">
      <c r="A55" s="1"/>
      <c r="B55" s="60"/>
      <c r="C55" s="256">
        <f>'01.09'!C55</f>
        <v>0</v>
      </c>
      <c r="D55" s="66">
        <f>'16.06'!D55+COUNTIF(D$9:D$38,$C55)</f>
        <v>0</v>
      </c>
      <c r="E55" s="66">
        <f>'16.06'!E55+COUNTIF(E$9:E$38,$C55)</f>
        <v>0</v>
      </c>
      <c r="F55" s="66">
        <f>'16.06'!F55+COUNTIF(F$9:F$38,$C55)</f>
        <v>0</v>
      </c>
      <c r="G55" s="66">
        <f>'16.06'!G55+COUNTIF(G$9:G$38,$C55)</f>
        <v>0</v>
      </c>
      <c r="H55" s="66">
        <f>'16.06'!H55+COUNTIF(H$9:H$38,$C55)</f>
        <v>0</v>
      </c>
      <c r="I55" s="66">
        <f>'16.06'!I55+COUNTIF(I$9:I$38,$C55)</f>
        <v>0</v>
      </c>
      <c r="J55" s="66">
        <f>'16.06'!J55+COUNTIF(J$9:J$38,$C55)</f>
        <v>0</v>
      </c>
    </row>
    <row r="56" spans="1:10" ht="28.5" customHeight="1" x14ac:dyDescent="0.4">
      <c r="A56" s="1"/>
      <c r="B56" s="60"/>
      <c r="C56" s="256">
        <f>'01.09'!C56</f>
        <v>0</v>
      </c>
      <c r="D56" s="66">
        <f>'16.06'!D56+COUNTIF(D$9:D$38,$C56)</f>
        <v>0</v>
      </c>
      <c r="E56" s="66">
        <f>'16.06'!E56+COUNTIF(E$9:E$38,$C56)</f>
        <v>0</v>
      </c>
      <c r="F56" s="66">
        <f>'16.06'!F56+COUNTIF(F$9:F$38,$C56)</f>
        <v>0</v>
      </c>
      <c r="G56" s="66">
        <f>'16.06'!G56+COUNTIF(G$9:G$38,$C56)</f>
        <v>0</v>
      </c>
      <c r="H56" s="66">
        <f>'16.06'!H56+COUNTIF(H$9:H$38,$C56)</f>
        <v>0</v>
      </c>
      <c r="I56" s="66">
        <f>'16.06'!I56+COUNTIF(I$9:I$38,$C56)</f>
        <v>0</v>
      </c>
      <c r="J56" s="66">
        <f>'16.06'!J56+COUNTIF(J$9:J$38,$C56)</f>
        <v>0</v>
      </c>
    </row>
    <row r="57" spans="1:10" ht="28.5" customHeight="1" x14ac:dyDescent="0.4">
      <c r="A57" s="1"/>
      <c r="B57" s="60"/>
      <c r="C57" s="256">
        <f>'01.09'!C57</f>
        <v>0</v>
      </c>
      <c r="D57" s="66">
        <f>'16.06'!D57+COUNTIF(D$9:D$38,$C57)</f>
        <v>0</v>
      </c>
      <c r="E57" s="66">
        <f>'16.06'!E57+COUNTIF(E$9:E$38,$C57)</f>
        <v>0</v>
      </c>
      <c r="F57" s="66">
        <f>'16.06'!F57+COUNTIF(F$9:F$38,$C57)</f>
        <v>0</v>
      </c>
      <c r="G57" s="66">
        <f>'16.06'!G57+COUNTIF(G$9:G$38,$C57)</f>
        <v>0</v>
      </c>
      <c r="H57" s="66">
        <f>'16.06'!H57+COUNTIF(H$9:H$38,$C57)</f>
        <v>0</v>
      </c>
      <c r="I57" s="66">
        <f>'16.06'!I57+COUNTIF(I$9:I$38,$C57)</f>
        <v>0</v>
      </c>
      <c r="J57" s="66">
        <f>'16.06'!J57+COUNTIF(J$9:J$38,$C57)</f>
        <v>0</v>
      </c>
    </row>
    <row r="58" spans="1:10" ht="28.5" customHeight="1" x14ac:dyDescent="0.4">
      <c r="A58" s="1"/>
      <c r="B58" s="60"/>
      <c r="C58" s="228">
        <f>'01.09'!C58</f>
        <v>0</v>
      </c>
      <c r="D58" s="66">
        <f>'16.06'!D58+COUNTIF(D$9:D$38,$C58)</f>
        <v>0</v>
      </c>
      <c r="E58" s="66">
        <f>'16.06'!E58+COUNTIF(E$9:E$38,$C58)</f>
        <v>0</v>
      </c>
      <c r="F58" s="66">
        <f>'16.06'!F58+COUNTIF(F$9:F$38,$C58)</f>
        <v>0</v>
      </c>
      <c r="G58" s="66">
        <f>'16.06'!G58+COUNTIF(G$9:G$38,$C58)</f>
        <v>0</v>
      </c>
      <c r="H58" s="66">
        <f>'16.06'!H58+COUNTIF(H$9:H$38,$C58)</f>
        <v>0</v>
      </c>
      <c r="I58" s="66">
        <f>'16.06'!I58+COUNTIF(I$9:I$38,$C58)</f>
        <v>0</v>
      </c>
      <c r="J58" s="66">
        <f>'16.06'!J58+COUNTIF(J$9:J$38,$C58)</f>
        <v>0</v>
      </c>
    </row>
    <row r="59" spans="1:10" ht="28.5" customHeight="1" x14ac:dyDescent="0.4">
      <c r="A59" s="1"/>
      <c r="B59" s="138"/>
      <c r="C59" s="228">
        <f>'01.09'!C59</f>
        <v>0</v>
      </c>
      <c r="D59" s="241">
        <f>'16.06'!D59+COUNTIF(D$9:D$38,$C59)</f>
        <v>0</v>
      </c>
      <c r="E59" s="241">
        <f>'16.06'!E59+COUNTIF(E$9:E$38,$C59)</f>
        <v>0</v>
      </c>
      <c r="F59" s="241">
        <f>'16.06'!F59+COUNTIF(F$9:F$38,$C59)</f>
        <v>0</v>
      </c>
      <c r="G59" s="241">
        <f>'16.06'!G59+COUNTIF(G$9:G$38,$C59)</f>
        <v>0</v>
      </c>
      <c r="H59" s="66">
        <f>'16.06'!H59+COUNTIF(H$9:H$38,$C59)</f>
        <v>0</v>
      </c>
      <c r="I59" s="241">
        <f>'16.06'!I59+COUNTIF(I$9:I$38,$C59)</f>
        <v>0</v>
      </c>
      <c r="J59" s="241">
        <f>'16.06'!J59+COUNTIF(J$9:J$38,$C59)</f>
        <v>0</v>
      </c>
    </row>
    <row r="60" spans="1:10" ht="28.5" customHeight="1" x14ac:dyDescent="0.4">
      <c r="A60" s="1"/>
      <c r="B60" s="138"/>
      <c r="C60" s="228">
        <f>'01.09'!C60</f>
        <v>0</v>
      </c>
      <c r="D60" s="241">
        <f>'16.06'!D60+COUNTIF(D$9:D$38,$C60)</f>
        <v>0</v>
      </c>
      <c r="E60" s="241">
        <f>'16.06'!E60+COUNTIF(E$9:E$38,$C60)</f>
        <v>0</v>
      </c>
      <c r="F60" s="241">
        <f>'16.06'!F60+COUNTIF(F$9:F$38,$C60)</f>
        <v>0</v>
      </c>
      <c r="G60" s="241">
        <f>'16.06'!G60+COUNTIF(G$9:G$38,$C60)</f>
        <v>0</v>
      </c>
      <c r="H60" s="66">
        <f>'16.06'!H60+COUNTIF(H$9:H$38,$C60)</f>
        <v>0</v>
      </c>
      <c r="I60" s="241">
        <f>'16.06'!I60+COUNTIF(I$9:I$38,$C60)</f>
        <v>0</v>
      </c>
      <c r="J60" s="241">
        <f>'16.06'!J60+COUNTIF(J$9:J$38,$C60)</f>
        <v>0</v>
      </c>
    </row>
    <row r="61" spans="1:10" ht="28.5" customHeight="1" x14ac:dyDescent="0.4">
      <c r="A61" s="1"/>
      <c r="B61" s="60"/>
      <c r="C61" s="228">
        <f>'01.09'!C61</f>
        <v>0</v>
      </c>
      <c r="D61" s="241">
        <f>'16.06'!D61+COUNTIF(D$9:D$38,$C61)</f>
        <v>0</v>
      </c>
      <c r="E61" s="241">
        <f>'16.06'!E61+COUNTIF(E$9:E$38,$C61)</f>
        <v>0</v>
      </c>
      <c r="F61" s="241">
        <f>'16.06'!F61+COUNTIF(F$9:F$38,$C61)</f>
        <v>0</v>
      </c>
      <c r="G61" s="241">
        <f>'16.06'!G61+COUNTIF(G$9:G$38,$C61)</f>
        <v>0</v>
      </c>
      <c r="H61" s="66">
        <f>'16.06'!H61+COUNTIF(H$9:H$38,$C61)</f>
        <v>0</v>
      </c>
      <c r="I61" s="241">
        <f>'16.06'!I61+COUNTIF(I$9:I$38,$C61)</f>
        <v>0</v>
      </c>
      <c r="J61" s="241">
        <f>'16.06'!J61+COUNTIF(J$9:J$38,$C61)</f>
        <v>0</v>
      </c>
    </row>
    <row r="62" spans="1:10" ht="28.5" customHeight="1" x14ac:dyDescent="0.4">
      <c r="A62" s="1"/>
      <c r="B62" s="98"/>
      <c r="C62" s="228">
        <f>'01.09'!C62</f>
        <v>0</v>
      </c>
      <c r="D62" s="241">
        <f>'16.06'!D62+COUNTIF(D$9:D$38,$C62)</f>
        <v>0</v>
      </c>
      <c r="E62" s="241">
        <f>'16.06'!E62+COUNTIF(E$9:E$38,$C62)</f>
        <v>0</v>
      </c>
      <c r="F62" s="241">
        <f>'16.06'!F62+COUNTIF(F$9:F$38,$C62)</f>
        <v>0</v>
      </c>
      <c r="G62" s="241">
        <f>'16.06'!G62+COUNTIF(G$9:G$38,$C62)</f>
        <v>0</v>
      </c>
      <c r="H62" s="66">
        <f>'16.06'!H62+COUNTIF(H$9:H$38,$C62)</f>
        <v>0</v>
      </c>
      <c r="I62" s="241">
        <f>'16.06'!I62+COUNTIF(I$9:I$38,$C62)</f>
        <v>0</v>
      </c>
      <c r="J62" s="241">
        <f>'16.06'!J62+COUNTIF(J$9:J$38,$C62)</f>
        <v>0</v>
      </c>
    </row>
    <row r="63" spans="1:10" ht="45" customHeight="1" x14ac:dyDescent="0.4">
      <c r="A63" s="1"/>
      <c r="B63" s="60"/>
      <c r="C63" s="228">
        <f>'01.09'!C63</f>
        <v>0</v>
      </c>
      <c r="D63" s="241">
        <f>'16.06'!D63+COUNTIF(D$9:D$38,$C63)</f>
        <v>0</v>
      </c>
      <c r="E63" s="241">
        <f>'16.06'!E63+COUNTIF(E$9:E$38,$C63)</f>
        <v>0</v>
      </c>
      <c r="F63" s="241">
        <f>'16.06'!F63+COUNTIF(F$9:F$38,$C63)</f>
        <v>0</v>
      </c>
      <c r="G63" s="241">
        <f>'16.06'!G63+COUNTIF(G$9:G$38,$C63)</f>
        <v>0</v>
      </c>
      <c r="H63" s="66">
        <f>'16.06'!H63+COUNTIF(H$9:H$38,$C63)</f>
        <v>0</v>
      </c>
      <c r="I63" s="241">
        <f>'16.06'!I63+COUNTIF(I$9:I$38,$C63)</f>
        <v>0</v>
      </c>
      <c r="J63" s="241">
        <f>'16.06'!J63+COUNTIF(J$9:J$38,$C63)</f>
        <v>0</v>
      </c>
    </row>
    <row r="64" spans="1:10" ht="26.25" x14ac:dyDescent="0.4">
      <c r="A64" s="1"/>
      <c r="B64" s="60"/>
      <c r="C64" s="228">
        <f>'01.09'!C64</f>
        <v>0</v>
      </c>
      <c r="D64" s="241">
        <f>'16.06'!D64+COUNTIF(D$9:D$38,$C64)</f>
        <v>0</v>
      </c>
      <c r="E64" s="241">
        <f>'16.06'!E64+COUNTIF(E$9:E$38,$C64)</f>
        <v>0</v>
      </c>
      <c r="F64" s="241">
        <f>'16.06'!F64+COUNTIF(F$9:F$38,$C64)</f>
        <v>0</v>
      </c>
      <c r="G64" s="241">
        <f>'16.06'!G64+COUNTIF(G$9:G$38,$C64)</f>
        <v>0</v>
      </c>
      <c r="H64" s="66">
        <f>'16.06'!H64+COUNTIF(H$9:H$38,$C64)</f>
        <v>0</v>
      </c>
      <c r="I64" s="241">
        <f>'16.06'!I64+COUNTIF(I$9:I$38,$C64)</f>
        <v>0</v>
      </c>
      <c r="J64" s="241">
        <f>'16.06'!J64+COUNTIF(J$9:J$38,$C64)</f>
        <v>0</v>
      </c>
    </row>
    <row r="65" spans="1:10" ht="26.25" x14ac:dyDescent="0.4">
      <c r="A65" s="1"/>
      <c r="B65" s="60"/>
      <c r="C65" s="228">
        <f>'01.09'!C65</f>
        <v>0</v>
      </c>
      <c r="D65" s="241">
        <f>'16.06'!D65+COUNTIF(D$9:D$38,$C65)</f>
        <v>0</v>
      </c>
      <c r="E65" s="241">
        <f>'16.06'!E65+COUNTIF(E$9:E$38,$C65)</f>
        <v>0</v>
      </c>
      <c r="F65" s="241">
        <f>'16.06'!F65+COUNTIF(F$9:F$38,$C65)</f>
        <v>0</v>
      </c>
      <c r="G65" s="241">
        <f>'16.06'!G65+COUNTIF(G$9:G$38,$C65)</f>
        <v>0</v>
      </c>
      <c r="H65" s="66">
        <f>'16.06'!H65+COUNTIF(H$9:H$38,$C65)</f>
        <v>0</v>
      </c>
      <c r="I65" s="241">
        <f>'16.06'!I65+COUNTIF(I$9:I$38,$C65)</f>
        <v>0</v>
      </c>
      <c r="J65" s="241">
        <f>'16.06'!J65+COUNTIF(J$9:J$38,$C65)</f>
        <v>0</v>
      </c>
    </row>
    <row r="66" spans="1:10" ht="26.25" x14ac:dyDescent="0.25">
      <c r="A66" s="1"/>
      <c r="B66" s="1"/>
      <c r="C66" s="228">
        <f>'01.09'!C66</f>
        <v>0</v>
      </c>
      <c r="D66" s="241">
        <f>'16.06'!D66+COUNTIF(D$9:D$38,$C66)</f>
        <v>0</v>
      </c>
      <c r="E66" s="241">
        <f>'16.06'!E66+COUNTIF(E$9:E$38,$C66)</f>
        <v>0</v>
      </c>
      <c r="F66" s="241">
        <f>'16.06'!F66+COUNTIF(F$9:F$38,$C66)</f>
        <v>0</v>
      </c>
      <c r="G66" s="241">
        <f>'16.06'!G66+COUNTIF(G$9:G$38,$C66)</f>
        <v>0</v>
      </c>
      <c r="H66" s="66">
        <f>'16.06'!H66+COUNTIF(H$9:H$38,$C66)</f>
        <v>0</v>
      </c>
      <c r="I66" s="241">
        <f>'16.06'!I66+COUNTIF(I$9:I$38,$C66)</f>
        <v>0</v>
      </c>
      <c r="J66" s="241">
        <f>'16.06'!J66+COUNTIF(J$9:J$38,$C66)</f>
        <v>0</v>
      </c>
    </row>
    <row r="67" spans="1:10" ht="26.25" x14ac:dyDescent="0.25">
      <c r="A67" s="1"/>
      <c r="B67" s="1"/>
      <c r="C67" s="228">
        <f>'01.09'!C67</f>
        <v>0</v>
      </c>
      <c r="D67" s="66">
        <f>'16.06'!D67+COUNTIF(D$9:D$38,$C67)</f>
        <v>0</v>
      </c>
      <c r="E67" s="66">
        <f>'16.06'!E67+COUNTIF(E$9:E$38,$C67)</f>
        <v>0</v>
      </c>
      <c r="F67" s="66">
        <f>'16.06'!F67+COUNTIF(F$9:F$38,$C67)</f>
        <v>0</v>
      </c>
      <c r="G67" s="66">
        <f>'16.06'!G67+COUNTIF(G$9:G$38,$C67)</f>
        <v>0</v>
      </c>
      <c r="H67" s="66">
        <f>'16.06'!H67+COUNTIF(H$9:H$38,$C67)</f>
        <v>0</v>
      </c>
      <c r="I67" s="66">
        <f>'16.06'!I67+COUNTIF(I$9:I$38,$C67)</f>
        <v>0</v>
      </c>
      <c r="J67" s="66">
        <f>'16.06'!J67+COUNTIF(J$9:J$38,$C67)</f>
        <v>0</v>
      </c>
    </row>
    <row r="68" spans="1:10" ht="26.25" x14ac:dyDescent="0.25">
      <c r="A68" s="1"/>
      <c r="B68" s="1"/>
      <c r="C68" s="228">
        <f>'01.09'!C68</f>
        <v>0</v>
      </c>
      <c r="D68" s="66">
        <f>'16.06'!D68+COUNTIF(D$9:D$38,$C68)</f>
        <v>0</v>
      </c>
      <c r="E68" s="66">
        <f>'16.06'!E68+COUNTIF(E$9:E$38,$C68)</f>
        <v>0</v>
      </c>
      <c r="F68" s="66">
        <f>'16.06'!F68+COUNTIF(F$9:F$38,$C68)</f>
        <v>0</v>
      </c>
      <c r="G68" s="66">
        <f>'16.06'!G68+COUNTIF(G$9:G$38,$C68)</f>
        <v>0</v>
      </c>
      <c r="H68" s="66">
        <f>'16.06'!H68+COUNTIF(H$9:H$38,$C68)</f>
        <v>0</v>
      </c>
      <c r="I68" s="66">
        <f>'16.06'!I68+COUNTIF(I$9:I$38,$C68)</f>
        <v>0</v>
      </c>
      <c r="J68" s="66">
        <f>'16.06'!J68+COUNTIF(J$9:J$38,$C68)</f>
        <v>0</v>
      </c>
    </row>
    <row r="69" spans="1:10" ht="26.25" x14ac:dyDescent="0.25">
      <c r="A69" s="1"/>
      <c r="B69" s="1"/>
      <c r="C69" s="228">
        <f>'01.09'!C69</f>
        <v>0</v>
      </c>
      <c r="D69" s="66">
        <f>'16.06'!D69+COUNTIF(D$9:D$38,$C69)</f>
        <v>0</v>
      </c>
      <c r="E69" s="66">
        <f>'16.06'!E69+COUNTIF(E$9:E$38,$C69)</f>
        <v>0</v>
      </c>
      <c r="F69" s="66">
        <f>'16.06'!F69+COUNTIF(F$9:F$38,$C69)</f>
        <v>0</v>
      </c>
      <c r="G69" s="66">
        <f>'16.06'!G69+COUNTIF(G$9:G$38,$C69)</f>
        <v>0</v>
      </c>
      <c r="H69" s="66">
        <f>'16.06'!H69+COUNTIF(H$9:H$38,$C69)</f>
        <v>0</v>
      </c>
      <c r="I69" s="66">
        <f>'16.06'!I69+COUNTIF(I$9:I$38,$C69)</f>
        <v>0</v>
      </c>
      <c r="J69" s="66">
        <f>'16.06'!J69+COUNTIF(J$9:J$38,$C69)</f>
        <v>0</v>
      </c>
    </row>
    <row r="70" spans="1:10" ht="26.25" x14ac:dyDescent="0.25">
      <c r="A70" s="1"/>
      <c r="B70" s="1"/>
      <c r="C70" s="228">
        <f>'01.09'!C70</f>
        <v>0</v>
      </c>
      <c r="D70" s="66">
        <f>'16.06'!D70+COUNTIF(D$9:D$38,$C70)</f>
        <v>0</v>
      </c>
      <c r="E70" s="66">
        <f>'16.06'!E70+COUNTIF(E$9:E$38,$C70)</f>
        <v>0</v>
      </c>
      <c r="F70" s="66">
        <f>'16.06'!F70+COUNTIF(F$9:F$38,$C70)</f>
        <v>0</v>
      </c>
      <c r="G70" s="66">
        <f>'16.06'!G70+COUNTIF(G$9:G$38,$C70)</f>
        <v>0</v>
      </c>
      <c r="H70" s="66">
        <f>'16.06'!H70+COUNTIF(H$9:H$38,$C70)</f>
        <v>0</v>
      </c>
      <c r="I70" s="66">
        <f>'16.06'!I70+COUNTIF(I$9:I$38,$C70)</f>
        <v>0</v>
      </c>
      <c r="J70" s="66">
        <f>'16.06'!J70+COUNTIF(J$9:J$38,$C70)</f>
        <v>0</v>
      </c>
    </row>
    <row r="71" spans="1:10" ht="26.25" x14ac:dyDescent="0.25">
      <c r="A71" s="1"/>
      <c r="B71" s="1"/>
      <c r="C71" s="228">
        <f>'01.09'!C71</f>
        <v>0</v>
      </c>
      <c r="D71" s="66">
        <f>'16.06'!D71+COUNTIF(D$9:D$38,$C71)</f>
        <v>0</v>
      </c>
      <c r="E71" s="66">
        <f>'16.06'!E71+COUNTIF(E$9:E$38,$C71)</f>
        <v>0</v>
      </c>
      <c r="F71" s="66">
        <f>'16.06'!F71+COUNTIF(F$9:F$38,$C71)</f>
        <v>0</v>
      </c>
      <c r="G71" s="66">
        <f>'16.06'!G71+COUNTIF(G$9:G$38,$C71)</f>
        <v>0</v>
      </c>
      <c r="H71" s="66">
        <f>'16.06'!H71+COUNTIF(H$9:H$38,$C71)</f>
        <v>0</v>
      </c>
      <c r="I71" s="66">
        <f>'16.06'!I71+COUNTIF(I$9:I$38,$C71)</f>
        <v>0</v>
      </c>
      <c r="J71" s="66">
        <f>'16.06'!J71+COUNTIF(J$9:J$38,$C71)</f>
        <v>0</v>
      </c>
    </row>
    <row r="72" spans="1:10" ht="26.25" x14ac:dyDescent="0.25">
      <c r="C72" s="228">
        <f>'01.09'!C72</f>
        <v>0</v>
      </c>
      <c r="D72" s="66">
        <f>'16.06'!D72+COUNTIF(D$9:D$38,$C72)</f>
        <v>0</v>
      </c>
      <c r="E72" s="66">
        <f>'16.06'!E72+COUNTIF(E$9:E$38,$C72)</f>
        <v>0</v>
      </c>
      <c r="F72" s="66">
        <f>'16.06'!F72+COUNTIF(F$9:F$38,$C72)</f>
        <v>0</v>
      </c>
      <c r="G72" s="66">
        <f>'16.06'!G72+COUNTIF(G$9:G$38,$C72)</f>
        <v>0</v>
      </c>
      <c r="H72" s="66">
        <f>'16.06'!H72+COUNTIF(H$9:H$38,$C72)</f>
        <v>0</v>
      </c>
      <c r="I72" s="66">
        <f>'16.06'!I72+COUNTIF(I$9:I$38,$C72)</f>
        <v>0</v>
      </c>
      <c r="J72" s="66">
        <f>'16.06'!J72+COUNTIF(J$9:J$38,$C72)</f>
        <v>0</v>
      </c>
    </row>
    <row r="73" spans="1:10" ht="26.25" x14ac:dyDescent="0.25">
      <c r="C73" s="228">
        <f>'01.09'!C73</f>
        <v>0</v>
      </c>
      <c r="D73" s="66">
        <f>'16.06'!D73+COUNTIF(D$9:D$38,$C73)</f>
        <v>0</v>
      </c>
      <c r="E73" s="66">
        <f>'16.06'!E73+COUNTIF(E$9:E$38,$C73)</f>
        <v>0</v>
      </c>
      <c r="F73" s="66">
        <f>'16.06'!F73+COUNTIF(F$9:F$38,$C73)</f>
        <v>0</v>
      </c>
      <c r="G73" s="66">
        <f>'16.06'!G73+COUNTIF(G$9:G$38,$C73)</f>
        <v>0</v>
      </c>
      <c r="H73" s="66">
        <f>'16.06'!H73+COUNTIF(H$9:H$38,$C73)</f>
        <v>0</v>
      </c>
      <c r="I73" s="66">
        <f>'16.06'!I73+COUNTIF(I$9:I$38,$C73)</f>
        <v>0</v>
      </c>
      <c r="J73" s="66">
        <f>'16.06'!J73+COUNTIF(J$9:J$38,$C73)</f>
        <v>0</v>
      </c>
    </row>
  </sheetData>
  <mergeCells count="20">
    <mergeCell ref="B1:J1"/>
    <mergeCell ref="B2:J2"/>
    <mergeCell ref="A3:J3"/>
    <mergeCell ref="B5:J5"/>
    <mergeCell ref="A7:A8"/>
    <mergeCell ref="B7:B8"/>
    <mergeCell ref="C7:C8"/>
    <mergeCell ref="B4:J4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conditionalFormatting sqref="D40:J40">
    <cfRule type="cellIs" dxfId="17" priority="18" operator="lessThan">
      <formula>5</formula>
    </cfRule>
  </conditionalFormatting>
  <conditionalFormatting sqref="D41:J41">
    <cfRule type="cellIs" dxfId="16" priority="17" operator="lessThan">
      <formula>11</formula>
    </cfRule>
  </conditionalFormatting>
  <conditionalFormatting sqref="D42:J42">
    <cfRule type="cellIs" dxfId="15" priority="16" operator="lessThan">
      <formula>5</formula>
    </cfRule>
  </conditionalFormatting>
  <conditionalFormatting sqref="D43:J43">
    <cfRule type="cellIs" dxfId="14" priority="15" operator="lessThan">
      <formula>11</formula>
    </cfRule>
  </conditionalFormatting>
  <conditionalFormatting sqref="D44:J44">
    <cfRule type="cellIs" dxfId="13" priority="14" operator="lessThan">
      <formula>8</formula>
    </cfRule>
  </conditionalFormatting>
  <conditionalFormatting sqref="D45:J45">
    <cfRule type="cellIs" dxfId="12" priority="13" operator="lessThan">
      <formula>24</formula>
    </cfRule>
  </conditionalFormatting>
  <conditionalFormatting sqref="D46:J46">
    <cfRule type="cellIs" dxfId="11" priority="12" operator="lessThan">
      <formula>5</formula>
    </cfRule>
  </conditionalFormatting>
  <conditionalFormatting sqref="D47:J47">
    <cfRule type="cellIs" dxfId="10" priority="11" operator="lessThan">
      <formula>50</formula>
    </cfRule>
  </conditionalFormatting>
  <conditionalFormatting sqref="D48:J48">
    <cfRule type="cellIs" dxfId="9" priority="10" operator="lessThan">
      <formula>2</formula>
    </cfRule>
  </conditionalFormatting>
  <conditionalFormatting sqref="D49:J49">
    <cfRule type="cellIs" dxfId="8" priority="9" operator="lessThan">
      <formula>14</formula>
    </cfRule>
  </conditionalFormatting>
  <conditionalFormatting sqref="D50:J50">
    <cfRule type="cellIs" dxfId="7" priority="8" operator="lessThan">
      <formula>1</formula>
    </cfRule>
  </conditionalFormatting>
  <conditionalFormatting sqref="D51:J51">
    <cfRule type="cellIs" dxfId="6" priority="7" operator="lessThan">
      <formula>23</formula>
    </cfRule>
  </conditionalFormatting>
  <conditionalFormatting sqref="D52:J52">
    <cfRule type="cellIs" dxfId="5" priority="6" operator="lessThan">
      <formula>1</formula>
    </cfRule>
  </conditionalFormatting>
  <conditionalFormatting sqref="D53:J53">
    <cfRule type="cellIs" dxfId="4" priority="5" operator="lessThan">
      <formula>31</formula>
    </cfRule>
  </conditionalFormatting>
  <conditionalFormatting sqref="D54:J54">
    <cfRule type="cellIs" dxfId="3" priority="4" operator="lessThan">
      <formula>1</formula>
    </cfRule>
  </conditionalFormatting>
  <conditionalFormatting sqref="D55:J55">
    <cfRule type="cellIs" dxfId="2" priority="3" operator="lessThan">
      <formula>9</formula>
    </cfRule>
  </conditionalFormatting>
  <conditionalFormatting sqref="D56:J56">
    <cfRule type="cellIs" dxfId="1" priority="2" operator="lessThan">
      <formula>16</formula>
    </cfRule>
  </conditionalFormatting>
  <conditionalFormatting sqref="D57:J57">
    <cfRule type="cellIs" dxfId="0" priority="1" operator="lessThan">
      <formula>17</formula>
    </cfRule>
  </conditionalFormatting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26</vt:i4>
      </vt:variant>
    </vt:vector>
  </HeadingPairs>
  <TitlesOfParts>
    <vt:vector size="52" baseType="lpstr">
      <vt:lpstr>Титул</vt:lpstr>
      <vt:lpstr>приложение1</vt:lpstr>
      <vt:lpstr>расписание ПСС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17.06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'17.06'!Область_печати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ПСС'!Область_печати</vt:lpstr>
      <vt:lpstr>Титул!Область_печати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2026-10-09T09:52:35Z</cp:lastPrinted>
  <dcterms:created xsi:type="dcterms:W3CDTF">2012-10-29T12:55:48Z</dcterms:created>
  <dcterms:modified xsi:type="dcterms:W3CDTF">2026-10-12T12:39:33Z</dcterms:modified>
</cp:coreProperties>
</file>