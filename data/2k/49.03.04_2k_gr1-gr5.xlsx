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6-2027 уч.год НОВЫЙ\1 полугодие НОВЫЙ\1 полугодие НОВЫЙ\Спорт очное отделение 2026-27уч.год\1 полугодие\1 семестр -Расписание Спорт 2026-2027 г\2 курс\"/>
    </mc:Choice>
  </mc:AlternateContent>
  <bookViews>
    <workbookView xWindow="0" yWindow="780" windowWidth="19440" windowHeight="11520" tabRatio="915" firstSheet="1" activeTab="10"/>
  </bookViews>
  <sheets>
    <sheet name="титульный лист" sheetId="29" state="hidden" r:id="rId1"/>
    <sheet name="Титул" sheetId="36" r:id="rId2"/>
    <sheet name="приложение1" sheetId="26" r:id="rId3"/>
    <sheet name="расписание ПСС" sheetId="32" r:id="rId4"/>
    <sheet name="Иностр язык(немец, рус)" sheetId="37" state="hidden" r:id="rId5"/>
    <sheet name="01.09" sheetId="2" r:id="rId6"/>
    <sheet name="07.09" sheetId="5" r:id="rId7"/>
    <sheet name="14.09" sheetId="4" r:id="rId8"/>
    <sheet name="21.09" sheetId="6" r:id="rId9"/>
    <sheet name="28.09" sheetId="7" r:id="rId10"/>
    <sheet name="05.10" sheetId="8" r:id="rId11"/>
    <sheet name="12.10" sheetId="9" r:id="rId12"/>
    <sheet name="19.10" sheetId="10" r:id="rId13"/>
    <sheet name="26.10" sheetId="11" r:id="rId14"/>
    <sheet name="02.11" sheetId="12" r:id="rId15"/>
    <sheet name="09.11" sheetId="13" r:id="rId16"/>
    <sheet name="16.11" sheetId="14" r:id="rId17"/>
    <sheet name="23.11" sheetId="15" r:id="rId18"/>
    <sheet name="30.11" sheetId="16" r:id="rId19"/>
    <sheet name="07.12" sheetId="17" r:id="rId20"/>
    <sheet name="14.12" sheetId="18" r:id="rId21"/>
    <sheet name="21.12" sheetId="19" r:id="rId22"/>
    <sheet name="28.12" sheetId="20" r:id="rId23"/>
    <sheet name="09.06" sheetId="38" state="hidden" r:id="rId24"/>
    <sheet name="16.06" sheetId="39" state="hidden" r:id="rId25"/>
  </sheets>
  <definedNames>
    <definedName name="SIGN" localSheetId="23">#REF!</definedName>
    <definedName name="SIGN" localSheetId="24">#REF!</definedName>
    <definedName name="SIGN" localSheetId="3">#REF!</definedName>
    <definedName name="SIGN">#REF!</definedName>
    <definedName name="SIGN_D" localSheetId="23">#REF!</definedName>
    <definedName name="SIGN_D" localSheetId="24">#REF!</definedName>
    <definedName name="SIGN_D" localSheetId="3">#REF!</definedName>
    <definedName name="SIGN_D">#REF!</definedName>
    <definedName name="Sign1" localSheetId="23">#REF!</definedName>
    <definedName name="Sign1" localSheetId="24">#REF!</definedName>
    <definedName name="Sign1" localSheetId="3">#REF!</definedName>
    <definedName name="Sign1">#REF!</definedName>
    <definedName name="и" localSheetId="23">#REF!</definedName>
    <definedName name="и" localSheetId="24">#REF!</definedName>
    <definedName name="и" localSheetId="3">#REF!</definedName>
    <definedName name="и">#REF!</definedName>
    <definedName name="_xlnm.Print_Area" localSheetId="5">'01.09'!$A$1:$H$37</definedName>
    <definedName name="_xlnm.Print_Area" localSheetId="14">'02.11'!$A$1:$H$39</definedName>
    <definedName name="_xlnm.Print_Area" localSheetId="10">'05.10'!$A$1:$H$39</definedName>
    <definedName name="_xlnm.Print_Area" localSheetId="6">'07.09'!$A$1:$H$39</definedName>
    <definedName name="_xlnm.Print_Area" localSheetId="19">'07.12'!$A$1:$H$39</definedName>
    <definedName name="_xlnm.Print_Area" localSheetId="23">'09.06'!$A$1:$H$39</definedName>
    <definedName name="_xlnm.Print_Area" localSheetId="15">'09.11'!$A$1:$H$39</definedName>
    <definedName name="_xlnm.Print_Area" localSheetId="11">'12.10'!$A$1:$H$39</definedName>
    <definedName name="_xlnm.Print_Area" localSheetId="7">'14.09'!$A$1:$H$39</definedName>
    <definedName name="_xlnm.Print_Area" localSheetId="20">'14.12'!$A$1:$H$39</definedName>
    <definedName name="_xlnm.Print_Area" localSheetId="24">'16.06'!$A$1:$H$68</definedName>
    <definedName name="_xlnm.Print_Area" localSheetId="16">'16.11'!$A$1:$H$39</definedName>
    <definedName name="_xlnm.Print_Area" localSheetId="12">'19.10'!$A$1:$H$39</definedName>
    <definedName name="_xlnm.Print_Area" localSheetId="8">'21.09'!$A$1:$H$39</definedName>
    <definedName name="_xlnm.Print_Area" localSheetId="21">'21.12'!$A$1:$H$39</definedName>
    <definedName name="_xlnm.Print_Area" localSheetId="17">'23.11'!$A$1:$H$39</definedName>
    <definedName name="_xlnm.Print_Area" localSheetId="13">'26.10'!$A$1:$H$39</definedName>
    <definedName name="_xlnm.Print_Area" localSheetId="9">'28.09'!$A$1:$H$39</definedName>
    <definedName name="_xlnm.Print_Area" localSheetId="22">'28.12'!$A$1:$H$61</definedName>
    <definedName name="_xlnm.Print_Area" localSheetId="18">'30.11'!$A$1:$H$39</definedName>
    <definedName name="_xlnm.Print_Area" localSheetId="2">приложение1!$A$1:$C$19</definedName>
    <definedName name="_xlnm.Print_Area" localSheetId="3">'расписание ПСС'!$A$1:$H$67</definedName>
    <definedName name="оо" localSheetId="23">#REF!</definedName>
    <definedName name="оо" localSheetId="24">#REF!</definedName>
    <definedName name="оо">#REF!</definedName>
    <definedName name="Р1" localSheetId="23">#REF!</definedName>
    <definedName name="Р1" localSheetId="24">#REF!</definedName>
    <definedName name="Р1" localSheetId="3">#REF!</definedName>
    <definedName name="Р1">#REF!</definedName>
    <definedName name="ыва" localSheetId="23">#REF!</definedName>
    <definedName name="ыва" localSheetId="24">#REF!</definedName>
    <definedName name="ыва" localSheetId="3">#REF!</definedName>
    <definedName name="ыва">#REF!</definedName>
  </definedNames>
  <calcPr calcId="162913"/>
</workbook>
</file>

<file path=xl/calcChain.xml><?xml version="1.0" encoding="utf-8"?>
<calcChain xmlns="http://schemas.openxmlformats.org/spreadsheetml/2006/main">
  <c r="D51" i="2" l="1"/>
  <c r="C67" i="20" l="1"/>
  <c r="C66" i="12"/>
  <c r="C66" i="7"/>
  <c r="C66" i="4"/>
  <c r="D65" i="2"/>
  <c r="E65" i="2"/>
  <c r="F65" i="2"/>
  <c r="G65" i="2"/>
  <c r="H65" i="2"/>
  <c r="C65" i="6" l="1"/>
  <c r="C66" i="6"/>
  <c r="C65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D64" i="2"/>
  <c r="E64" i="2"/>
  <c r="F64" i="2"/>
  <c r="G64" i="2"/>
  <c r="H64" i="2"/>
  <c r="C41" i="9" l="1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3" i="39"/>
  <c r="C64" i="39"/>
  <c r="C65" i="39"/>
  <c r="C66" i="39"/>
  <c r="C67" i="39"/>
  <c r="C68" i="39"/>
  <c r="C69" i="39"/>
  <c r="D69" i="39" s="1"/>
  <c r="C70" i="39"/>
  <c r="F70" i="39" s="1"/>
  <c r="D70" i="39"/>
  <c r="C61" i="38"/>
  <c r="C62" i="38"/>
  <c r="C63" i="38"/>
  <c r="C64" i="38"/>
  <c r="C65" i="38"/>
  <c r="C66" i="38"/>
  <c r="C62" i="20"/>
  <c r="C63" i="20"/>
  <c r="C64" i="20"/>
  <c r="C65" i="20"/>
  <c r="C66" i="20"/>
  <c r="C61" i="19"/>
  <c r="C62" i="19"/>
  <c r="C63" i="19"/>
  <c r="C64" i="19"/>
  <c r="C65" i="19"/>
  <c r="C66" i="19"/>
  <c r="C61" i="18"/>
  <c r="C62" i="18"/>
  <c r="C63" i="18"/>
  <c r="C64" i="18"/>
  <c r="C65" i="18"/>
  <c r="C66" i="18"/>
  <c r="C60" i="17"/>
  <c r="C61" i="17"/>
  <c r="C62" i="17"/>
  <c r="C63" i="17"/>
  <c r="C64" i="17"/>
  <c r="C65" i="17"/>
  <c r="C66" i="17"/>
  <c r="C67" i="17"/>
  <c r="C68" i="17"/>
  <c r="C69" i="17"/>
  <c r="C70" i="17"/>
  <c r="D70" i="17" s="1"/>
  <c r="C60" i="16"/>
  <c r="C61" i="16"/>
  <c r="C62" i="16"/>
  <c r="C63" i="16"/>
  <c r="C64" i="16"/>
  <c r="C65" i="16"/>
  <c r="C66" i="16"/>
  <c r="C67" i="16"/>
  <c r="E67" i="16" s="1"/>
  <c r="C68" i="16"/>
  <c r="D68" i="16" s="1"/>
  <c r="C69" i="16"/>
  <c r="E69" i="16" s="1"/>
  <c r="E69" i="17" s="1"/>
  <c r="C61" i="15"/>
  <c r="C62" i="15"/>
  <c r="C63" i="15"/>
  <c r="C64" i="15"/>
  <c r="C65" i="15"/>
  <c r="C66" i="15"/>
  <c r="C61" i="14"/>
  <c r="C62" i="14"/>
  <c r="C63" i="14"/>
  <c r="C64" i="14"/>
  <c r="C65" i="14"/>
  <c r="C66" i="14"/>
  <c r="C67" i="14"/>
  <c r="D67" i="14" s="1"/>
  <c r="C68" i="14"/>
  <c r="D68" i="14" s="1"/>
  <c r="C61" i="13"/>
  <c r="C62" i="13"/>
  <c r="C63" i="13"/>
  <c r="C64" i="13"/>
  <c r="C65" i="13"/>
  <c r="C66" i="13"/>
  <c r="C62" i="12"/>
  <c r="C63" i="12"/>
  <c r="C64" i="12"/>
  <c r="C65" i="12"/>
  <c r="C61" i="11"/>
  <c r="C62" i="11"/>
  <c r="C63" i="11"/>
  <c r="C64" i="11"/>
  <c r="C65" i="11"/>
  <c r="C66" i="11"/>
  <c r="C67" i="11"/>
  <c r="C68" i="11"/>
  <c r="F68" i="11" s="1"/>
  <c r="C61" i="10"/>
  <c r="C62" i="10"/>
  <c r="C63" i="10"/>
  <c r="C64" i="10"/>
  <c r="C65" i="10"/>
  <c r="C66" i="10"/>
  <c r="C67" i="10"/>
  <c r="C61" i="8"/>
  <c r="C62" i="8"/>
  <c r="C63" i="8"/>
  <c r="C64" i="8"/>
  <c r="C65" i="8"/>
  <c r="C66" i="8"/>
  <c r="C67" i="8"/>
  <c r="D67" i="8" s="1"/>
  <c r="C68" i="8"/>
  <c r="F68" i="8" s="1"/>
  <c r="C69" i="8"/>
  <c r="D69" i="8" s="1"/>
  <c r="C70" i="8"/>
  <c r="F70" i="8" s="1"/>
  <c r="C61" i="7"/>
  <c r="C62" i="7"/>
  <c r="C63" i="7"/>
  <c r="C64" i="7"/>
  <c r="C65" i="7"/>
  <c r="C61" i="6"/>
  <c r="C62" i="6"/>
  <c r="C63" i="6"/>
  <c r="C64" i="6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F65" i="5" s="1"/>
  <c r="F65" i="4" s="1"/>
  <c r="F65" i="6" s="1"/>
  <c r="C66" i="5"/>
  <c r="D66" i="5" s="1"/>
  <c r="D66" i="4" s="1"/>
  <c r="D66" i="6" s="1"/>
  <c r="D66" i="7" s="1"/>
  <c r="D61" i="2"/>
  <c r="E61" i="2"/>
  <c r="F61" i="2"/>
  <c r="G61" i="2"/>
  <c r="G62" i="5" s="1"/>
  <c r="G62" i="4" s="1"/>
  <c r="H61" i="2"/>
  <c r="D62" i="2"/>
  <c r="E62" i="2"/>
  <c r="F62" i="2"/>
  <c r="G62" i="2"/>
  <c r="G63" i="5" s="1"/>
  <c r="G63" i="4" s="1"/>
  <c r="H62" i="2"/>
  <c r="D63" i="2"/>
  <c r="E63" i="2"/>
  <c r="F63" i="2"/>
  <c r="G63" i="2"/>
  <c r="G64" i="5" s="1"/>
  <c r="G64" i="4" s="1"/>
  <c r="H63" i="2"/>
  <c r="G68" i="14" l="1"/>
  <c r="H70" i="8"/>
  <c r="H68" i="8"/>
  <c r="E70" i="8"/>
  <c r="E68" i="8"/>
  <c r="F63" i="5"/>
  <c r="F63" i="4" s="1"/>
  <c r="F63" i="6" s="1"/>
  <c r="F63" i="7" s="1"/>
  <c r="F63" i="8" s="1"/>
  <c r="E63" i="5"/>
  <c r="E63" i="4" s="1"/>
  <c r="E63" i="6" s="1"/>
  <c r="E63" i="7" s="1"/>
  <c r="E63" i="8" s="1"/>
  <c r="F62" i="5"/>
  <c r="F62" i="4" s="1"/>
  <c r="F62" i="6" s="1"/>
  <c r="F62" i="7" s="1"/>
  <c r="F62" i="8" s="1"/>
  <c r="F65" i="7"/>
  <c r="F65" i="8" s="1"/>
  <c r="F65" i="9" s="1"/>
  <c r="F65" i="10" s="1"/>
  <c r="F65" i="11" s="1"/>
  <c r="F65" i="12" s="1"/>
  <c r="F65" i="13" s="1"/>
  <c r="F65" i="14" s="1"/>
  <c r="F65" i="15" s="1"/>
  <c r="F65" i="16" s="1"/>
  <c r="F65" i="17" s="1"/>
  <c r="F65" i="18" s="1"/>
  <c r="F65" i="19" s="1"/>
  <c r="F66" i="20" s="1"/>
  <c r="H63" i="5"/>
  <c r="H63" i="4" s="1"/>
  <c r="H63" i="6" s="1"/>
  <c r="H63" i="7" s="1"/>
  <c r="H63" i="8" s="1"/>
  <c r="D63" i="5"/>
  <c r="D63" i="4" s="1"/>
  <c r="D63" i="6" s="1"/>
  <c r="D63" i="7" s="1"/>
  <c r="D63" i="8" s="1"/>
  <c r="H70" i="39"/>
  <c r="G68" i="16"/>
  <c r="G68" i="17" s="1"/>
  <c r="H69" i="16"/>
  <c r="H69" i="17" s="1"/>
  <c r="F68" i="16"/>
  <c r="F68" i="17" s="1"/>
  <c r="D69" i="16"/>
  <c r="D69" i="17" s="1"/>
  <c r="E68" i="16"/>
  <c r="E68" i="17" s="1"/>
  <c r="F68" i="14"/>
  <c r="E68" i="14"/>
  <c r="H68" i="14"/>
  <c r="D67" i="9"/>
  <c r="D67" i="10" s="1"/>
  <c r="D67" i="11" s="1"/>
  <c r="F69" i="8"/>
  <c r="G70" i="8"/>
  <c r="G69" i="8"/>
  <c r="G68" i="8"/>
  <c r="F67" i="8"/>
  <c r="F67" i="9" s="1"/>
  <c r="F67" i="10" s="1"/>
  <c r="F67" i="11" s="1"/>
  <c r="F70" i="17"/>
  <c r="D70" i="8"/>
  <c r="D68" i="8"/>
  <c r="G70" i="17"/>
  <c r="F64" i="5"/>
  <c r="F64" i="4" s="1"/>
  <c r="F64" i="6" s="1"/>
  <c r="F64" i="7" s="1"/>
  <c r="F64" i="8" s="1"/>
  <c r="F64" i="9" s="1"/>
  <c r="F64" i="10" s="1"/>
  <c r="F64" i="11" s="1"/>
  <c r="F64" i="12" s="1"/>
  <c r="F64" i="13" s="1"/>
  <c r="F64" i="14" s="1"/>
  <c r="F64" i="15" s="1"/>
  <c r="F64" i="16" s="1"/>
  <c r="F64" i="17" s="1"/>
  <c r="F64" i="18" s="1"/>
  <c r="F64" i="19" s="1"/>
  <c r="F65" i="20" s="1"/>
  <c r="D62" i="5"/>
  <c r="D62" i="4" s="1"/>
  <c r="D62" i="6" s="1"/>
  <c r="D62" i="7" s="1"/>
  <c r="D62" i="8" s="1"/>
  <c r="G70" i="39"/>
  <c r="E70" i="39"/>
  <c r="H68" i="11"/>
  <c r="G68" i="11"/>
  <c r="E68" i="11"/>
  <c r="D68" i="11"/>
  <c r="F69" i="39"/>
  <c r="F67" i="14"/>
  <c r="E67" i="17"/>
  <c r="G67" i="8"/>
  <c r="G67" i="9" s="1"/>
  <c r="G67" i="10" s="1"/>
  <c r="G67" i="11" s="1"/>
  <c r="D66" i="8"/>
  <c r="D66" i="9" s="1"/>
  <c r="D66" i="10" s="1"/>
  <c r="D66" i="11" s="1"/>
  <c r="D66" i="12" s="1"/>
  <c r="D66" i="13" s="1"/>
  <c r="D66" i="14" s="1"/>
  <c r="D66" i="15" s="1"/>
  <c r="D66" i="16" s="1"/>
  <c r="D66" i="17" s="1"/>
  <c r="D66" i="18" s="1"/>
  <c r="D66" i="19" s="1"/>
  <c r="D67" i="20" s="1"/>
  <c r="H67" i="16"/>
  <c r="H67" i="17" s="1"/>
  <c r="G67" i="16"/>
  <c r="G67" i="17" s="1"/>
  <c r="G67" i="14"/>
  <c r="D67" i="16"/>
  <c r="D67" i="17" s="1"/>
  <c r="G69" i="39"/>
  <c r="D68" i="17"/>
  <c r="G65" i="5"/>
  <c r="G65" i="4" s="1"/>
  <c r="G65" i="6" s="1"/>
  <c r="G65" i="7" s="1"/>
  <c r="G65" i="8" s="1"/>
  <c r="G65" i="9" s="1"/>
  <c r="G65" i="10" s="1"/>
  <c r="G65" i="11" s="1"/>
  <c r="G65" i="12" s="1"/>
  <c r="G65" i="13" s="1"/>
  <c r="G65" i="14" s="1"/>
  <c r="G65" i="15" s="1"/>
  <c r="G65" i="16" s="1"/>
  <c r="G65" i="17" s="1"/>
  <c r="G65" i="18" s="1"/>
  <c r="G65" i="19" s="1"/>
  <c r="G66" i="20" s="1"/>
  <c r="E65" i="5"/>
  <c r="E65" i="4" s="1"/>
  <c r="E65" i="6" s="1"/>
  <c r="E65" i="7" s="1"/>
  <c r="E65" i="8" s="1"/>
  <c r="E65" i="9" s="1"/>
  <c r="E65" i="10" s="1"/>
  <c r="E65" i="11" s="1"/>
  <c r="E65" i="12" s="1"/>
  <c r="E65" i="13" s="1"/>
  <c r="E65" i="14" s="1"/>
  <c r="E65" i="15" s="1"/>
  <c r="E65" i="16" s="1"/>
  <c r="E65" i="17" s="1"/>
  <c r="E65" i="18" s="1"/>
  <c r="E65" i="19" s="1"/>
  <c r="E66" i="20" s="1"/>
  <c r="H65" i="5"/>
  <c r="H65" i="4" s="1"/>
  <c r="H65" i="6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6" i="20" s="1"/>
  <c r="D65" i="5"/>
  <c r="D65" i="4" s="1"/>
  <c r="D65" i="6" s="1"/>
  <c r="D65" i="7" s="1"/>
  <c r="D65" i="8" s="1"/>
  <c r="D65" i="9" s="1"/>
  <c r="D65" i="10" s="1"/>
  <c r="D65" i="11" s="1"/>
  <c r="D65" i="12" s="1"/>
  <c r="D65" i="13" s="1"/>
  <c r="D65" i="14" s="1"/>
  <c r="D65" i="15" s="1"/>
  <c r="D65" i="16" s="1"/>
  <c r="D65" i="17" s="1"/>
  <c r="D65" i="18" s="1"/>
  <c r="D65" i="19" s="1"/>
  <c r="D66" i="20" s="1"/>
  <c r="G66" i="5"/>
  <c r="G66" i="4" s="1"/>
  <c r="G66" i="6" s="1"/>
  <c r="G66" i="7" s="1"/>
  <c r="G66" i="8" s="1"/>
  <c r="G66" i="9" s="1"/>
  <c r="G66" i="10" s="1"/>
  <c r="G66" i="11" s="1"/>
  <c r="G66" i="12" s="1"/>
  <c r="G66" i="13" s="1"/>
  <c r="G66" i="14" s="1"/>
  <c r="G66" i="15" s="1"/>
  <c r="G66" i="16" s="1"/>
  <c r="G66" i="17" s="1"/>
  <c r="G66" i="18" s="1"/>
  <c r="G66" i="19" s="1"/>
  <c r="G67" i="20" s="1"/>
  <c r="F66" i="5"/>
  <c r="F66" i="4" s="1"/>
  <c r="F66" i="6" s="1"/>
  <c r="F66" i="7" s="1"/>
  <c r="F66" i="8" s="1"/>
  <c r="F66" i="9" s="1"/>
  <c r="F66" i="10" s="1"/>
  <c r="F66" i="11" s="1"/>
  <c r="F66" i="12" s="1"/>
  <c r="F66" i="13" s="1"/>
  <c r="F66" i="14" s="1"/>
  <c r="F66" i="15" s="1"/>
  <c r="F66" i="16" s="1"/>
  <c r="F66" i="17" s="1"/>
  <c r="F66" i="18" s="1"/>
  <c r="F66" i="19" s="1"/>
  <c r="F67" i="20" s="1"/>
  <c r="D64" i="5"/>
  <c r="D64" i="4" s="1"/>
  <c r="D64" i="6" s="1"/>
  <c r="D64" i="7" s="1"/>
  <c r="D64" i="8" s="1"/>
  <c r="D64" i="9" s="1"/>
  <c r="D64" i="10" s="1"/>
  <c r="D64" i="11" s="1"/>
  <c r="D64" i="12" s="1"/>
  <c r="D64" i="13" s="1"/>
  <c r="D64" i="14" s="1"/>
  <c r="D64" i="15" s="1"/>
  <c r="D64" i="16" s="1"/>
  <c r="D64" i="17" s="1"/>
  <c r="D64" i="18" s="1"/>
  <c r="D64" i="19" s="1"/>
  <c r="D65" i="20" s="1"/>
  <c r="E69" i="39"/>
  <c r="H69" i="39"/>
  <c r="E70" i="17"/>
  <c r="H70" i="17"/>
  <c r="G69" i="16"/>
  <c r="G69" i="17" s="1"/>
  <c r="F69" i="16"/>
  <c r="F69" i="17" s="1"/>
  <c r="H68" i="16"/>
  <c r="H68" i="17" s="1"/>
  <c r="F67" i="16"/>
  <c r="F67" i="17" s="1"/>
  <c r="E67" i="14"/>
  <c r="H67" i="14"/>
  <c r="E69" i="8"/>
  <c r="E67" i="8"/>
  <c r="E67" i="9" s="1"/>
  <c r="E67" i="10" s="1"/>
  <c r="E67" i="11" s="1"/>
  <c r="H69" i="8"/>
  <c r="H67" i="8"/>
  <c r="H67" i="9" s="1"/>
  <c r="H67" i="10" s="1"/>
  <c r="H67" i="11" s="1"/>
  <c r="G64" i="6"/>
  <c r="G64" i="7" s="1"/>
  <c r="G64" i="8" s="1"/>
  <c r="G64" i="9" s="1"/>
  <c r="G64" i="10" s="1"/>
  <c r="G64" i="11" s="1"/>
  <c r="G64" i="12" s="1"/>
  <c r="G64" i="13" s="1"/>
  <c r="G64" i="14" s="1"/>
  <c r="G64" i="15" s="1"/>
  <c r="G64" i="16" s="1"/>
  <c r="G64" i="17" s="1"/>
  <c r="G64" i="18" s="1"/>
  <c r="G64" i="19" s="1"/>
  <c r="G65" i="20" s="1"/>
  <c r="G63" i="6"/>
  <c r="G63" i="7" s="1"/>
  <c r="G63" i="8" s="1"/>
  <c r="G62" i="6"/>
  <c r="G62" i="7" s="1"/>
  <c r="G62" i="8" s="1"/>
  <c r="E66" i="5"/>
  <c r="E66" i="4" s="1"/>
  <c r="E66" i="6" s="1"/>
  <c r="E66" i="7" s="1"/>
  <c r="E66" i="8" s="1"/>
  <c r="E66" i="9" s="1"/>
  <c r="E66" i="10" s="1"/>
  <c r="E66" i="11" s="1"/>
  <c r="E66" i="12" s="1"/>
  <c r="E66" i="13" s="1"/>
  <c r="E66" i="14" s="1"/>
  <c r="E66" i="15" s="1"/>
  <c r="E66" i="16" s="1"/>
  <c r="E66" i="17" s="1"/>
  <c r="E66" i="18" s="1"/>
  <c r="E66" i="19" s="1"/>
  <c r="E67" i="20" s="1"/>
  <c r="E64" i="5"/>
  <c r="E62" i="5"/>
  <c r="H66" i="5"/>
  <c r="H66" i="4" s="1"/>
  <c r="H66" i="6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7" i="20" s="1"/>
  <c r="H64" i="5"/>
  <c r="H62" i="5"/>
  <c r="G65" i="38" l="1"/>
  <c r="G67" i="39" s="1"/>
  <c r="E65" i="38"/>
  <c r="E67" i="39" s="1"/>
  <c r="F64" i="38"/>
  <c r="F66" i="39" s="1"/>
  <c r="E66" i="38"/>
  <c r="E68" i="39" s="1"/>
  <c r="G66" i="38"/>
  <c r="G68" i="39" s="1"/>
  <c r="H66" i="38"/>
  <c r="H68" i="39" s="1"/>
  <c r="D65" i="38"/>
  <c r="D67" i="39" s="1"/>
  <c r="F66" i="38"/>
  <c r="F68" i="39" s="1"/>
  <c r="D66" i="38"/>
  <c r="D68" i="39" s="1"/>
  <c r="G64" i="38"/>
  <c r="G66" i="39" s="1"/>
  <c r="D64" i="38"/>
  <c r="D66" i="39" s="1"/>
  <c r="H65" i="38"/>
  <c r="H67" i="39" s="1"/>
  <c r="F65" i="38"/>
  <c r="F67" i="39" s="1"/>
  <c r="H62" i="4"/>
  <c r="H62" i="6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3" i="20" s="1"/>
  <c r="E62" i="4"/>
  <c r="E62" i="6" s="1"/>
  <c r="E62" i="7" s="1"/>
  <c r="E62" i="8" s="1"/>
  <c r="E62" i="9" s="1"/>
  <c r="E62" i="10" s="1"/>
  <c r="E62" i="11" s="1"/>
  <c r="E62" i="12" s="1"/>
  <c r="E62" i="13" s="1"/>
  <c r="E62" i="14" s="1"/>
  <c r="E62" i="15" s="1"/>
  <c r="E62" i="16" s="1"/>
  <c r="E62" i="17" s="1"/>
  <c r="E62" i="18" s="1"/>
  <c r="E62" i="19" s="1"/>
  <c r="E63" i="20" s="1"/>
  <c r="H64" i="4"/>
  <c r="H64" i="6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5" i="20" s="1"/>
  <c r="E64" i="4"/>
  <c r="E64" i="6" s="1"/>
  <c r="E64" i="7" s="1"/>
  <c r="E64" i="8" s="1"/>
  <c r="E64" i="9" s="1"/>
  <c r="E64" i="10" s="1"/>
  <c r="E64" i="11" s="1"/>
  <c r="E64" i="12" s="1"/>
  <c r="E64" i="13" s="1"/>
  <c r="E64" i="14" s="1"/>
  <c r="E64" i="15" s="1"/>
  <c r="E64" i="16" s="1"/>
  <c r="E64" i="17" s="1"/>
  <c r="E64" i="18" s="1"/>
  <c r="E64" i="19" s="1"/>
  <c r="E65" i="20" s="1"/>
  <c r="D62" i="9"/>
  <c r="D62" i="10" s="1"/>
  <c r="D62" i="11" s="1"/>
  <c r="D62" i="12" s="1"/>
  <c r="D62" i="13" s="1"/>
  <c r="D62" i="14" s="1"/>
  <c r="D62" i="15" s="1"/>
  <c r="D62" i="16" s="1"/>
  <c r="D62" i="17" s="1"/>
  <c r="D62" i="18" s="1"/>
  <c r="D62" i="19" s="1"/>
  <c r="D63" i="20" s="1"/>
  <c r="G63" i="9"/>
  <c r="G63" i="10" s="1"/>
  <c r="G63" i="11" s="1"/>
  <c r="G63" i="12" s="1"/>
  <c r="G63" i="13" s="1"/>
  <c r="G63" i="14" s="1"/>
  <c r="G63" i="15" s="1"/>
  <c r="G63" i="16" s="1"/>
  <c r="G63" i="17" s="1"/>
  <c r="G63" i="18" s="1"/>
  <c r="G63" i="19" s="1"/>
  <c r="G64" i="20" s="1"/>
  <c r="G62" i="9"/>
  <c r="G62" i="10" s="1"/>
  <c r="G62" i="11" s="1"/>
  <c r="G62" i="12" s="1"/>
  <c r="G62" i="13" s="1"/>
  <c r="G62" i="14" s="1"/>
  <c r="G62" i="15" s="1"/>
  <c r="G62" i="16" s="1"/>
  <c r="G62" i="17" s="1"/>
  <c r="G62" i="18" s="1"/>
  <c r="G62" i="19" s="1"/>
  <c r="G63" i="20" s="1"/>
  <c r="F63" i="9"/>
  <c r="F63" i="10" s="1"/>
  <c r="F63" i="11" s="1"/>
  <c r="F63" i="12" s="1"/>
  <c r="F63" i="13" s="1"/>
  <c r="F63" i="14" s="1"/>
  <c r="F63" i="15" s="1"/>
  <c r="F63" i="16" s="1"/>
  <c r="F63" i="17" s="1"/>
  <c r="F63" i="18" s="1"/>
  <c r="F63" i="19" s="1"/>
  <c r="F64" i="20" s="1"/>
  <c r="F62" i="9"/>
  <c r="F62" i="10" s="1"/>
  <c r="F62" i="11" s="1"/>
  <c r="F62" i="12" s="1"/>
  <c r="F62" i="13" s="1"/>
  <c r="F62" i="14" s="1"/>
  <c r="F62" i="15" s="1"/>
  <c r="F62" i="16" s="1"/>
  <c r="F62" i="17" s="1"/>
  <c r="F62" i="18" s="1"/>
  <c r="F62" i="19" s="1"/>
  <c r="F63" i="20" s="1"/>
  <c r="E63" i="9"/>
  <c r="E63" i="10" s="1"/>
  <c r="E63" i="11" s="1"/>
  <c r="E63" i="12" s="1"/>
  <c r="E63" i="13" s="1"/>
  <c r="E63" i="14" s="1"/>
  <c r="E63" i="15" s="1"/>
  <c r="E63" i="16" s="1"/>
  <c r="E63" i="17" s="1"/>
  <c r="E63" i="18" s="1"/>
  <c r="E63" i="19" s="1"/>
  <c r="E64" i="20" s="1"/>
  <c r="D63" i="9"/>
  <c r="D63" i="10" s="1"/>
  <c r="D63" i="11" s="1"/>
  <c r="D63" i="12" s="1"/>
  <c r="D63" i="13" s="1"/>
  <c r="D63" i="14" s="1"/>
  <c r="D63" i="15" s="1"/>
  <c r="D63" i="16" s="1"/>
  <c r="D63" i="17" s="1"/>
  <c r="D63" i="18" s="1"/>
  <c r="D63" i="19" s="1"/>
  <c r="D64" i="20" s="1"/>
  <c r="H63" i="9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4" i="20" s="1"/>
  <c r="C62" i="39"/>
  <c r="C61" i="39"/>
  <c r="C60" i="39"/>
  <c r="C59" i="39"/>
  <c r="C58" i="39"/>
  <c r="C57" i="39"/>
  <c r="C56" i="39"/>
  <c r="C55" i="39"/>
  <c r="C54" i="39"/>
  <c r="C53" i="39"/>
  <c r="C52" i="39"/>
  <c r="C51" i="39"/>
  <c r="C50" i="39"/>
  <c r="C49" i="39"/>
  <c r="C48" i="39"/>
  <c r="C47" i="39"/>
  <c r="C46" i="39"/>
  <c r="C45" i="39"/>
  <c r="C44" i="39"/>
  <c r="C43" i="39"/>
  <c r="C42" i="39"/>
  <c r="B14" i="39"/>
  <c r="B20" i="39" s="1"/>
  <c r="B25" i="39" s="1"/>
  <c r="B31" i="39" s="1"/>
  <c r="B36" i="39" s="1"/>
  <c r="C60" i="38"/>
  <c r="C59" i="38"/>
  <c r="C58" i="38"/>
  <c r="C57" i="38"/>
  <c r="C56" i="38"/>
  <c r="C55" i="38"/>
  <c r="C54" i="38"/>
  <c r="C53" i="38"/>
  <c r="C52" i="38"/>
  <c r="C51" i="38"/>
  <c r="C50" i="38"/>
  <c r="C49" i="38"/>
  <c r="C48" i="38"/>
  <c r="C47" i="38"/>
  <c r="C46" i="38"/>
  <c r="C45" i="38"/>
  <c r="C44" i="38"/>
  <c r="C43" i="38"/>
  <c r="C42" i="38"/>
  <c r="C41" i="38"/>
  <c r="C40" i="38"/>
  <c r="B14" i="38"/>
  <c r="B19" i="38" s="1"/>
  <c r="B24" i="38" s="1"/>
  <c r="B29" i="38" s="1"/>
  <c r="B34" i="38" s="1"/>
  <c r="E62" i="38" l="1"/>
  <c r="E64" i="39" s="1"/>
  <c r="F62" i="38"/>
  <c r="F64" i="39" s="1"/>
  <c r="D62" i="38"/>
  <c r="D64" i="39" s="1"/>
  <c r="H62" i="38"/>
  <c r="H64" i="39" s="1"/>
  <c r="H63" i="38"/>
  <c r="H65" i="39" s="1"/>
  <c r="F63" i="38"/>
  <c r="F65" i="39" s="1"/>
  <c r="E64" i="38"/>
  <c r="E66" i="39" s="1"/>
  <c r="E63" i="38"/>
  <c r="E65" i="39" s="1"/>
  <c r="G63" i="38"/>
  <c r="G65" i="39" s="1"/>
  <c r="D63" i="38"/>
  <c r="D65" i="39" s="1"/>
  <c r="G62" i="38"/>
  <c r="G64" i="39" s="1"/>
  <c r="H64" i="38"/>
  <c r="H66" i="39" s="1"/>
  <c r="B13" i="5"/>
  <c r="B19" i="5" s="1"/>
  <c r="B24" i="5" s="1"/>
  <c r="B29" i="5" s="1"/>
  <c r="B34" i="5" s="1"/>
  <c r="D40" i="2"/>
  <c r="D39" i="2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41" i="20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40" i="18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40" i="16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40" i="13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41" i="5"/>
  <c r="C42" i="5"/>
  <c r="C43" i="5"/>
  <c r="E40" i="2"/>
  <c r="F40" i="2"/>
  <c r="G40" i="2"/>
  <c r="H40" i="2"/>
  <c r="D41" i="2"/>
  <c r="E41" i="2"/>
  <c r="F41" i="2"/>
  <c r="F42" i="5" s="1"/>
  <c r="F42" i="4" s="1"/>
  <c r="G41" i="2"/>
  <c r="H41" i="2"/>
  <c r="D42" i="2"/>
  <c r="E42" i="2"/>
  <c r="E43" i="5" s="1"/>
  <c r="E43" i="4" s="1"/>
  <c r="F42" i="2"/>
  <c r="F43" i="5" s="1"/>
  <c r="F43" i="4" s="1"/>
  <c r="G42" i="2"/>
  <c r="H42" i="2"/>
  <c r="D43" i="2"/>
  <c r="D44" i="5" s="1"/>
  <c r="D44" i="4" s="1"/>
  <c r="E43" i="2"/>
  <c r="E44" i="5" s="1"/>
  <c r="E44" i="4" s="1"/>
  <c r="F43" i="2"/>
  <c r="F44" i="5" s="1"/>
  <c r="F44" i="4" s="1"/>
  <c r="G43" i="2"/>
  <c r="G44" i="5" s="1"/>
  <c r="G44" i="4" s="1"/>
  <c r="H43" i="2"/>
  <c r="H44" i="5" s="1"/>
  <c r="H44" i="4" s="1"/>
  <c r="D44" i="2"/>
  <c r="D45" i="5" s="1"/>
  <c r="D45" i="4" s="1"/>
  <c r="E44" i="2"/>
  <c r="E45" i="5" s="1"/>
  <c r="E45" i="4" s="1"/>
  <c r="F44" i="2"/>
  <c r="F45" i="5" s="1"/>
  <c r="F45" i="4" s="1"/>
  <c r="G44" i="2"/>
  <c r="G45" i="5" s="1"/>
  <c r="G45" i="4" s="1"/>
  <c r="H44" i="2"/>
  <c r="H45" i="5" s="1"/>
  <c r="H45" i="4" s="1"/>
  <c r="D45" i="2"/>
  <c r="D46" i="5" s="1"/>
  <c r="D46" i="4" s="1"/>
  <c r="E45" i="2"/>
  <c r="E46" i="5" s="1"/>
  <c r="E46" i="4" s="1"/>
  <c r="F45" i="2"/>
  <c r="F46" i="5" s="1"/>
  <c r="F46" i="4" s="1"/>
  <c r="G45" i="2"/>
  <c r="G46" i="5" s="1"/>
  <c r="G46" i="4" s="1"/>
  <c r="H45" i="2"/>
  <c r="H46" i="5" s="1"/>
  <c r="H46" i="4" s="1"/>
  <c r="D46" i="2"/>
  <c r="D47" i="5" s="1"/>
  <c r="D47" i="4" s="1"/>
  <c r="E46" i="2"/>
  <c r="E47" i="5" s="1"/>
  <c r="E47" i="4" s="1"/>
  <c r="F46" i="2"/>
  <c r="F47" i="5" s="1"/>
  <c r="F47" i="4" s="1"/>
  <c r="G46" i="2"/>
  <c r="G47" i="5" s="1"/>
  <c r="G47" i="4" s="1"/>
  <c r="H46" i="2"/>
  <c r="H47" i="5" s="1"/>
  <c r="H47" i="4" s="1"/>
  <c r="D47" i="2"/>
  <c r="D48" i="5" s="1"/>
  <c r="D48" i="4" s="1"/>
  <c r="E47" i="2"/>
  <c r="E48" i="5" s="1"/>
  <c r="E48" i="4" s="1"/>
  <c r="F47" i="2"/>
  <c r="F48" i="5" s="1"/>
  <c r="F48" i="4" s="1"/>
  <c r="G47" i="2"/>
  <c r="G48" i="5" s="1"/>
  <c r="G48" i="4" s="1"/>
  <c r="H47" i="2"/>
  <c r="H48" i="5" s="1"/>
  <c r="H48" i="4" s="1"/>
  <c r="D48" i="2"/>
  <c r="D49" i="5" s="1"/>
  <c r="D49" i="4" s="1"/>
  <c r="E48" i="2"/>
  <c r="E49" i="5" s="1"/>
  <c r="E49" i="4" s="1"/>
  <c r="F48" i="2"/>
  <c r="F49" i="5" s="1"/>
  <c r="F49" i="4" s="1"/>
  <c r="G48" i="2"/>
  <c r="G49" i="5" s="1"/>
  <c r="G49" i="4" s="1"/>
  <c r="H48" i="2"/>
  <c r="H49" i="5" s="1"/>
  <c r="H49" i="4" s="1"/>
  <c r="D49" i="2"/>
  <c r="D50" i="5" s="1"/>
  <c r="D50" i="4" s="1"/>
  <c r="E49" i="2"/>
  <c r="E50" i="5" s="1"/>
  <c r="E50" i="4" s="1"/>
  <c r="F49" i="2"/>
  <c r="F50" i="5" s="1"/>
  <c r="F50" i="4" s="1"/>
  <c r="G49" i="2"/>
  <c r="G50" i="5" s="1"/>
  <c r="G50" i="4" s="1"/>
  <c r="H49" i="2"/>
  <c r="H50" i="5" s="1"/>
  <c r="H50" i="4" s="1"/>
  <c r="D50" i="2"/>
  <c r="D51" i="5" s="1"/>
  <c r="D51" i="4" s="1"/>
  <c r="E50" i="2"/>
  <c r="E51" i="5" s="1"/>
  <c r="E51" i="4" s="1"/>
  <c r="F50" i="2"/>
  <c r="F51" i="5" s="1"/>
  <c r="F51" i="4" s="1"/>
  <c r="G50" i="2"/>
  <c r="G51" i="5" s="1"/>
  <c r="G51" i="4" s="1"/>
  <c r="H50" i="2"/>
  <c r="H51" i="5" s="1"/>
  <c r="H51" i="4" s="1"/>
  <c r="D52" i="5"/>
  <c r="D52" i="4" s="1"/>
  <c r="E51" i="2"/>
  <c r="E52" i="5" s="1"/>
  <c r="E52" i="4" s="1"/>
  <c r="F51" i="2"/>
  <c r="F52" i="5" s="1"/>
  <c r="F52" i="4" s="1"/>
  <c r="G51" i="2"/>
  <c r="G52" i="5" s="1"/>
  <c r="G52" i="4" s="1"/>
  <c r="H51" i="2"/>
  <c r="H52" i="5" s="1"/>
  <c r="H52" i="4" s="1"/>
  <c r="D52" i="2"/>
  <c r="D53" i="5" s="1"/>
  <c r="D53" i="4" s="1"/>
  <c r="E52" i="2"/>
  <c r="E53" i="5" s="1"/>
  <c r="E53" i="4" s="1"/>
  <c r="F52" i="2"/>
  <c r="F53" i="5" s="1"/>
  <c r="F53" i="4" s="1"/>
  <c r="G52" i="2"/>
  <c r="G53" i="5" s="1"/>
  <c r="G53" i="4" s="1"/>
  <c r="H52" i="2"/>
  <c r="H53" i="5" s="1"/>
  <c r="H53" i="4" s="1"/>
  <c r="D53" i="2"/>
  <c r="D54" i="5" s="1"/>
  <c r="D54" i="4" s="1"/>
  <c r="E53" i="2"/>
  <c r="E54" i="5" s="1"/>
  <c r="E54" i="4" s="1"/>
  <c r="F53" i="2"/>
  <c r="F54" i="5" s="1"/>
  <c r="F54" i="4" s="1"/>
  <c r="G53" i="2"/>
  <c r="G54" i="5" s="1"/>
  <c r="G54" i="4" s="1"/>
  <c r="H53" i="2"/>
  <c r="H54" i="5" s="1"/>
  <c r="H54" i="4" s="1"/>
  <c r="D54" i="2"/>
  <c r="D55" i="5" s="1"/>
  <c r="D55" i="4" s="1"/>
  <c r="E54" i="2"/>
  <c r="E55" i="5" s="1"/>
  <c r="E55" i="4" s="1"/>
  <c r="F54" i="2"/>
  <c r="F55" i="5" s="1"/>
  <c r="F55" i="4" s="1"/>
  <c r="G54" i="2"/>
  <c r="G55" i="5" s="1"/>
  <c r="G55" i="4" s="1"/>
  <c r="H54" i="2"/>
  <c r="H55" i="5" s="1"/>
  <c r="H55" i="4" s="1"/>
  <c r="D55" i="2"/>
  <c r="D56" i="5" s="1"/>
  <c r="D56" i="4" s="1"/>
  <c r="E55" i="2"/>
  <c r="E56" i="5" s="1"/>
  <c r="E56" i="4" s="1"/>
  <c r="F55" i="2"/>
  <c r="F56" i="5" s="1"/>
  <c r="F56" i="4" s="1"/>
  <c r="G55" i="2"/>
  <c r="G56" i="5" s="1"/>
  <c r="G56" i="4" s="1"/>
  <c r="H55" i="2"/>
  <c r="H56" i="5" s="1"/>
  <c r="H56" i="4" s="1"/>
  <c r="D56" i="2"/>
  <c r="D57" i="5" s="1"/>
  <c r="D57" i="4" s="1"/>
  <c r="E56" i="2"/>
  <c r="E57" i="5" s="1"/>
  <c r="E57" i="4" s="1"/>
  <c r="F56" i="2"/>
  <c r="F57" i="5" s="1"/>
  <c r="F57" i="4" s="1"/>
  <c r="G56" i="2"/>
  <c r="G57" i="5" s="1"/>
  <c r="G57" i="4" s="1"/>
  <c r="H56" i="2"/>
  <c r="H57" i="5" s="1"/>
  <c r="H57" i="4" s="1"/>
  <c r="D57" i="2"/>
  <c r="D58" i="5" s="1"/>
  <c r="D58" i="4" s="1"/>
  <c r="E57" i="2"/>
  <c r="E58" i="5" s="1"/>
  <c r="E58" i="4" s="1"/>
  <c r="F57" i="2"/>
  <c r="F58" i="5" s="1"/>
  <c r="F58" i="4" s="1"/>
  <c r="G57" i="2"/>
  <c r="G58" i="5" s="1"/>
  <c r="G58" i="4" s="1"/>
  <c r="H57" i="2"/>
  <c r="H58" i="5" s="1"/>
  <c r="H58" i="4" s="1"/>
  <c r="D58" i="2"/>
  <c r="D59" i="5" s="1"/>
  <c r="D59" i="4" s="1"/>
  <c r="E58" i="2"/>
  <c r="E59" i="5" s="1"/>
  <c r="E59" i="4" s="1"/>
  <c r="F58" i="2"/>
  <c r="F59" i="5" s="1"/>
  <c r="F59" i="4" s="1"/>
  <c r="G58" i="2"/>
  <c r="G59" i="5" s="1"/>
  <c r="G59" i="4" s="1"/>
  <c r="H58" i="2"/>
  <c r="H59" i="5" s="1"/>
  <c r="H59" i="4" s="1"/>
  <c r="D59" i="2"/>
  <c r="D60" i="5" s="1"/>
  <c r="D60" i="4" s="1"/>
  <c r="E59" i="2"/>
  <c r="E60" i="5" s="1"/>
  <c r="E60" i="4" s="1"/>
  <c r="F59" i="2"/>
  <c r="F60" i="5" s="1"/>
  <c r="F60" i="4" s="1"/>
  <c r="G59" i="2"/>
  <c r="G60" i="5" s="1"/>
  <c r="G60" i="4" s="1"/>
  <c r="H59" i="2"/>
  <c r="H60" i="5" s="1"/>
  <c r="H60" i="4" s="1"/>
  <c r="D60" i="2"/>
  <c r="D61" i="5" s="1"/>
  <c r="D61" i="4" s="1"/>
  <c r="D61" i="6" s="1"/>
  <c r="D61" i="7" s="1"/>
  <c r="D61" i="8" s="1"/>
  <c r="D61" i="9" s="1"/>
  <c r="E60" i="2"/>
  <c r="E61" i="5" s="1"/>
  <c r="E61" i="4" s="1"/>
  <c r="E61" i="6" s="1"/>
  <c r="E61" i="7" s="1"/>
  <c r="E61" i="8" s="1"/>
  <c r="E61" i="9" s="1"/>
  <c r="F60" i="2"/>
  <c r="F61" i="5" s="1"/>
  <c r="F61" i="4" s="1"/>
  <c r="F61" i="6" s="1"/>
  <c r="F61" i="7" s="1"/>
  <c r="F61" i="8" s="1"/>
  <c r="F61" i="9" s="1"/>
  <c r="G60" i="2"/>
  <c r="G61" i="5" s="1"/>
  <c r="G61" i="4" s="1"/>
  <c r="G61" i="6" s="1"/>
  <c r="G61" i="7" s="1"/>
  <c r="G61" i="8" s="1"/>
  <c r="G61" i="9" s="1"/>
  <c r="H60" i="2"/>
  <c r="H61" i="5" s="1"/>
  <c r="H61" i="4" s="1"/>
  <c r="H61" i="6" s="1"/>
  <c r="H61" i="7" s="1"/>
  <c r="H61" i="8" s="1"/>
  <c r="H61" i="9" s="1"/>
  <c r="H39" i="2"/>
  <c r="G39" i="2"/>
  <c r="F39" i="2"/>
  <c r="E39" i="2"/>
  <c r="B13" i="2"/>
  <c r="B18" i="2" s="1"/>
  <c r="B23" i="2" s="1"/>
  <c r="B28" i="2" s="1"/>
  <c r="B33" i="2" s="1"/>
  <c r="B14" i="20"/>
  <c r="B20" i="20" s="1"/>
  <c r="B25" i="20" s="1"/>
  <c r="B30" i="20" s="1"/>
  <c r="B35" i="20" s="1"/>
  <c r="B13" i="19"/>
  <c r="B19" i="19" s="1"/>
  <c r="B24" i="19" s="1"/>
  <c r="B29" i="19" s="1"/>
  <c r="B34" i="19" s="1"/>
  <c r="B13" i="18"/>
  <c r="B19" i="18" s="1"/>
  <c r="B24" i="18" s="1"/>
  <c r="B29" i="18" s="1"/>
  <c r="B34" i="18" s="1"/>
  <c r="B13" i="17"/>
  <c r="B19" i="17" s="1"/>
  <c r="B24" i="17" s="1"/>
  <c r="B29" i="17" s="1"/>
  <c r="B34" i="17" s="1"/>
  <c r="B13" i="16"/>
  <c r="B19" i="16" s="1"/>
  <c r="B24" i="16" s="1"/>
  <c r="B29" i="16" s="1"/>
  <c r="B34" i="16" s="1"/>
  <c r="B13" i="15"/>
  <c r="B19" i="15" s="1"/>
  <c r="B24" i="15" s="1"/>
  <c r="B29" i="15" s="1"/>
  <c r="B34" i="15" s="1"/>
  <c r="B13" i="14"/>
  <c r="B19" i="14" s="1"/>
  <c r="B24" i="14" s="1"/>
  <c r="B29" i="14" s="1"/>
  <c r="B34" i="14" s="1"/>
  <c r="B13" i="13"/>
  <c r="B19" i="13" s="1"/>
  <c r="B24" i="13" s="1"/>
  <c r="B29" i="13" s="1"/>
  <c r="B34" i="13" s="1"/>
  <c r="B13" i="12"/>
  <c r="B19" i="12" s="1"/>
  <c r="B24" i="12" s="1"/>
  <c r="B29" i="12" s="1"/>
  <c r="B34" i="12" s="1"/>
  <c r="B13" i="11"/>
  <c r="B19" i="11" s="1"/>
  <c r="B24" i="11" s="1"/>
  <c r="B29" i="11" s="1"/>
  <c r="B34" i="11" s="1"/>
  <c r="B13" i="10"/>
  <c r="B19" i="10" s="1"/>
  <c r="B24" i="10" s="1"/>
  <c r="B29" i="10" s="1"/>
  <c r="B34" i="10" s="1"/>
  <c r="B13" i="9"/>
  <c r="B19" i="9" s="1"/>
  <c r="B24" i="9" s="1"/>
  <c r="B29" i="9" s="1"/>
  <c r="B34" i="9" s="1"/>
  <c r="B13" i="8"/>
  <c r="B19" i="8" s="1"/>
  <c r="B24" i="8" s="1"/>
  <c r="B29" i="8" s="1"/>
  <c r="B34" i="8" s="1"/>
  <c r="B13" i="7"/>
  <c r="B19" i="7" s="1"/>
  <c r="B24" i="7" s="1"/>
  <c r="B29" i="7" s="1"/>
  <c r="B34" i="7" s="1"/>
  <c r="B13" i="6"/>
  <c r="B19" i="6" s="1"/>
  <c r="B24" i="6" s="1"/>
  <c r="B29" i="6" s="1"/>
  <c r="B34" i="6" s="1"/>
  <c r="B13" i="4"/>
  <c r="B19" i="4" s="1"/>
  <c r="B24" i="4" s="1"/>
  <c r="B29" i="4" s="1"/>
  <c r="B34" i="4" s="1"/>
  <c r="C66" i="32"/>
  <c r="C65" i="32"/>
  <c r="C64" i="32"/>
  <c r="C63" i="32"/>
  <c r="C62" i="32"/>
  <c r="C61" i="32"/>
  <c r="C60" i="32"/>
  <c r="C59" i="32"/>
  <c r="C58" i="32"/>
  <c r="C57" i="32"/>
  <c r="C56" i="32"/>
  <c r="C55" i="32"/>
  <c r="C54" i="32"/>
  <c r="C53" i="32"/>
  <c r="C52" i="32"/>
  <c r="C51" i="32"/>
  <c r="C50" i="32"/>
  <c r="C49" i="32"/>
  <c r="C48" i="32"/>
  <c r="C47" i="32"/>
  <c r="C46" i="32"/>
  <c r="C45" i="32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40" i="5"/>
  <c r="C40" i="6"/>
  <c r="C40" i="7"/>
  <c r="C40" i="8"/>
  <c r="C40" i="9"/>
  <c r="C40" i="10"/>
  <c r="C40" i="11"/>
  <c r="C40" i="12"/>
  <c r="C40" i="14"/>
  <c r="C40" i="15"/>
  <c r="C40" i="17"/>
  <c r="C40" i="19"/>
  <c r="C40" i="4"/>
  <c r="H43" i="5" l="1"/>
  <c r="H43" i="4" s="1"/>
  <c r="G43" i="5"/>
  <c r="G43" i="4" s="1"/>
  <c r="G43" i="6" s="1"/>
  <c r="G43" i="7" s="1"/>
  <c r="G43" i="8" s="1"/>
  <c r="E41" i="5"/>
  <c r="E41" i="4" s="1"/>
  <c r="E41" i="6" s="1"/>
  <c r="E41" i="7" s="1"/>
  <c r="E41" i="8" s="1"/>
  <c r="H41" i="5"/>
  <c r="H41" i="4" s="1"/>
  <c r="H41" i="6" s="1"/>
  <c r="H41" i="7" s="1"/>
  <c r="H41" i="8" s="1"/>
  <c r="H42" i="5"/>
  <c r="H42" i="4" s="1"/>
  <c r="H42" i="6" s="1"/>
  <c r="H42" i="7" s="1"/>
  <c r="H42" i="8" s="1"/>
  <c r="G42" i="5"/>
  <c r="G42" i="4" s="1"/>
  <c r="G42" i="6" s="1"/>
  <c r="G42" i="7" s="1"/>
  <c r="G42" i="8" s="1"/>
  <c r="H40" i="5"/>
  <c r="E40" i="5"/>
  <c r="G40" i="5"/>
  <c r="G40" i="4" s="1"/>
  <c r="G40" i="6" s="1"/>
  <c r="G40" i="7" s="1"/>
  <c r="G40" i="8" s="1"/>
  <c r="G40" i="9" s="1"/>
  <c r="G40" i="10" s="1"/>
  <c r="G40" i="11" s="1"/>
  <c r="G40" i="12" s="1"/>
  <c r="G40" i="13" s="1"/>
  <c r="G40" i="14" s="1"/>
  <c r="G40" i="15" s="1"/>
  <c r="G40" i="16" s="1"/>
  <c r="G40" i="17" s="1"/>
  <c r="G40" i="18" s="1"/>
  <c r="G40" i="19" s="1"/>
  <c r="G41" i="20" s="1"/>
  <c r="E42" i="5"/>
  <c r="E42" i="4" s="1"/>
  <c r="E42" i="6" s="1"/>
  <c r="E42" i="7" s="1"/>
  <c r="E42" i="8" s="1"/>
  <c r="F41" i="5"/>
  <c r="F40" i="5"/>
  <c r="G41" i="5"/>
  <c r="F54" i="6"/>
  <c r="F54" i="7" s="1"/>
  <c r="F54" i="8" s="1"/>
  <c r="G54" i="6"/>
  <c r="G54" i="7" s="1"/>
  <c r="G54" i="8" s="1"/>
  <c r="E54" i="6"/>
  <c r="E54" i="7" s="1"/>
  <c r="E54" i="8" s="1"/>
  <c r="E62" i="32"/>
  <c r="D57" i="6"/>
  <c r="D57" i="7" s="1"/>
  <c r="D57" i="8" s="1"/>
  <c r="F49" i="6"/>
  <c r="F49" i="7" s="1"/>
  <c r="F49" i="8" s="1"/>
  <c r="D50" i="6"/>
  <c r="D50" i="7" s="1"/>
  <c r="D50" i="8" s="1"/>
  <c r="E49" i="6"/>
  <c r="E49" i="7" s="1"/>
  <c r="E49" i="8" s="1"/>
  <c r="G58" i="6"/>
  <c r="G58" i="7" s="1"/>
  <c r="G58" i="8" s="1"/>
  <c r="F63" i="32"/>
  <c r="F55" i="6"/>
  <c r="F55" i="7" s="1"/>
  <c r="F55" i="8" s="1"/>
  <c r="G50" i="6"/>
  <c r="G50" i="7" s="1"/>
  <c r="G50" i="8" s="1"/>
  <c r="F50" i="6"/>
  <c r="F50" i="7" s="1"/>
  <c r="F50" i="8" s="1"/>
  <c r="F64" i="32"/>
  <c r="F51" i="6"/>
  <c r="F51" i="7" s="1"/>
  <c r="F51" i="8" s="1"/>
  <c r="F47" i="6"/>
  <c r="F47" i="7" s="1"/>
  <c r="F47" i="8" s="1"/>
  <c r="E52" i="32"/>
  <c r="F53" i="6"/>
  <c r="F53" i="7" s="1"/>
  <c r="F53" i="8" s="1"/>
  <c r="G57" i="32"/>
  <c r="H45" i="6"/>
  <c r="H45" i="7" s="1"/>
  <c r="H45" i="8" s="1"/>
  <c r="D50" i="32"/>
  <c r="F61" i="32"/>
  <c r="G65" i="32"/>
  <c r="D57" i="32"/>
  <c r="H49" i="6"/>
  <c r="H49" i="7" s="1"/>
  <c r="H49" i="8" s="1"/>
  <c r="E50" i="32"/>
  <c r="F44" i="6"/>
  <c r="F44" i="7" s="1"/>
  <c r="F44" i="8" s="1"/>
  <c r="H60" i="6"/>
  <c r="H60" i="7" s="1"/>
  <c r="H60" i="8" s="1"/>
  <c r="D53" i="32"/>
  <c r="D41" i="5"/>
  <c r="F60" i="6"/>
  <c r="F60" i="7" s="1"/>
  <c r="F60" i="8" s="1"/>
  <c r="H58" i="6"/>
  <c r="H58" i="7" s="1"/>
  <c r="H58" i="8" s="1"/>
  <c r="F57" i="6"/>
  <c r="F57" i="7" s="1"/>
  <c r="F57" i="8" s="1"/>
  <c r="G56" i="6"/>
  <c r="G56" i="7" s="1"/>
  <c r="G56" i="8" s="1"/>
  <c r="D56" i="6"/>
  <c r="D56" i="7" s="1"/>
  <c r="D56" i="8" s="1"/>
  <c r="F52" i="6"/>
  <c r="F52" i="7" s="1"/>
  <c r="F52" i="8" s="1"/>
  <c r="H50" i="6"/>
  <c r="H50" i="7" s="1"/>
  <c r="H50" i="8" s="1"/>
  <c r="E50" i="6"/>
  <c r="E50" i="7" s="1"/>
  <c r="E50" i="8" s="1"/>
  <c r="H48" i="6"/>
  <c r="H48" i="7" s="1"/>
  <c r="H48" i="8" s="1"/>
  <c r="E48" i="6"/>
  <c r="E48" i="7" s="1"/>
  <c r="E48" i="8" s="1"/>
  <c r="G44" i="6"/>
  <c r="G44" i="7" s="1"/>
  <c r="G44" i="8" s="1"/>
  <c r="D44" i="6"/>
  <c r="D44" i="7" s="1"/>
  <c r="D44" i="8" s="1"/>
  <c r="E60" i="6"/>
  <c r="E60" i="7" s="1"/>
  <c r="E60" i="8" s="1"/>
  <c r="H52" i="6"/>
  <c r="H52" i="7" s="1"/>
  <c r="H52" i="8" s="1"/>
  <c r="E57" i="32"/>
  <c r="G48" i="6"/>
  <c r="G48" i="7" s="1"/>
  <c r="G48" i="8" s="1"/>
  <c r="H56" i="6"/>
  <c r="H56" i="7" s="1"/>
  <c r="H56" i="8" s="1"/>
  <c r="E61" i="32"/>
  <c r="D54" i="6"/>
  <c r="D54" i="7" s="1"/>
  <c r="D54" i="8" s="1"/>
  <c r="G49" i="6"/>
  <c r="G49" i="7" s="1"/>
  <c r="G49" i="8" s="1"/>
  <c r="D49" i="6"/>
  <c r="D49" i="7" s="1"/>
  <c r="D49" i="8" s="1"/>
  <c r="F53" i="32"/>
  <c r="G45" i="6"/>
  <c r="G45" i="7" s="1"/>
  <c r="G45" i="8" s="1"/>
  <c r="H49" i="32"/>
  <c r="E49" i="32"/>
  <c r="E43" i="6"/>
  <c r="E43" i="7" s="1"/>
  <c r="E43" i="8" s="1"/>
  <c r="E51" i="6"/>
  <c r="E51" i="7" s="1"/>
  <c r="E51" i="8" s="1"/>
  <c r="G59" i="6"/>
  <c r="G59" i="7" s="1"/>
  <c r="G59" i="8" s="1"/>
  <c r="G51" i="32"/>
  <c r="D46" i="6"/>
  <c r="D46" i="7" s="1"/>
  <c r="D46" i="8" s="1"/>
  <c r="F45" i="6"/>
  <c r="F45" i="7" s="1"/>
  <c r="F45" i="8" s="1"/>
  <c r="H51" i="32"/>
  <c r="D42" i="5"/>
  <c r="G47" i="6"/>
  <c r="G47" i="7" s="1"/>
  <c r="G47" i="8" s="1"/>
  <c r="D52" i="32"/>
  <c r="F46" i="6"/>
  <c r="F46" i="7" s="1"/>
  <c r="F46" i="8" s="1"/>
  <c r="D43" i="5"/>
  <c r="F42" i="6"/>
  <c r="F42" i="7" s="1"/>
  <c r="F42" i="8" s="1"/>
  <c r="E46" i="6"/>
  <c r="E46" i="7" s="1"/>
  <c r="E46" i="8" s="1"/>
  <c r="H47" i="6"/>
  <c r="H47" i="7" s="1"/>
  <c r="H47" i="8" s="1"/>
  <c r="H52" i="32"/>
  <c r="G51" i="6"/>
  <c r="G51" i="7" s="1"/>
  <c r="G51" i="8" s="1"/>
  <c r="F43" i="6"/>
  <c r="F43" i="7" s="1"/>
  <c r="F43" i="8" s="1"/>
  <c r="D60" i="6"/>
  <c r="D60" i="7" s="1"/>
  <c r="D60" i="8" s="1"/>
  <c r="H57" i="6"/>
  <c r="H57" i="7" s="1"/>
  <c r="H57" i="8" s="1"/>
  <c r="H62" i="32"/>
  <c r="G53" i="6"/>
  <c r="G53" i="7" s="1"/>
  <c r="G53" i="8" s="1"/>
  <c r="E58" i="6"/>
  <c r="E58" i="7" s="1"/>
  <c r="E58" i="8" s="1"/>
  <c r="H54" i="6"/>
  <c r="H54" i="7" s="1"/>
  <c r="H54" i="8" s="1"/>
  <c r="G55" i="6"/>
  <c r="G55" i="7" s="1"/>
  <c r="G55" i="8" s="1"/>
  <c r="D53" i="6"/>
  <c r="D53" i="7" s="1"/>
  <c r="D53" i="8" s="1"/>
  <c r="G57" i="6"/>
  <c r="G57" i="7" s="1"/>
  <c r="G57" i="8" s="1"/>
  <c r="D58" i="6"/>
  <c r="D58" i="7" s="1"/>
  <c r="D58" i="8" s="1"/>
  <c r="H53" i="6"/>
  <c r="H53" i="7" s="1"/>
  <c r="H53" i="8" s="1"/>
  <c r="D65" i="32"/>
  <c r="H59" i="6"/>
  <c r="H59" i="7" s="1"/>
  <c r="H59" i="8" s="1"/>
  <c r="D59" i="6"/>
  <c r="D59" i="7" s="1"/>
  <c r="D59" i="8" s="1"/>
  <c r="H55" i="6"/>
  <c r="H55" i="7" s="1"/>
  <c r="H55" i="8" s="1"/>
  <c r="E55" i="6"/>
  <c r="E55" i="7" s="1"/>
  <c r="E55" i="8" s="1"/>
  <c r="H51" i="6"/>
  <c r="H51" i="7" s="1"/>
  <c r="H51" i="8" s="1"/>
  <c r="D62" i="32"/>
  <c r="D59" i="32"/>
  <c r="D40" i="5"/>
  <c r="E55" i="32"/>
  <c r="D55" i="32"/>
  <c r="E63" i="32"/>
  <c r="H55" i="32"/>
  <c r="D63" i="32"/>
  <c r="H59" i="32"/>
  <c r="H63" i="32"/>
  <c r="H48" i="32" l="1"/>
  <c r="G40" i="38"/>
  <c r="G42" i="39" s="1"/>
  <c r="D43" i="4"/>
  <c r="D43" i="6" s="1"/>
  <c r="D43" i="7" s="1"/>
  <c r="D43" i="8" s="1"/>
  <c r="D43" i="9" s="1"/>
  <c r="D43" i="10" s="1"/>
  <c r="D43" i="11" s="1"/>
  <c r="D43" i="12" s="1"/>
  <c r="D43" i="13" s="1"/>
  <c r="D43" i="14" s="1"/>
  <c r="D43" i="15" s="1"/>
  <c r="D43" i="16" s="1"/>
  <c r="D43" i="17" s="1"/>
  <c r="D43" i="18" s="1"/>
  <c r="D43" i="19" s="1"/>
  <c r="D44" i="20" s="1"/>
  <c r="F41" i="4"/>
  <c r="F41" i="6" s="1"/>
  <c r="F41" i="7" s="1"/>
  <c r="F41" i="8" s="1"/>
  <c r="F41" i="9" s="1"/>
  <c r="F41" i="10" s="1"/>
  <c r="F41" i="11" s="1"/>
  <c r="F41" i="12" s="1"/>
  <c r="F41" i="13" s="1"/>
  <c r="F41" i="14" s="1"/>
  <c r="F41" i="15" s="1"/>
  <c r="F41" i="16" s="1"/>
  <c r="F41" i="17" s="1"/>
  <c r="F41" i="18" s="1"/>
  <c r="F41" i="19" s="1"/>
  <c r="F42" i="20" s="1"/>
  <c r="D42" i="4"/>
  <c r="D42" i="6" s="1"/>
  <c r="D42" i="7" s="1"/>
  <c r="D42" i="8" s="1"/>
  <c r="D42" i="9" s="1"/>
  <c r="D42" i="10" s="1"/>
  <c r="D42" i="11" s="1"/>
  <c r="D42" i="12" s="1"/>
  <c r="D42" i="13" s="1"/>
  <c r="D42" i="14" s="1"/>
  <c r="D42" i="15" s="1"/>
  <c r="D42" i="16" s="1"/>
  <c r="D42" i="17" s="1"/>
  <c r="D42" i="18" s="1"/>
  <c r="D42" i="19" s="1"/>
  <c r="D43" i="20" s="1"/>
  <c r="D41" i="4"/>
  <c r="D41" i="6" s="1"/>
  <c r="D41" i="7" s="1"/>
  <c r="D41" i="8" s="1"/>
  <c r="D41" i="9" s="1"/>
  <c r="D41" i="10" s="1"/>
  <c r="D41" i="11" s="1"/>
  <c r="D41" i="12" s="1"/>
  <c r="D41" i="13" s="1"/>
  <c r="D41" i="14" s="1"/>
  <c r="D41" i="15" s="1"/>
  <c r="D41" i="16" s="1"/>
  <c r="D41" i="17" s="1"/>
  <c r="D41" i="18" s="1"/>
  <c r="D41" i="19" s="1"/>
  <c r="D42" i="20" s="1"/>
  <c r="G41" i="4"/>
  <c r="G41" i="6" s="1"/>
  <c r="G41" i="7" s="1"/>
  <c r="G41" i="8" s="1"/>
  <c r="G41" i="9" s="1"/>
  <c r="G41" i="10" s="1"/>
  <c r="G41" i="11" s="1"/>
  <c r="G41" i="12" s="1"/>
  <c r="G41" i="13" s="1"/>
  <c r="G41" i="14" s="1"/>
  <c r="G41" i="15" s="1"/>
  <c r="G41" i="16" s="1"/>
  <c r="G41" i="17" s="1"/>
  <c r="G41" i="18" s="1"/>
  <c r="G41" i="19" s="1"/>
  <c r="G42" i="20" s="1"/>
  <c r="D49" i="9"/>
  <c r="D49" i="10" s="1"/>
  <c r="D49" i="11" s="1"/>
  <c r="D49" i="12" s="1"/>
  <c r="D49" i="13" s="1"/>
  <c r="D49" i="14" s="1"/>
  <c r="D49" i="15" s="1"/>
  <c r="D49" i="16" s="1"/>
  <c r="D49" i="17" s="1"/>
  <c r="D49" i="18" s="1"/>
  <c r="D49" i="19" s="1"/>
  <c r="D50" i="20" s="1"/>
  <c r="F57" i="9"/>
  <c r="F57" i="10" s="1"/>
  <c r="F57" i="11" s="1"/>
  <c r="F57" i="12" s="1"/>
  <c r="F57" i="13" s="1"/>
  <c r="F57" i="14" s="1"/>
  <c r="F57" i="15" s="1"/>
  <c r="F57" i="16" s="1"/>
  <c r="F57" i="17" s="1"/>
  <c r="F57" i="18" s="1"/>
  <c r="F57" i="19" s="1"/>
  <c r="F58" i="20" s="1"/>
  <c r="E54" i="9"/>
  <c r="E54" i="10" s="1"/>
  <c r="E54" i="11" s="1"/>
  <c r="E54" i="12" s="1"/>
  <c r="E54" i="13" s="1"/>
  <c r="E54" i="14" s="1"/>
  <c r="E54" i="15" s="1"/>
  <c r="E54" i="16" s="1"/>
  <c r="E54" i="17" s="1"/>
  <c r="E54" i="18" s="1"/>
  <c r="E54" i="19" s="1"/>
  <c r="E55" i="20" s="1"/>
  <c r="H57" i="9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8" i="20" s="1"/>
  <c r="F42" i="9"/>
  <c r="F42" i="10" s="1"/>
  <c r="F42" i="11" s="1"/>
  <c r="F42" i="12" s="1"/>
  <c r="F42" i="13" s="1"/>
  <c r="F42" i="14" s="1"/>
  <c r="F42" i="15" s="1"/>
  <c r="F42" i="16" s="1"/>
  <c r="F42" i="17" s="1"/>
  <c r="F42" i="18" s="1"/>
  <c r="F42" i="19" s="1"/>
  <c r="F43" i="20" s="1"/>
  <c r="G44" i="9"/>
  <c r="G44" i="10" s="1"/>
  <c r="G44" i="11" s="1"/>
  <c r="G44" i="12" s="1"/>
  <c r="G44" i="13" s="1"/>
  <c r="G44" i="14" s="1"/>
  <c r="G44" i="15" s="1"/>
  <c r="G44" i="16" s="1"/>
  <c r="G44" i="17" s="1"/>
  <c r="G44" i="18" s="1"/>
  <c r="G44" i="19" s="1"/>
  <c r="G45" i="20" s="1"/>
  <c r="G57" i="9"/>
  <c r="G57" i="10" s="1"/>
  <c r="G57" i="11" s="1"/>
  <c r="G57" i="12" s="1"/>
  <c r="G57" i="13" s="1"/>
  <c r="G57" i="14" s="1"/>
  <c r="G57" i="15" s="1"/>
  <c r="G57" i="16" s="1"/>
  <c r="G57" i="17" s="1"/>
  <c r="G57" i="18" s="1"/>
  <c r="G57" i="19" s="1"/>
  <c r="G58" i="20" s="1"/>
  <c r="E58" i="9"/>
  <c r="E58" i="10" s="1"/>
  <c r="E58" i="11" s="1"/>
  <c r="E58" i="12" s="1"/>
  <c r="E58" i="13" s="1"/>
  <c r="E58" i="14" s="1"/>
  <c r="E58" i="15" s="1"/>
  <c r="E58" i="16" s="1"/>
  <c r="E58" i="17" s="1"/>
  <c r="E58" i="18" s="1"/>
  <c r="E58" i="19" s="1"/>
  <c r="E59" i="20" s="1"/>
  <c r="G47" i="9"/>
  <c r="G47" i="10" s="1"/>
  <c r="G47" i="11" s="1"/>
  <c r="G47" i="12" s="1"/>
  <c r="G47" i="13" s="1"/>
  <c r="G47" i="14" s="1"/>
  <c r="G47" i="15" s="1"/>
  <c r="G47" i="16" s="1"/>
  <c r="G47" i="17" s="1"/>
  <c r="G47" i="18" s="1"/>
  <c r="G47" i="19" s="1"/>
  <c r="G48" i="20" s="1"/>
  <c r="F45" i="9"/>
  <c r="F45" i="10" s="1"/>
  <c r="F45" i="11" s="1"/>
  <c r="F45" i="12" s="1"/>
  <c r="F45" i="13" s="1"/>
  <c r="F45" i="14" s="1"/>
  <c r="F45" i="15" s="1"/>
  <c r="F45" i="16" s="1"/>
  <c r="F45" i="17" s="1"/>
  <c r="F45" i="18" s="1"/>
  <c r="F45" i="19" s="1"/>
  <c r="F46" i="20" s="1"/>
  <c r="E51" i="9"/>
  <c r="E51" i="10" s="1"/>
  <c r="E51" i="11" s="1"/>
  <c r="E51" i="12" s="1"/>
  <c r="E51" i="13" s="1"/>
  <c r="E51" i="14" s="1"/>
  <c r="E51" i="15" s="1"/>
  <c r="E51" i="16" s="1"/>
  <c r="E51" i="17" s="1"/>
  <c r="E51" i="18" s="1"/>
  <c r="E51" i="19" s="1"/>
  <c r="E52" i="20" s="1"/>
  <c r="G49" i="9"/>
  <c r="G49" i="10" s="1"/>
  <c r="G49" i="11" s="1"/>
  <c r="G49" i="12" s="1"/>
  <c r="G49" i="13" s="1"/>
  <c r="G49" i="14" s="1"/>
  <c r="G49" i="15" s="1"/>
  <c r="G49" i="16" s="1"/>
  <c r="G49" i="17" s="1"/>
  <c r="G49" i="18" s="1"/>
  <c r="G49" i="19" s="1"/>
  <c r="G50" i="20" s="1"/>
  <c r="G48" i="9"/>
  <c r="G48" i="10" s="1"/>
  <c r="G48" i="11" s="1"/>
  <c r="G48" i="12" s="1"/>
  <c r="G48" i="13" s="1"/>
  <c r="G48" i="14" s="1"/>
  <c r="G48" i="15" s="1"/>
  <c r="G48" i="16" s="1"/>
  <c r="G48" i="17" s="1"/>
  <c r="G48" i="18" s="1"/>
  <c r="G48" i="19" s="1"/>
  <c r="G49" i="20" s="1"/>
  <c r="E41" i="9"/>
  <c r="E41" i="10" s="1"/>
  <c r="E41" i="11" s="1"/>
  <c r="E41" i="12" s="1"/>
  <c r="E41" i="13" s="1"/>
  <c r="E41" i="14" s="1"/>
  <c r="E41" i="15" s="1"/>
  <c r="E41" i="16" s="1"/>
  <c r="E41" i="17" s="1"/>
  <c r="E41" i="18" s="1"/>
  <c r="E41" i="19" s="1"/>
  <c r="E42" i="20" s="1"/>
  <c r="E48" i="9"/>
  <c r="E48" i="10" s="1"/>
  <c r="E48" i="11" s="1"/>
  <c r="E48" i="12" s="1"/>
  <c r="E48" i="13" s="1"/>
  <c r="E48" i="14" s="1"/>
  <c r="E48" i="15" s="1"/>
  <c r="E48" i="16" s="1"/>
  <c r="E48" i="17" s="1"/>
  <c r="E48" i="18" s="1"/>
  <c r="E48" i="19" s="1"/>
  <c r="E49" i="20" s="1"/>
  <c r="F52" i="9"/>
  <c r="F52" i="10" s="1"/>
  <c r="F52" i="11" s="1"/>
  <c r="F52" i="12" s="1"/>
  <c r="F52" i="13" s="1"/>
  <c r="F52" i="14" s="1"/>
  <c r="F52" i="15" s="1"/>
  <c r="F52" i="16" s="1"/>
  <c r="F52" i="17" s="1"/>
  <c r="F52" i="18" s="1"/>
  <c r="F52" i="19" s="1"/>
  <c r="F53" i="20" s="1"/>
  <c r="H58" i="9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9" i="20" s="1"/>
  <c r="H60" i="9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1" i="20" s="1"/>
  <c r="H45" i="9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6" i="20" s="1"/>
  <c r="G42" i="9"/>
  <c r="G42" i="10" s="1"/>
  <c r="G42" i="11" s="1"/>
  <c r="G42" i="12" s="1"/>
  <c r="G42" i="13" s="1"/>
  <c r="G42" i="14" s="1"/>
  <c r="G42" i="15" s="1"/>
  <c r="G42" i="16" s="1"/>
  <c r="G42" i="17" s="1"/>
  <c r="G42" i="18" s="1"/>
  <c r="G42" i="19" s="1"/>
  <c r="G43" i="20" s="1"/>
  <c r="F50" i="9"/>
  <c r="F50" i="10" s="1"/>
  <c r="F50" i="11" s="1"/>
  <c r="F50" i="12" s="1"/>
  <c r="F50" i="13" s="1"/>
  <c r="F50" i="14" s="1"/>
  <c r="F50" i="15" s="1"/>
  <c r="F50" i="16" s="1"/>
  <c r="F50" i="17" s="1"/>
  <c r="F50" i="18" s="1"/>
  <c r="F50" i="19" s="1"/>
  <c r="F51" i="20" s="1"/>
  <c r="G58" i="9"/>
  <c r="G58" i="10" s="1"/>
  <c r="G58" i="11" s="1"/>
  <c r="G58" i="12" s="1"/>
  <c r="G58" i="13" s="1"/>
  <c r="G58" i="14" s="1"/>
  <c r="G58" i="15" s="1"/>
  <c r="G58" i="16" s="1"/>
  <c r="G58" i="17" s="1"/>
  <c r="G58" i="18" s="1"/>
  <c r="G58" i="19" s="1"/>
  <c r="G59" i="20" s="1"/>
  <c r="F49" i="9"/>
  <c r="F49" i="10" s="1"/>
  <c r="F49" i="11" s="1"/>
  <c r="F49" i="12" s="1"/>
  <c r="F49" i="13" s="1"/>
  <c r="F49" i="14" s="1"/>
  <c r="F49" i="15" s="1"/>
  <c r="F49" i="16" s="1"/>
  <c r="F49" i="17" s="1"/>
  <c r="F49" i="18" s="1"/>
  <c r="F49" i="19" s="1"/>
  <c r="F50" i="20" s="1"/>
  <c r="G54" i="9"/>
  <c r="G54" i="10" s="1"/>
  <c r="G54" i="11" s="1"/>
  <c r="G54" i="12" s="1"/>
  <c r="G54" i="13" s="1"/>
  <c r="G54" i="14" s="1"/>
  <c r="G54" i="15" s="1"/>
  <c r="G54" i="16" s="1"/>
  <c r="G54" i="17" s="1"/>
  <c r="G54" i="18" s="1"/>
  <c r="G54" i="19" s="1"/>
  <c r="G55" i="20" s="1"/>
  <c r="D59" i="9"/>
  <c r="D59" i="10" s="1"/>
  <c r="D59" i="11" s="1"/>
  <c r="D59" i="12" s="1"/>
  <c r="D59" i="13" s="1"/>
  <c r="D59" i="14" s="1"/>
  <c r="D59" i="15" s="1"/>
  <c r="D59" i="16" s="1"/>
  <c r="D59" i="17" s="1"/>
  <c r="D59" i="18" s="1"/>
  <c r="D59" i="19" s="1"/>
  <c r="D60" i="20" s="1"/>
  <c r="H54" i="9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5" i="20" s="1"/>
  <c r="G59" i="9"/>
  <c r="G59" i="10" s="1"/>
  <c r="G59" i="11" s="1"/>
  <c r="G59" i="12" s="1"/>
  <c r="G59" i="13" s="1"/>
  <c r="G59" i="14" s="1"/>
  <c r="G59" i="15" s="1"/>
  <c r="G59" i="16" s="1"/>
  <c r="G59" i="17" s="1"/>
  <c r="G59" i="18" s="1"/>
  <c r="G59" i="19" s="1"/>
  <c r="G60" i="20" s="1"/>
  <c r="E60" i="9"/>
  <c r="E60" i="10" s="1"/>
  <c r="E60" i="11" s="1"/>
  <c r="E60" i="12" s="1"/>
  <c r="E60" i="13" s="1"/>
  <c r="E60" i="14" s="1"/>
  <c r="E60" i="15" s="1"/>
  <c r="E60" i="16" s="1"/>
  <c r="E60" i="17" s="1"/>
  <c r="E60" i="18" s="1"/>
  <c r="E60" i="19" s="1"/>
  <c r="E61" i="20" s="1"/>
  <c r="H50" i="9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1" i="20" s="1"/>
  <c r="H51" i="9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2" i="20" s="1"/>
  <c r="D60" i="9"/>
  <c r="D60" i="10" s="1"/>
  <c r="D60" i="11" s="1"/>
  <c r="D60" i="12" s="1"/>
  <c r="D60" i="13" s="1"/>
  <c r="D60" i="14" s="1"/>
  <c r="D60" i="15" s="1"/>
  <c r="D60" i="16" s="1"/>
  <c r="D60" i="17" s="1"/>
  <c r="D60" i="18" s="1"/>
  <c r="D60" i="19" s="1"/>
  <c r="D61" i="20" s="1"/>
  <c r="D53" i="9"/>
  <c r="D53" i="10" s="1"/>
  <c r="D53" i="11" s="1"/>
  <c r="D53" i="12" s="1"/>
  <c r="D53" i="13" s="1"/>
  <c r="D53" i="14" s="1"/>
  <c r="D53" i="15" s="1"/>
  <c r="D53" i="16" s="1"/>
  <c r="D53" i="17" s="1"/>
  <c r="D53" i="18" s="1"/>
  <c r="D53" i="19" s="1"/>
  <c r="D54" i="20" s="1"/>
  <c r="G53" i="9"/>
  <c r="G53" i="10" s="1"/>
  <c r="G53" i="11" s="1"/>
  <c r="G53" i="12" s="1"/>
  <c r="G53" i="13" s="1"/>
  <c r="G53" i="14" s="1"/>
  <c r="G53" i="15" s="1"/>
  <c r="G53" i="16" s="1"/>
  <c r="G53" i="17" s="1"/>
  <c r="G53" i="18" s="1"/>
  <c r="G53" i="19" s="1"/>
  <c r="G54" i="20" s="1"/>
  <c r="F43" i="9"/>
  <c r="F43" i="10" s="1"/>
  <c r="F43" i="11" s="1"/>
  <c r="F43" i="12" s="1"/>
  <c r="F43" i="13" s="1"/>
  <c r="F43" i="14" s="1"/>
  <c r="F43" i="15" s="1"/>
  <c r="F43" i="16" s="1"/>
  <c r="F43" i="17" s="1"/>
  <c r="F43" i="18" s="1"/>
  <c r="F43" i="19" s="1"/>
  <c r="F44" i="20" s="1"/>
  <c r="H42" i="9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3" i="20" s="1"/>
  <c r="G43" i="9"/>
  <c r="G43" i="10" s="1"/>
  <c r="G43" i="11" s="1"/>
  <c r="G43" i="12" s="1"/>
  <c r="G43" i="13" s="1"/>
  <c r="G43" i="14" s="1"/>
  <c r="G43" i="15" s="1"/>
  <c r="G43" i="16" s="1"/>
  <c r="G43" i="17" s="1"/>
  <c r="G43" i="18" s="1"/>
  <c r="G43" i="19" s="1"/>
  <c r="G44" i="20" s="1"/>
  <c r="D46" i="9"/>
  <c r="D46" i="10" s="1"/>
  <c r="D46" i="11" s="1"/>
  <c r="D46" i="12" s="1"/>
  <c r="D46" i="13" s="1"/>
  <c r="D46" i="14" s="1"/>
  <c r="D46" i="15" s="1"/>
  <c r="D46" i="16" s="1"/>
  <c r="D46" i="17" s="1"/>
  <c r="D46" i="18" s="1"/>
  <c r="D46" i="19" s="1"/>
  <c r="D47" i="20" s="1"/>
  <c r="G45" i="9"/>
  <c r="G45" i="10" s="1"/>
  <c r="G45" i="11" s="1"/>
  <c r="G45" i="12" s="1"/>
  <c r="G45" i="13" s="1"/>
  <c r="G45" i="14" s="1"/>
  <c r="G45" i="15" s="1"/>
  <c r="G45" i="16" s="1"/>
  <c r="G45" i="17" s="1"/>
  <c r="G45" i="18" s="1"/>
  <c r="G45" i="19" s="1"/>
  <c r="G46" i="20" s="1"/>
  <c r="D54" i="9"/>
  <c r="D54" i="10" s="1"/>
  <c r="D54" i="11" s="1"/>
  <c r="D54" i="12" s="1"/>
  <c r="D54" i="13" s="1"/>
  <c r="D54" i="14" s="1"/>
  <c r="D54" i="15" s="1"/>
  <c r="D54" i="16" s="1"/>
  <c r="D54" i="17" s="1"/>
  <c r="D54" i="18" s="1"/>
  <c r="D54" i="19" s="1"/>
  <c r="D55" i="20" s="1"/>
  <c r="H41" i="9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2" i="20" s="1"/>
  <c r="H48" i="9"/>
  <c r="H48" i="10" s="1"/>
  <c r="H48" i="11" s="1"/>
  <c r="H48" i="12" s="1"/>
  <c r="H48" i="13" s="1"/>
  <c r="H48" i="14" s="1"/>
  <c r="H48" i="15" s="1"/>
  <c r="H48" i="16" s="1"/>
  <c r="H48" i="17" s="1"/>
  <c r="H48" i="18" s="1"/>
  <c r="H48" i="19" s="1"/>
  <c r="H49" i="20" s="1"/>
  <c r="D56" i="9"/>
  <c r="D56" i="10" s="1"/>
  <c r="D56" i="11" s="1"/>
  <c r="D56" i="12" s="1"/>
  <c r="D56" i="13" s="1"/>
  <c r="D56" i="14" s="1"/>
  <c r="D56" i="15" s="1"/>
  <c r="D56" i="16" s="1"/>
  <c r="D56" i="17" s="1"/>
  <c r="D56" i="18" s="1"/>
  <c r="D56" i="19" s="1"/>
  <c r="D57" i="20" s="1"/>
  <c r="F60" i="9"/>
  <c r="F60" i="10" s="1"/>
  <c r="F60" i="11" s="1"/>
  <c r="F60" i="12" s="1"/>
  <c r="F60" i="13" s="1"/>
  <c r="F60" i="14" s="1"/>
  <c r="F60" i="15" s="1"/>
  <c r="F60" i="16" s="1"/>
  <c r="F60" i="17" s="1"/>
  <c r="F60" i="18" s="1"/>
  <c r="F60" i="19" s="1"/>
  <c r="F61" i="20" s="1"/>
  <c r="F44" i="9"/>
  <c r="F44" i="10" s="1"/>
  <c r="F44" i="11" s="1"/>
  <c r="F44" i="12" s="1"/>
  <c r="F44" i="13" s="1"/>
  <c r="F44" i="14" s="1"/>
  <c r="F44" i="15" s="1"/>
  <c r="F44" i="16" s="1"/>
  <c r="F44" i="17" s="1"/>
  <c r="F44" i="18" s="1"/>
  <c r="F44" i="19" s="1"/>
  <c r="F45" i="20" s="1"/>
  <c r="F47" i="9"/>
  <c r="F47" i="10" s="1"/>
  <c r="F47" i="11" s="1"/>
  <c r="F47" i="12" s="1"/>
  <c r="F47" i="13" s="1"/>
  <c r="F47" i="14" s="1"/>
  <c r="F47" i="15" s="1"/>
  <c r="F47" i="16" s="1"/>
  <c r="F47" i="17" s="1"/>
  <c r="F47" i="18" s="1"/>
  <c r="F47" i="19" s="1"/>
  <c r="F48" i="20" s="1"/>
  <c r="G50" i="9"/>
  <c r="G50" i="10" s="1"/>
  <c r="G50" i="11" s="1"/>
  <c r="G50" i="12" s="1"/>
  <c r="G50" i="13" s="1"/>
  <c r="G50" i="14" s="1"/>
  <c r="G50" i="15" s="1"/>
  <c r="G50" i="16" s="1"/>
  <c r="G50" i="17" s="1"/>
  <c r="G50" i="18" s="1"/>
  <c r="G50" i="19" s="1"/>
  <c r="G51" i="20" s="1"/>
  <c r="E49" i="9"/>
  <c r="E49" i="10" s="1"/>
  <c r="E49" i="11" s="1"/>
  <c r="E49" i="12" s="1"/>
  <c r="E49" i="13" s="1"/>
  <c r="E49" i="14" s="1"/>
  <c r="E49" i="15" s="1"/>
  <c r="E49" i="16" s="1"/>
  <c r="E49" i="17" s="1"/>
  <c r="E49" i="18" s="1"/>
  <c r="E49" i="19" s="1"/>
  <c r="E50" i="20" s="1"/>
  <c r="D57" i="9"/>
  <c r="D57" i="10" s="1"/>
  <c r="D57" i="11" s="1"/>
  <c r="D57" i="12" s="1"/>
  <c r="D57" i="13" s="1"/>
  <c r="D57" i="14" s="1"/>
  <c r="D57" i="15" s="1"/>
  <c r="D57" i="16" s="1"/>
  <c r="D57" i="17" s="1"/>
  <c r="D57" i="18" s="1"/>
  <c r="D57" i="19" s="1"/>
  <c r="D58" i="20" s="1"/>
  <c r="F54" i="9"/>
  <c r="F54" i="10" s="1"/>
  <c r="F54" i="11" s="1"/>
  <c r="F54" i="12" s="1"/>
  <c r="F54" i="13" s="1"/>
  <c r="F54" i="14" s="1"/>
  <c r="F54" i="15" s="1"/>
  <c r="F54" i="16" s="1"/>
  <c r="F54" i="17" s="1"/>
  <c r="F54" i="18" s="1"/>
  <c r="F54" i="19" s="1"/>
  <c r="F55" i="20" s="1"/>
  <c r="D58" i="9"/>
  <c r="D58" i="10" s="1"/>
  <c r="D58" i="11" s="1"/>
  <c r="D58" i="12" s="1"/>
  <c r="D58" i="13" s="1"/>
  <c r="D58" i="14" s="1"/>
  <c r="D58" i="15" s="1"/>
  <c r="D58" i="16" s="1"/>
  <c r="D58" i="17" s="1"/>
  <c r="D58" i="18" s="1"/>
  <c r="D58" i="19" s="1"/>
  <c r="D59" i="20" s="1"/>
  <c r="H56" i="9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7" i="20" s="1"/>
  <c r="H49" i="9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50" i="20" s="1"/>
  <c r="E42" i="9"/>
  <c r="E42" i="10" s="1"/>
  <c r="E42" i="11" s="1"/>
  <c r="E42" i="12" s="1"/>
  <c r="E42" i="13" s="1"/>
  <c r="E42" i="14" s="1"/>
  <c r="E42" i="15" s="1"/>
  <c r="E42" i="16" s="1"/>
  <c r="E42" i="17" s="1"/>
  <c r="E42" i="18" s="1"/>
  <c r="E42" i="19" s="1"/>
  <c r="E43" i="20" s="1"/>
  <c r="H59" i="9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60" i="20" s="1"/>
  <c r="H47" i="9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8" i="20" s="1"/>
  <c r="E55" i="9"/>
  <c r="E55" i="10" s="1"/>
  <c r="E55" i="11" s="1"/>
  <c r="E55" i="12" s="1"/>
  <c r="E55" i="13" s="1"/>
  <c r="E55" i="14" s="1"/>
  <c r="E55" i="15" s="1"/>
  <c r="E55" i="16" s="1"/>
  <c r="E55" i="17" s="1"/>
  <c r="E55" i="18" s="1"/>
  <c r="E55" i="19" s="1"/>
  <c r="E56" i="20" s="1"/>
  <c r="H55" i="9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6" i="20" s="1"/>
  <c r="H53" i="9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4" i="20" s="1"/>
  <c r="G55" i="9"/>
  <c r="G55" i="10" s="1"/>
  <c r="G55" i="11" s="1"/>
  <c r="G55" i="12" s="1"/>
  <c r="G55" i="13" s="1"/>
  <c r="G55" i="14" s="1"/>
  <c r="G55" i="15" s="1"/>
  <c r="G55" i="16" s="1"/>
  <c r="G55" i="17" s="1"/>
  <c r="G55" i="18" s="1"/>
  <c r="G55" i="19" s="1"/>
  <c r="G56" i="20" s="1"/>
  <c r="G51" i="9"/>
  <c r="G51" i="10" s="1"/>
  <c r="G51" i="11" s="1"/>
  <c r="G51" i="12" s="1"/>
  <c r="G51" i="13" s="1"/>
  <c r="G51" i="14" s="1"/>
  <c r="G51" i="15" s="1"/>
  <c r="G51" i="16" s="1"/>
  <c r="G51" i="17" s="1"/>
  <c r="G51" i="18" s="1"/>
  <c r="G51" i="19" s="1"/>
  <c r="G52" i="20" s="1"/>
  <c r="E46" i="9"/>
  <c r="E46" i="10" s="1"/>
  <c r="E46" i="11" s="1"/>
  <c r="E46" i="12" s="1"/>
  <c r="E46" i="13" s="1"/>
  <c r="E46" i="14" s="1"/>
  <c r="E46" i="15" s="1"/>
  <c r="E46" i="16" s="1"/>
  <c r="E46" i="17" s="1"/>
  <c r="E46" i="18" s="1"/>
  <c r="E46" i="19" s="1"/>
  <c r="E47" i="20" s="1"/>
  <c r="F46" i="9"/>
  <c r="F46" i="10" s="1"/>
  <c r="F46" i="11" s="1"/>
  <c r="F46" i="12" s="1"/>
  <c r="F46" i="13" s="1"/>
  <c r="F46" i="14" s="1"/>
  <c r="F46" i="15" s="1"/>
  <c r="F46" i="16" s="1"/>
  <c r="F46" i="17" s="1"/>
  <c r="F46" i="18" s="1"/>
  <c r="F46" i="19" s="1"/>
  <c r="F47" i="20" s="1"/>
  <c r="E43" i="9"/>
  <c r="E43" i="10" s="1"/>
  <c r="E43" i="11" s="1"/>
  <c r="E43" i="12" s="1"/>
  <c r="E43" i="13" s="1"/>
  <c r="E43" i="14" s="1"/>
  <c r="E43" i="15" s="1"/>
  <c r="E43" i="16" s="1"/>
  <c r="E43" i="17" s="1"/>
  <c r="E43" i="18" s="1"/>
  <c r="E43" i="19" s="1"/>
  <c r="E44" i="20" s="1"/>
  <c r="H52" i="9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3" i="20" s="1"/>
  <c r="D44" i="9"/>
  <c r="D44" i="10" s="1"/>
  <c r="D44" i="11" s="1"/>
  <c r="D44" i="12" s="1"/>
  <c r="D44" i="13" s="1"/>
  <c r="D44" i="14" s="1"/>
  <c r="D44" i="15" s="1"/>
  <c r="D44" i="16" s="1"/>
  <c r="D44" i="17" s="1"/>
  <c r="D44" i="18" s="1"/>
  <c r="D44" i="19" s="1"/>
  <c r="D45" i="20" s="1"/>
  <c r="E50" i="9"/>
  <c r="E50" i="10" s="1"/>
  <c r="E50" i="11" s="1"/>
  <c r="E50" i="12" s="1"/>
  <c r="E50" i="13" s="1"/>
  <c r="E50" i="14" s="1"/>
  <c r="E50" i="15" s="1"/>
  <c r="E50" i="16" s="1"/>
  <c r="E50" i="17" s="1"/>
  <c r="E50" i="18" s="1"/>
  <c r="E50" i="19" s="1"/>
  <c r="E51" i="20" s="1"/>
  <c r="G56" i="9"/>
  <c r="G56" i="10" s="1"/>
  <c r="G56" i="11" s="1"/>
  <c r="G56" i="12" s="1"/>
  <c r="G56" i="13" s="1"/>
  <c r="G56" i="14" s="1"/>
  <c r="G56" i="15" s="1"/>
  <c r="G56" i="16" s="1"/>
  <c r="G56" i="17" s="1"/>
  <c r="G56" i="18" s="1"/>
  <c r="G56" i="19" s="1"/>
  <c r="G57" i="20" s="1"/>
  <c r="F53" i="9"/>
  <c r="F53" i="10" s="1"/>
  <c r="F53" i="11" s="1"/>
  <c r="F53" i="12" s="1"/>
  <c r="F53" i="13" s="1"/>
  <c r="F53" i="14" s="1"/>
  <c r="F53" i="15" s="1"/>
  <c r="F53" i="16" s="1"/>
  <c r="F53" i="17" s="1"/>
  <c r="F53" i="18" s="1"/>
  <c r="F53" i="19" s="1"/>
  <c r="F54" i="20" s="1"/>
  <c r="F51" i="9"/>
  <c r="F51" i="10" s="1"/>
  <c r="F51" i="11" s="1"/>
  <c r="F51" i="12" s="1"/>
  <c r="F51" i="13" s="1"/>
  <c r="F51" i="14" s="1"/>
  <c r="F51" i="15" s="1"/>
  <c r="F51" i="16" s="1"/>
  <c r="F51" i="17" s="1"/>
  <c r="F51" i="18" s="1"/>
  <c r="F51" i="19" s="1"/>
  <c r="F52" i="20" s="1"/>
  <c r="F55" i="9"/>
  <c r="F55" i="10" s="1"/>
  <c r="F55" i="11" s="1"/>
  <c r="F55" i="12" s="1"/>
  <c r="F55" i="13" s="1"/>
  <c r="F55" i="14" s="1"/>
  <c r="F55" i="15" s="1"/>
  <c r="F55" i="16" s="1"/>
  <c r="F55" i="17" s="1"/>
  <c r="F55" i="18" s="1"/>
  <c r="F55" i="19" s="1"/>
  <c r="F56" i="20" s="1"/>
  <c r="D50" i="9"/>
  <c r="D50" i="10" s="1"/>
  <c r="D50" i="11" s="1"/>
  <c r="D50" i="12" s="1"/>
  <c r="D50" i="13" s="1"/>
  <c r="D50" i="14" s="1"/>
  <c r="D50" i="15" s="1"/>
  <c r="D50" i="16" s="1"/>
  <c r="D50" i="17" s="1"/>
  <c r="D50" i="18" s="1"/>
  <c r="D50" i="19" s="1"/>
  <c r="D51" i="20" s="1"/>
  <c r="H61" i="10"/>
  <c r="H61" i="11" s="1"/>
  <c r="H61" i="12" s="1"/>
  <c r="H61" i="13" s="1"/>
  <c r="H61" i="14" s="1"/>
  <c r="H61" i="15" s="1"/>
  <c r="H61" i="16" s="1"/>
  <c r="H61" i="17" s="1"/>
  <c r="H61" i="18" s="1"/>
  <c r="H61" i="19" s="1"/>
  <c r="H62" i="20" s="1"/>
  <c r="G61" i="10"/>
  <c r="G61" i="11" s="1"/>
  <c r="G61" i="12" s="1"/>
  <c r="G61" i="13" s="1"/>
  <c r="G61" i="14" s="1"/>
  <c r="G61" i="15" s="1"/>
  <c r="G61" i="16" s="1"/>
  <c r="G61" i="17" s="1"/>
  <c r="G61" i="18" s="1"/>
  <c r="G61" i="19" s="1"/>
  <c r="G62" i="20" s="1"/>
  <c r="F61" i="10"/>
  <c r="F61" i="11" s="1"/>
  <c r="F61" i="12" s="1"/>
  <c r="F61" i="13" s="1"/>
  <c r="F61" i="14" s="1"/>
  <c r="F61" i="15" s="1"/>
  <c r="F61" i="16" s="1"/>
  <c r="F61" i="17" s="1"/>
  <c r="F61" i="18" s="1"/>
  <c r="F61" i="19" s="1"/>
  <c r="F62" i="20" s="1"/>
  <c r="E61" i="10"/>
  <c r="E61" i="11" s="1"/>
  <c r="E61" i="12" s="1"/>
  <c r="E61" i="13" s="1"/>
  <c r="E61" i="14" s="1"/>
  <c r="E61" i="15" s="1"/>
  <c r="E61" i="16" s="1"/>
  <c r="E61" i="17" s="1"/>
  <c r="E61" i="18" s="1"/>
  <c r="E61" i="19" s="1"/>
  <c r="E62" i="20" s="1"/>
  <c r="D61" i="10"/>
  <c r="D61" i="11" s="1"/>
  <c r="D61" i="12" s="1"/>
  <c r="D61" i="13" s="1"/>
  <c r="D61" i="14" s="1"/>
  <c r="D61" i="15" s="1"/>
  <c r="D61" i="16" s="1"/>
  <c r="D61" i="17" s="1"/>
  <c r="D61" i="18" s="1"/>
  <c r="D61" i="19" s="1"/>
  <c r="D62" i="20" s="1"/>
  <c r="G59" i="32"/>
  <c r="G47" i="32"/>
  <c r="E57" i="6"/>
  <c r="E57" i="7" s="1"/>
  <c r="E57" i="8" s="1"/>
  <c r="F58" i="6"/>
  <c r="F58" i="7" s="1"/>
  <c r="F58" i="8" s="1"/>
  <c r="G63" i="32"/>
  <c r="F59" i="32"/>
  <c r="E59" i="32"/>
  <c r="F59" i="6"/>
  <c r="F59" i="7" s="1"/>
  <c r="F59" i="8" s="1"/>
  <c r="E47" i="32"/>
  <c r="F54" i="32"/>
  <c r="E54" i="32"/>
  <c r="E47" i="6"/>
  <c r="E47" i="7" s="1"/>
  <c r="E47" i="8" s="1"/>
  <c r="D46" i="32"/>
  <c r="F55" i="32"/>
  <c r="F52" i="32"/>
  <c r="D45" i="6"/>
  <c r="D45" i="7" s="1"/>
  <c r="D45" i="8" s="1"/>
  <c r="E53" i="32"/>
  <c r="G50" i="32"/>
  <c r="F46" i="32"/>
  <c r="F62" i="32"/>
  <c r="F60" i="32"/>
  <c r="F48" i="6"/>
  <c r="F48" i="7" s="1"/>
  <c r="F48" i="8" s="1"/>
  <c r="F56" i="32"/>
  <c r="H66" i="32"/>
  <c r="G60" i="6"/>
  <c r="G60" i="7" s="1"/>
  <c r="G60" i="8" s="1"/>
  <c r="G46" i="32"/>
  <c r="G55" i="32"/>
  <c r="F49" i="32"/>
  <c r="E45" i="6"/>
  <c r="E45" i="7" s="1"/>
  <c r="E45" i="8" s="1"/>
  <c r="D48" i="6"/>
  <c r="D48" i="7" s="1"/>
  <c r="D48" i="8" s="1"/>
  <c r="E66" i="32"/>
  <c r="F65" i="32"/>
  <c r="E65" i="32"/>
  <c r="G64" i="32"/>
  <c r="D52" i="6"/>
  <c r="D52" i="7" s="1"/>
  <c r="D52" i="8" s="1"/>
  <c r="G66" i="32"/>
  <c r="F57" i="32"/>
  <c r="H46" i="32"/>
  <c r="H57" i="32"/>
  <c r="H53" i="32"/>
  <c r="H50" i="32"/>
  <c r="H65" i="32"/>
  <c r="H44" i="6"/>
  <c r="H44" i="7" s="1"/>
  <c r="H44" i="8" s="1"/>
  <c r="G52" i="6"/>
  <c r="G52" i="7" s="1"/>
  <c r="G52" i="8" s="1"/>
  <c r="H54" i="32"/>
  <c r="E56" i="6"/>
  <c r="E56" i="7" s="1"/>
  <c r="E56" i="8" s="1"/>
  <c r="F56" i="6"/>
  <c r="F56" i="7" s="1"/>
  <c r="F56" i="8" s="1"/>
  <c r="F58" i="32"/>
  <c r="E44" i="6"/>
  <c r="E44" i="7" s="1"/>
  <c r="E44" i="8" s="1"/>
  <c r="F66" i="32"/>
  <c r="E52" i="6"/>
  <c r="E52" i="7" s="1"/>
  <c r="E52" i="8" s="1"/>
  <c r="G53" i="32"/>
  <c r="G54" i="32"/>
  <c r="G52" i="32"/>
  <c r="E46" i="32"/>
  <c r="H61" i="32"/>
  <c r="G49" i="32"/>
  <c r="G45" i="32"/>
  <c r="D61" i="32"/>
  <c r="H43" i="6"/>
  <c r="H43" i="7" s="1"/>
  <c r="H43" i="8" s="1"/>
  <c r="D54" i="32"/>
  <c r="F50" i="32"/>
  <c r="G61" i="32"/>
  <c r="D66" i="32"/>
  <c r="D49" i="32"/>
  <c r="E48" i="32"/>
  <c r="D51" i="32"/>
  <c r="E56" i="32"/>
  <c r="E51" i="32"/>
  <c r="H46" i="6"/>
  <c r="H46" i="7" s="1"/>
  <c r="H46" i="8" s="1"/>
  <c r="H47" i="32"/>
  <c r="G46" i="6"/>
  <c r="G46" i="7" s="1"/>
  <c r="G46" i="8" s="1"/>
  <c r="G48" i="32"/>
  <c r="F51" i="32"/>
  <c r="D48" i="32"/>
  <c r="F48" i="32"/>
  <c r="D47" i="32"/>
  <c r="D47" i="6"/>
  <c r="D47" i="7" s="1"/>
  <c r="D47" i="8" s="1"/>
  <c r="D64" i="32"/>
  <c r="H58" i="32"/>
  <c r="F47" i="32"/>
  <c r="H64" i="32"/>
  <c r="G56" i="32"/>
  <c r="H60" i="32"/>
  <c r="D58" i="32"/>
  <c r="G58" i="32"/>
  <c r="G60" i="32"/>
  <c r="E60" i="32"/>
  <c r="E53" i="6"/>
  <c r="E53" i="7" s="1"/>
  <c r="E53" i="8" s="1"/>
  <c r="E58" i="32"/>
  <c r="G62" i="32"/>
  <c r="E59" i="6"/>
  <c r="E59" i="7" s="1"/>
  <c r="E59" i="8" s="1"/>
  <c r="E64" i="32"/>
  <c r="D60" i="32"/>
  <c r="D55" i="6"/>
  <c r="D55" i="7" s="1"/>
  <c r="D55" i="8" s="1"/>
  <c r="H56" i="32"/>
  <c r="D56" i="32"/>
  <c r="D51" i="6"/>
  <c r="D51" i="7" s="1"/>
  <c r="D51" i="8" s="1"/>
  <c r="E40" i="4"/>
  <c r="E40" i="6" s="1"/>
  <c r="E40" i="7" s="1"/>
  <c r="E40" i="8" s="1"/>
  <c r="E40" i="9" s="1"/>
  <c r="E40" i="10" s="1"/>
  <c r="E40" i="11" s="1"/>
  <c r="E40" i="12" s="1"/>
  <c r="E40" i="13" s="1"/>
  <c r="E40" i="14" s="1"/>
  <c r="E40" i="15" s="1"/>
  <c r="E40" i="16" s="1"/>
  <c r="E40" i="17" s="1"/>
  <c r="E40" i="18" s="1"/>
  <c r="E40" i="19" s="1"/>
  <c r="E41" i="20" s="1"/>
  <c r="E45" i="32"/>
  <c r="H45" i="32"/>
  <c r="H40" i="4"/>
  <c r="H40" i="6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1" i="20" s="1"/>
  <c r="D40" i="4"/>
  <c r="D40" i="6" s="1"/>
  <c r="D40" i="7" s="1"/>
  <c r="D40" i="8" s="1"/>
  <c r="D40" i="9" s="1"/>
  <c r="D40" i="10" s="1"/>
  <c r="D40" i="11" s="1"/>
  <c r="D40" i="12" s="1"/>
  <c r="D40" i="13" s="1"/>
  <c r="D40" i="14" s="1"/>
  <c r="D40" i="15" s="1"/>
  <c r="D40" i="16" s="1"/>
  <c r="D40" i="17" s="1"/>
  <c r="D40" i="18" s="1"/>
  <c r="D40" i="19" s="1"/>
  <c r="D41" i="20" s="1"/>
  <c r="D45" i="32"/>
  <c r="F40" i="4"/>
  <c r="F40" i="6" s="1"/>
  <c r="F40" i="7" s="1"/>
  <c r="F40" i="8" s="1"/>
  <c r="F40" i="9" s="1"/>
  <c r="F40" i="10" s="1"/>
  <c r="F40" i="11" s="1"/>
  <c r="F40" i="12" s="1"/>
  <c r="F40" i="13" s="1"/>
  <c r="F40" i="14" s="1"/>
  <c r="F40" i="15" s="1"/>
  <c r="F40" i="16" s="1"/>
  <c r="F40" i="17" s="1"/>
  <c r="F40" i="18" s="1"/>
  <c r="F40" i="19" s="1"/>
  <c r="F41" i="20" s="1"/>
  <c r="F45" i="32"/>
  <c r="G61" i="38" l="1"/>
  <c r="G63" i="39" s="1"/>
  <c r="D44" i="38"/>
  <c r="D46" i="39" s="1"/>
  <c r="E46" i="38"/>
  <c r="E48" i="39" s="1"/>
  <c r="F47" i="38"/>
  <c r="F49" i="39" s="1"/>
  <c r="D46" i="38"/>
  <c r="D48" i="39" s="1"/>
  <c r="G47" i="38"/>
  <c r="G49" i="39" s="1"/>
  <c r="D61" i="38"/>
  <c r="D63" i="39" s="1"/>
  <c r="H61" i="38"/>
  <c r="H63" i="39" s="1"/>
  <c r="H52" i="38"/>
  <c r="H54" i="39" s="1"/>
  <c r="F44" i="38"/>
  <c r="F46" i="39" s="1"/>
  <c r="F52" i="38"/>
  <c r="F54" i="39" s="1"/>
  <c r="E61" i="38"/>
  <c r="E63" i="39" s="1"/>
  <c r="H47" i="38"/>
  <c r="H49" i="39" s="1"/>
  <c r="H45" i="38"/>
  <c r="H47" i="39" s="1"/>
  <c r="F61" i="38"/>
  <c r="F63" i="39" s="1"/>
  <c r="F46" i="38"/>
  <c r="F48" i="39" s="1"/>
  <c r="G45" i="38"/>
  <c r="G47" i="39" s="1"/>
  <c r="F45" i="38"/>
  <c r="F47" i="39" s="1"/>
  <c r="G44" i="38"/>
  <c r="G46" i="39" s="1"/>
  <c r="G54" i="38"/>
  <c r="G56" i="39" s="1"/>
  <c r="D54" i="38"/>
  <c r="D56" i="39" s="1"/>
  <c r="E54" i="38"/>
  <c r="E56" i="39" s="1"/>
  <c r="F54" i="38"/>
  <c r="F56" i="39" s="1"/>
  <c r="H54" i="38"/>
  <c r="H56" i="39" s="1"/>
  <c r="G43" i="38"/>
  <c r="G45" i="39" s="1"/>
  <c r="D43" i="38"/>
  <c r="D45" i="39" s="1"/>
  <c r="E43" i="38"/>
  <c r="E45" i="39" s="1"/>
  <c r="F43" i="38"/>
  <c r="F45" i="39" s="1"/>
  <c r="F42" i="38"/>
  <c r="F44" i="39" s="1"/>
  <c r="G42" i="38"/>
  <c r="G44" i="39" s="1"/>
  <c r="E42" i="38"/>
  <c r="E44" i="39" s="1"/>
  <c r="H42" i="38"/>
  <c r="H44" i="39" s="1"/>
  <c r="D42" i="38"/>
  <c r="D44" i="39" s="1"/>
  <c r="E60" i="38"/>
  <c r="E62" i="39" s="1"/>
  <c r="F60" i="38"/>
  <c r="F62" i="39" s="1"/>
  <c r="D60" i="38"/>
  <c r="D62" i="39" s="1"/>
  <c r="H60" i="38"/>
  <c r="H62" i="39" s="1"/>
  <c r="D59" i="38"/>
  <c r="D61" i="39" s="1"/>
  <c r="G59" i="38"/>
  <c r="G61" i="39" s="1"/>
  <c r="H59" i="38"/>
  <c r="H61" i="39" s="1"/>
  <c r="E58" i="38"/>
  <c r="E60" i="39" s="1"/>
  <c r="H58" i="38"/>
  <c r="H60" i="39" s="1"/>
  <c r="D58" i="38"/>
  <c r="D60" i="39" s="1"/>
  <c r="G58" i="38"/>
  <c r="G60" i="39" s="1"/>
  <c r="D57" i="38"/>
  <c r="D59" i="39" s="1"/>
  <c r="H57" i="38"/>
  <c r="H59" i="39" s="1"/>
  <c r="G57" i="38"/>
  <c r="G59" i="39" s="1"/>
  <c r="F57" i="38"/>
  <c r="F59" i="39" s="1"/>
  <c r="G53" i="38"/>
  <c r="G55" i="39" s="1"/>
  <c r="D53" i="38"/>
  <c r="D55" i="39" s="1"/>
  <c r="F53" i="38"/>
  <c r="F55" i="39" s="1"/>
  <c r="H53" i="38"/>
  <c r="H55" i="39" s="1"/>
  <c r="G56" i="38"/>
  <c r="G58" i="39" s="1"/>
  <c r="H56" i="38"/>
  <c r="H58" i="39" s="1"/>
  <c r="D56" i="38"/>
  <c r="D58" i="39" s="1"/>
  <c r="H55" i="38"/>
  <c r="H57" i="39" s="1"/>
  <c r="E55" i="38"/>
  <c r="E57" i="39" s="1"/>
  <c r="G55" i="38"/>
  <c r="G57" i="39" s="1"/>
  <c r="F55" i="38"/>
  <c r="F57" i="39" s="1"/>
  <c r="G51" i="38"/>
  <c r="G53" i="39" s="1"/>
  <c r="F51" i="38"/>
  <c r="F53" i="39" s="1"/>
  <c r="E51" i="38"/>
  <c r="E53" i="39" s="1"/>
  <c r="H51" i="38"/>
  <c r="H53" i="39" s="1"/>
  <c r="H50" i="38"/>
  <c r="H52" i="39" s="1"/>
  <c r="F50" i="38"/>
  <c r="F52" i="39" s="1"/>
  <c r="D50" i="38"/>
  <c r="D52" i="39" s="1"/>
  <c r="E50" i="38"/>
  <c r="E52" i="39" s="1"/>
  <c r="G50" i="38"/>
  <c r="G52" i="39" s="1"/>
  <c r="H49" i="38"/>
  <c r="H51" i="39" s="1"/>
  <c r="G49" i="38"/>
  <c r="G51" i="39" s="1"/>
  <c r="F49" i="38"/>
  <c r="F51" i="39" s="1"/>
  <c r="D49" i="38"/>
  <c r="D51" i="39" s="1"/>
  <c r="E49" i="38"/>
  <c r="E51" i="39" s="1"/>
  <c r="G48" i="38"/>
  <c r="G50" i="39" s="1"/>
  <c r="E48" i="38"/>
  <c r="E50" i="39" s="1"/>
  <c r="H48" i="38"/>
  <c r="H50" i="39" s="1"/>
  <c r="H41" i="38"/>
  <c r="H43" i="39" s="1"/>
  <c r="G41" i="38"/>
  <c r="G43" i="39" s="1"/>
  <c r="F41" i="38"/>
  <c r="F43" i="39" s="1"/>
  <c r="D41" i="38"/>
  <c r="D43" i="39" s="1"/>
  <c r="E41" i="38"/>
  <c r="E43" i="39" s="1"/>
  <c r="F40" i="38"/>
  <c r="F42" i="39" s="1"/>
  <c r="D40" i="38"/>
  <c r="D42" i="39" s="1"/>
  <c r="E40" i="38"/>
  <c r="E42" i="39" s="1"/>
  <c r="H40" i="38"/>
  <c r="H42" i="39" s="1"/>
  <c r="F56" i="9"/>
  <c r="F56" i="10" s="1"/>
  <c r="F56" i="11" s="1"/>
  <c r="F56" i="12" s="1"/>
  <c r="F56" i="13" s="1"/>
  <c r="F56" i="14" s="1"/>
  <c r="F56" i="15" s="1"/>
  <c r="F56" i="16" s="1"/>
  <c r="F56" i="17" s="1"/>
  <c r="F56" i="18" s="1"/>
  <c r="F56" i="19" s="1"/>
  <c r="F57" i="20" s="1"/>
  <c r="E57" i="9"/>
  <c r="E57" i="10" s="1"/>
  <c r="E57" i="11" s="1"/>
  <c r="E57" i="12" s="1"/>
  <c r="E57" i="13" s="1"/>
  <c r="E57" i="14" s="1"/>
  <c r="E57" i="15" s="1"/>
  <c r="E57" i="16" s="1"/>
  <c r="E57" i="17" s="1"/>
  <c r="E57" i="18" s="1"/>
  <c r="E57" i="19" s="1"/>
  <c r="E58" i="20" s="1"/>
  <c r="H44" i="9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5" i="20" s="1"/>
  <c r="E53" i="9"/>
  <c r="E53" i="10" s="1"/>
  <c r="E53" i="11" s="1"/>
  <c r="E53" i="12" s="1"/>
  <c r="E53" i="13" s="1"/>
  <c r="E53" i="14" s="1"/>
  <c r="E53" i="15" s="1"/>
  <c r="E53" i="16" s="1"/>
  <c r="E53" i="17" s="1"/>
  <c r="E53" i="18" s="1"/>
  <c r="E53" i="19" s="1"/>
  <c r="E54" i="20" s="1"/>
  <c r="D47" i="9"/>
  <c r="D47" i="10" s="1"/>
  <c r="D47" i="11" s="1"/>
  <c r="D47" i="12" s="1"/>
  <c r="D47" i="13" s="1"/>
  <c r="D47" i="14" s="1"/>
  <c r="D47" i="15" s="1"/>
  <c r="D47" i="16" s="1"/>
  <c r="D47" i="17" s="1"/>
  <c r="D47" i="18" s="1"/>
  <c r="D47" i="19" s="1"/>
  <c r="D48" i="20" s="1"/>
  <c r="H46" i="9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7" i="20" s="1"/>
  <c r="E56" i="9"/>
  <c r="E56" i="10" s="1"/>
  <c r="E56" i="11" s="1"/>
  <c r="E56" i="12" s="1"/>
  <c r="E56" i="13" s="1"/>
  <c r="E56" i="14" s="1"/>
  <c r="E56" i="15" s="1"/>
  <c r="E56" i="16" s="1"/>
  <c r="E56" i="17" s="1"/>
  <c r="E56" i="18" s="1"/>
  <c r="E56" i="19" s="1"/>
  <c r="E57" i="20" s="1"/>
  <c r="D48" i="9"/>
  <c r="D48" i="10" s="1"/>
  <c r="D48" i="11" s="1"/>
  <c r="D48" i="12" s="1"/>
  <c r="D48" i="13" s="1"/>
  <c r="D48" i="14" s="1"/>
  <c r="D48" i="15" s="1"/>
  <c r="D48" i="16" s="1"/>
  <c r="D48" i="17" s="1"/>
  <c r="D48" i="18" s="1"/>
  <c r="D48" i="19" s="1"/>
  <c r="D49" i="20" s="1"/>
  <c r="F48" i="9"/>
  <c r="F48" i="10" s="1"/>
  <c r="F48" i="11" s="1"/>
  <c r="F48" i="12" s="1"/>
  <c r="F48" i="13" s="1"/>
  <c r="F48" i="14" s="1"/>
  <c r="F48" i="15" s="1"/>
  <c r="F48" i="16" s="1"/>
  <c r="F48" i="17" s="1"/>
  <c r="F48" i="18" s="1"/>
  <c r="F48" i="19" s="1"/>
  <c r="F49" i="20" s="1"/>
  <c r="E52" i="9"/>
  <c r="E52" i="10" s="1"/>
  <c r="E52" i="11" s="1"/>
  <c r="E52" i="12" s="1"/>
  <c r="E52" i="13" s="1"/>
  <c r="E52" i="14" s="1"/>
  <c r="E52" i="15" s="1"/>
  <c r="E52" i="16" s="1"/>
  <c r="E52" i="17" s="1"/>
  <c r="E52" i="18" s="1"/>
  <c r="E52" i="19" s="1"/>
  <c r="E53" i="20" s="1"/>
  <c r="E44" i="9"/>
  <c r="E44" i="10" s="1"/>
  <c r="E44" i="11" s="1"/>
  <c r="E44" i="12" s="1"/>
  <c r="E44" i="13" s="1"/>
  <c r="E44" i="14" s="1"/>
  <c r="E44" i="15" s="1"/>
  <c r="E44" i="16" s="1"/>
  <c r="E44" i="17" s="1"/>
  <c r="E44" i="18" s="1"/>
  <c r="E44" i="19" s="1"/>
  <c r="E45" i="20" s="1"/>
  <c r="G60" i="9"/>
  <c r="G60" i="10" s="1"/>
  <c r="G60" i="11" s="1"/>
  <c r="G60" i="12" s="1"/>
  <c r="G60" i="13" s="1"/>
  <c r="G60" i="14" s="1"/>
  <c r="G60" i="15" s="1"/>
  <c r="G60" i="16" s="1"/>
  <c r="G60" i="17" s="1"/>
  <c r="G60" i="18" s="1"/>
  <c r="G60" i="19" s="1"/>
  <c r="G61" i="20" s="1"/>
  <c r="D51" i="9"/>
  <c r="D51" i="10" s="1"/>
  <c r="D51" i="11" s="1"/>
  <c r="D51" i="12" s="1"/>
  <c r="D51" i="13" s="1"/>
  <c r="D51" i="14" s="1"/>
  <c r="D51" i="15" s="1"/>
  <c r="D51" i="16" s="1"/>
  <c r="D51" i="17" s="1"/>
  <c r="D51" i="18" s="1"/>
  <c r="D51" i="19" s="1"/>
  <c r="D52" i="20" s="1"/>
  <c r="D52" i="9"/>
  <c r="D52" i="10" s="1"/>
  <c r="D52" i="11" s="1"/>
  <c r="D52" i="12" s="1"/>
  <c r="D52" i="13" s="1"/>
  <c r="D52" i="14" s="1"/>
  <c r="D52" i="15" s="1"/>
  <c r="D52" i="16" s="1"/>
  <c r="D52" i="17" s="1"/>
  <c r="D52" i="18" s="1"/>
  <c r="D52" i="19" s="1"/>
  <c r="D53" i="20" s="1"/>
  <c r="E59" i="9"/>
  <c r="E59" i="10" s="1"/>
  <c r="E59" i="11" s="1"/>
  <c r="E59" i="12" s="1"/>
  <c r="E59" i="13" s="1"/>
  <c r="E59" i="14" s="1"/>
  <c r="E59" i="15" s="1"/>
  <c r="E59" i="16" s="1"/>
  <c r="E59" i="17" s="1"/>
  <c r="E59" i="18" s="1"/>
  <c r="E59" i="19" s="1"/>
  <c r="E60" i="20" s="1"/>
  <c r="E45" i="9"/>
  <c r="E45" i="10" s="1"/>
  <c r="E45" i="11" s="1"/>
  <c r="E45" i="12" s="1"/>
  <c r="E45" i="13" s="1"/>
  <c r="E45" i="14" s="1"/>
  <c r="E45" i="15" s="1"/>
  <c r="E45" i="16" s="1"/>
  <c r="E45" i="17" s="1"/>
  <c r="E45" i="18" s="1"/>
  <c r="E45" i="19" s="1"/>
  <c r="E46" i="20" s="1"/>
  <c r="D55" i="9"/>
  <c r="D55" i="10" s="1"/>
  <c r="D55" i="11" s="1"/>
  <c r="D55" i="12" s="1"/>
  <c r="D55" i="13" s="1"/>
  <c r="D55" i="14" s="1"/>
  <c r="D55" i="15" s="1"/>
  <c r="D55" i="16" s="1"/>
  <c r="D55" i="17" s="1"/>
  <c r="D55" i="18" s="1"/>
  <c r="D55" i="19" s="1"/>
  <c r="D56" i="20" s="1"/>
  <c r="G46" i="9"/>
  <c r="G46" i="10" s="1"/>
  <c r="G46" i="11" s="1"/>
  <c r="G46" i="12" s="1"/>
  <c r="G46" i="13" s="1"/>
  <c r="G46" i="14" s="1"/>
  <c r="G46" i="15" s="1"/>
  <c r="G46" i="16" s="1"/>
  <c r="G46" i="17" s="1"/>
  <c r="G46" i="18" s="1"/>
  <c r="G46" i="19" s="1"/>
  <c r="G47" i="20" s="1"/>
  <c r="H43" i="9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4" i="20" s="1"/>
  <c r="G52" i="9"/>
  <c r="G52" i="10" s="1"/>
  <c r="G52" i="11" s="1"/>
  <c r="G52" i="12" s="1"/>
  <c r="G52" i="13" s="1"/>
  <c r="G52" i="14" s="1"/>
  <c r="G52" i="15" s="1"/>
  <c r="G52" i="16" s="1"/>
  <c r="G52" i="17" s="1"/>
  <c r="G52" i="18" s="1"/>
  <c r="G52" i="19" s="1"/>
  <c r="G53" i="20" s="1"/>
  <c r="D45" i="9"/>
  <c r="D45" i="10" s="1"/>
  <c r="D45" i="11" s="1"/>
  <c r="D45" i="12" s="1"/>
  <c r="D45" i="13" s="1"/>
  <c r="D45" i="14" s="1"/>
  <c r="D45" i="15" s="1"/>
  <c r="D45" i="16" s="1"/>
  <c r="D45" i="17" s="1"/>
  <c r="D45" i="18" s="1"/>
  <c r="D45" i="19" s="1"/>
  <c r="D46" i="20" s="1"/>
  <c r="E47" i="9"/>
  <c r="E47" i="10" s="1"/>
  <c r="E47" i="11" s="1"/>
  <c r="E47" i="12" s="1"/>
  <c r="E47" i="13" s="1"/>
  <c r="E47" i="14" s="1"/>
  <c r="E47" i="15" s="1"/>
  <c r="E47" i="16" s="1"/>
  <c r="E47" i="17" s="1"/>
  <c r="E47" i="18" s="1"/>
  <c r="E47" i="19" s="1"/>
  <c r="E48" i="20" s="1"/>
  <c r="F59" i="9"/>
  <c r="F59" i="10" s="1"/>
  <c r="F59" i="11" s="1"/>
  <c r="F59" i="12" s="1"/>
  <c r="F59" i="13" s="1"/>
  <c r="F59" i="14" s="1"/>
  <c r="F59" i="15" s="1"/>
  <c r="F59" i="16" s="1"/>
  <c r="F59" i="17" s="1"/>
  <c r="F59" i="18" s="1"/>
  <c r="F59" i="19" s="1"/>
  <c r="F60" i="20" s="1"/>
  <c r="F58" i="9"/>
  <c r="F58" i="10" s="1"/>
  <c r="F58" i="11" s="1"/>
  <c r="F58" i="12" s="1"/>
  <c r="F58" i="13" s="1"/>
  <c r="F58" i="14" s="1"/>
  <c r="F58" i="15" s="1"/>
  <c r="F58" i="16" s="1"/>
  <c r="F58" i="17" s="1"/>
  <c r="F58" i="18" s="1"/>
  <c r="F58" i="19" s="1"/>
  <c r="F59" i="20" s="1"/>
  <c r="E47" i="38" l="1"/>
  <c r="E49" i="39" s="1"/>
  <c r="G46" i="38"/>
  <c r="G48" i="39" s="1"/>
  <c r="D52" i="38"/>
  <c r="D54" i="39" s="1"/>
  <c r="E52" i="38"/>
  <c r="E54" i="39" s="1"/>
  <c r="H46" i="38"/>
  <c r="H48" i="39" s="1"/>
  <c r="D45" i="38"/>
  <c r="D47" i="39" s="1"/>
  <c r="D47" i="38"/>
  <c r="D49" i="39" s="1"/>
  <c r="G52" i="38"/>
  <c r="G54" i="39" s="1"/>
  <c r="E45" i="38"/>
  <c r="E47" i="39" s="1"/>
  <c r="E44" i="38"/>
  <c r="E46" i="39" s="1"/>
  <c r="H44" i="38"/>
  <c r="H46" i="39" s="1"/>
  <c r="H43" i="38"/>
  <c r="H45" i="39" s="1"/>
  <c r="G60" i="38"/>
  <c r="G62" i="39" s="1"/>
  <c r="F59" i="38"/>
  <c r="F61" i="39" s="1"/>
  <c r="E59" i="38"/>
  <c r="E61" i="39" s="1"/>
  <c r="F58" i="38"/>
  <c r="F60" i="39" s="1"/>
  <c r="E57" i="38"/>
  <c r="E59" i="39" s="1"/>
  <c r="E53" i="38"/>
  <c r="E55" i="39" s="1"/>
  <c r="F56" i="38"/>
  <c r="F58" i="39" s="1"/>
  <c r="E56" i="38"/>
  <c r="E58" i="39" s="1"/>
  <c r="D55" i="38"/>
  <c r="D57" i="39" s="1"/>
  <c r="D51" i="38"/>
  <c r="D53" i="39" s="1"/>
  <c r="D48" i="38"/>
  <c r="D50" i="39" s="1"/>
  <c r="F48" i="38"/>
  <c r="F50" i="39" s="1"/>
</calcChain>
</file>

<file path=xl/sharedStrings.xml><?xml version="1.0" encoding="utf-8"?>
<sst xmlns="http://schemas.openxmlformats.org/spreadsheetml/2006/main" count="2329" uniqueCount="315">
  <si>
    <t>Понедельник</t>
  </si>
  <si>
    <t>Вторник</t>
  </si>
  <si>
    <t>Среда</t>
  </si>
  <si>
    <t>Четверг</t>
  </si>
  <si>
    <t>Пятница</t>
  </si>
  <si>
    <t xml:space="preserve">1 группа </t>
  </si>
  <si>
    <t>2 группа</t>
  </si>
  <si>
    <t xml:space="preserve">3 группа   </t>
  </si>
  <si>
    <t>4 группа</t>
  </si>
  <si>
    <t>5 группа</t>
  </si>
  <si>
    <t>8.50-10.20</t>
  </si>
  <si>
    <t>10.40-12.10</t>
  </si>
  <si>
    <t>13.00-14.30</t>
  </si>
  <si>
    <t>14.50-16.20</t>
  </si>
  <si>
    <t>Дата</t>
  </si>
  <si>
    <t>16.40-18.10</t>
  </si>
  <si>
    <t>Лекция. Информатика. Яшкина Е.Н. 277МБК</t>
  </si>
  <si>
    <t>Пр. Информатика. Яшкина Е.Н. 277МБК</t>
  </si>
  <si>
    <t>Лекция. Русский язык и культура речи. Гордиенко В.Е.</t>
  </si>
  <si>
    <t>Лекция. Русский язык и культура речи.Волкова М.С.</t>
  </si>
  <si>
    <t>5лекций</t>
  </si>
  <si>
    <t>2лекции</t>
  </si>
  <si>
    <t>2группы</t>
  </si>
  <si>
    <t>1группа</t>
  </si>
  <si>
    <t>две гр</t>
  </si>
  <si>
    <t>одна гр.</t>
  </si>
  <si>
    <t>Лекция. Анатомия человека. Павлычева Л.А. 162 МБК</t>
  </si>
  <si>
    <t>2,4,6 гр</t>
  </si>
  <si>
    <t>Лекция. Анатомия человека. Титова Е.П. 161 МБК</t>
  </si>
  <si>
    <t>1,5 гр</t>
  </si>
  <si>
    <t xml:space="preserve">Лекция. Баскетбол. Андрющенко Л.Б. </t>
  </si>
  <si>
    <t>Пр. Баскетбол. Лосева И.В., Мартынова А.В., Никонов Д.Н., Лаптев С.О., Аверясова Ю.О.</t>
  </si>
  <si>
    <t xml:space="preserve">Пр. Лыжные гонки. </t>
  </si>
  <si>
    <t>Пр. Гимнастика</t>
  </si>
  <si>
    <t>Лекция. Физическая культура и спорт. Еремин М.В.</t>
  </si>
  <si>
    <t>Пр. Элективные дисциплины по физ.культуре и спорту. Подвижные игры. Томашевич А.М. Модуль Д</t>
  </si>
  <si>
    <t>Пр. Элективные дисциплины по физ.культуре и спорту. Подвижные игры.Салахудинова Е.С. Модуль Б</t>
  </si>
  <si>
    <t>1гр,3гр</t>
  </si>
  <si>
    <t>2гр.,4гр</t>
  </si>
  <si>
    <t>Лекция. Тяжелоатлетические виды спорта. Баюрин А.П.161МБК</t>
  </si>
  <si>
    <t>Пр. Русский язык и культура речи. Гордиенко В.Е. 408 ауд.к.</t>
  </si>
  <si>
    <t>Пр. Русский язык и культура речи. Капустина Ю.А. 409ауд.к.</t>
  </si>
  <si>
    <t>Пр. Русский язык и культура речи. Ишина Л.М. 409 ауд.к.</t>
  </si>
  <si>
    <t>Пр. Русский язык и культура речи. Уткина Е.Л. 410ауд.к</t>
  </si>
  <si>
    <t>Пр. Анатомия человека. Титова Е.П. 154МБК</t>
  </si>
  <si>
    <t>Пр. Анатомия человека. Павлычева Л.А. 131 МБК</t>
  </si>
  <si>
    <t>Лекция . Лыжные гонки. Сенатская В.Г. 212ауд.к.</t>
  </si>
  <si>
    <t>Суббота</t>
  </si>
  <si>
    <t>№ аудитории</t>
  </si>
  <si>
    <t>№</t>
  </si>
  <si>
    <t>Пр. ТиМ избранного вида спорта. ауд.прил.1.</t>
  </si>
  <si>
    <t>Лекция. ТиМ избранного вида спорта. ауд.прил.1.</t>
  </si>
  <si>
    <t>Пр. Тяжелоатлетические виды спорта. Соловьев В.Б. ауд.прил.1.</t>
  </si>
  <si>
    <t>Пр. Спортивно-педагогическое совершенствование. ауд.прил.1.</t>
  </si>
  <si>
    <t>День недели</t>
  </si>
  <si>
    <t>Время</t>
  </si>
  <si>
    <t xml:space="preserve">Условные обозначения: </t>
  </si>
  <si>
    <t>МБК - медико-биологический корпус</t>
  </si>
  <si>
    <t>*Л. Теория и методика*</t>
  </si>
  <si>
    <t>*Пр. Теория и методика*</t>
  </si>
  <si>
    <t>18.30-20.00</t>
  </si>
  <si>
    <t>Наименование дисциплины (модуля):</t>
  </si>
  <si>
    <t>Наименование дисциплины (модуля), практика, научные исследования</t>
  </si>
  <si>
    <t>Кол-во часов (Л/П)</t>
  </si>
  <si>
    <t>Форма отчетности</t>
  </si>
  <si>
    <t>Учебные группы в соответствии с избранным видом спорта</t>
  </si>
  <si>
    <t>Ф.И.О. преподавателя</t>
  </si>
  <si>
    <t>Условные обозначения:</t>
  </si>
  <si>
    <t>П -  занятия семинарского типа</t>
  </si>
  <si>
    <t>Л - занятия лекционного типа</t>
  </si>
  <si>
    <t>Время начала и окончания 1 пара 08:50-10:20; 2 пара 10:40-12:10; 3 пара 13:00-14:30; 4 пара 14:50-16:20 ; 5 пара 16:40-18:10</t>
  </si>
  <si>
    <t>Составитель расписания ____________________________________ Е.Ю. Дубинкина</t>
  </si>
  <si>
    <t>СК - спортивный корпус</t>
  </si>
  <si>
    <t>Баскетбол</t>
  </si>
  <si>
    <t>Волейбол</t>
  </si>
  <si>
    <t>Теория и методика избранного вида спорта</t>
  </si>
  <si>
    <t>Теннис</t>
  </si>
  <si>
    <t>Гандбол, бейсбол, регби</t>
  </si>
  <si>
    <t>Хоккей</t>
  </si>
  <si>
    <t>Б/о - без отчета</t>
  </si>
  <si>
    <t>ПСС - Профессионально-спортивное совершенствование</t>
  </si>
  <si>
    <t>49.03.04 Спорт *</t>
  </si>
  <si>
    <t>* Профили (направленность) указанны на титульном листе</t>
  </si>
  <si>
    <t>УСЗК - универсальный спортивно-зрелищный комплекс</t>
  </si>
  <si>
    <r>
      <t xml:space="preserve">ТРЕНЕРСКИЙ ФАКУЛЬТЕТ, </t>
    </r>
    <r>
      <rPr>
        <sz val="24"/>
        <color rgb="FF000000"/>
        <rFont val="Times New Roman"/>
        <family val="1"/>
        <charset val="204"/>
      </rPr>
      <t>направление подготовки (образовательная программа)</t>
    </r>
  </si>
  <si>
    <t>Элективные дисциплины по ФКиС- Элективные дисциплины по физической культуре и спорту</t>
  </si>
  <si>
    <t>Диф.зачет - дифференцированный зачет</t>
  </si>
  <si>
    <t>ТРЕНЕРСКИЙ ФАКУЛЬТЕТ, направление подготовки (образовательная программа)</t>
  </si>
  <si>
    <t>Профессионально-спортивное совершенствование</t>
  </si>
  <si>
    <t>УТВЕРЖДАЮ</t>
  </si>
  <si>
    <t>Футбол</t>
  </si>
  <si>
    <t>ауд.9 УСЗК, ауд.16-17 УСЗК, Ледовая арена УСЗК</t>
  </si>
  <si>
    <t>Гонки дронов (беспилотных воздушных судов)</t>
  </si>
  <si>
    <t>Л - Новоселов М.А.</t>
  </si>
  <si>
    <t>3 группа</t>
  </si>
  <si>
    <t xml:space="preserve">2 группа   </t>
  </si>
  <si>
    <t>20.20-21.50</t>
  </si>
  <si>
    <t>Л - Ракитина М.А.</t>
  </si>
  <si>
    <t>Р.С. Халимулина</t>
  </si>
  <si>
    <t>_________________________________</t>
  </si>
  <si>
    <t xml:space="preserve">«____»____________________20___г.
</t>
  </si>
  <si>
    <t>универсальный зал УСЗК, каб. 12 УСЗК</t>
  </si>
  <si>
    <t>Л. Теория и методика футбола  Прил.1</t>
  </si>
  <si>
    <t>Л. Теория и методика хоккея Прил.1</t>
  </si>
  <si>
    <t>Расписание учебных занятий на первое полугодие 2025-2026 учебного года</t>
  </si>
  <si>
    <t xml:space="preserve">Курс 1, семестр 1, очная форма обучения </t>
  </si>
  <si>
    <t>Баскетбол, гандбол, бейсбол, регби</t>
  </si>
  <si>
    <t>Теннис, настольный теннис, бадминтон, бильярд</t>
  </si>
  <si>
    <t>Компьютерный спорт</t>
  </si>
  <si>
    <t>Настольный теннис, бадминтон</t>
  </si>
  <si>
    <t>Волейбол, шахматы, гонки дронов, компьютерный спорт</t>
  </si>
  <si>
    <t>228 гл.к.</t>
  </si>
  <si>
    <t>группы С1-01А-25, С1-01Б-25, С1-02А-25, С1-02Б-25, С1-03-25, С1-04А-25, С1-04Б-25, С1-05А-25, С1-05Б-25</t>
  </si>
  <si>
    <t>Л. Теория и методика баскетбола, гандбола, бейсбола, регби Прил.1</t>
  </si>
  <si>
    <t>Л. Теория и методика тенниса, настольного тенниса, бадминтона, бильярда Прил.1</t>
  </si>
  <si>
    <t>Начальник учебно-методического управления</t>
  </si>
  <si>
    <t>Л - Крутских В.В.</t>
  </si>
  <si>
    <t>Л - Степанова М.Е.</t>
  </si>
  <si>
    <t>Л - Ананьин А.С.</t>
  </si>
  <si>
    <t>П - Ананьин А.С., Суханова А.В.</t>
  </si>
  <si>
    <t>П - Ананьин А.С., Пшеничная А.М.</t>
  </si>
  <si>
    <t>П - Степанова М.Е., Абитаев  И.О.</t>
  </si>
  <si>
    <t>252СК, 61СК, 62СК, 65СК, открытый стадион</t>
  </si>
  <si>
    <t>Л - Каменев А.В.</t>
  </si>
  <si>
    <t>П - Зубов Д.А.</t>
  </si>
  <si>
    <t>П - Степанова М.Е., Абитаев И.О.</t>
  </si>
  <si>
    <t>Теннисный центр 1 и 2 корт</t>
  </si>
  <si>
    <t>П - Зубов Д.А., Новоселов М.А.</t>
  </si>
  <si>
    <t>Зачет</t>
  </si>
  <si>
    <t>Экзамен</t>
  </si>
  <si>
    <t>10/22</t>
  </si>
  <si>
    <t>2/18</t>
  </si>
  <si>
    <t>0/36</t>
  </si>
  <si>
    <t>228 гл.к., л/а манеж, 217мбк</t>
  </si>
  <si>
    <t>Волейбол, шахматы по 19.02, гонки дронов, компьютерный спорт</t>
  </si>
  <si>
    <t>49.03.04 Спорт, Профиль (направленность):  Спортивная подготовка по виду спорта «баскетбол». Педагогическая деятельность в области физической культуры и спорта; Спортивная подготовка по виду спорта «волейбол». Педагогическая деятельность в области физической культуры и спорта; Спортивная подготовка по видам спорта «гандбол», «бейсбол», «регби». Педагогическая деятельность в области физической культуры и спорта;  Спортивная подготовка по виду спорта «компьютерный спорт». Педагогическая деятельность в области физической культуры и спорта; Спортивная подготовка по виду спорта «теннис». Педагогическая деятельность в области физической культуры и спорта; Спортивная подготовка по виду спорта «хоккей». Педагогическая деятельность в области физической культуры и спорта; Спортивная подготовка по виду спорта «футбол». Педагогическая деятельность в области физической культуры и спорта; Спортивная подготовка по видам спорта "настольный теннис", "бадминтон", "бильярд". Педагогическая деятельность в области физической культуры и спорта;  Спортивная подготовка по виду спорта «шахматы». Педагогическая деятельность в области физической культуры и спорта по 19.02; Спортивная подготовка по виду спорта «гонки дронов (беспилотных воздушных судов)». Педагогическая деятельность в области физической культуры и спорта; уровень образования бакалавриат</t>
  </si>
  <si>
    <t>Волейбол, гонки дронов, компьютерный спорт</t>
  </si>
  <si>
    <t>Л -  Чигарев Н.Н.</t>
  </si>
  <si>
    <t>П -  Чигарев Н.Н.</t>
  </si>
  <si>
    <t>Б/о</t>
  </si>
  <si>
    <t>Расписание учебных занятий на первое полугодие 2026-2027 учебного года</t>
  </si>
  <si>
    <r>
      <rPr>
        <b/>
        <u/>
        <sz val="24"/>
        <rFont val="Times New Roman"/>
        <family val="1"/>
        <charset val="204"/>
      </rPr>
      <t>49.03.04 Спорт, Профиль (направленность)</t>
    </r>
    <r>
      <rPr>
        <sz val="24"/>
        <rFont val="Times New Roman"/>
        <family val="1"/>
        <charset val="204"/>
      </rPr>
      <t xml:space="preserve">:  Спортивная подготовка по виду спорта «баскетбол». Педагогическая деятельность в области физической культуры и спорта; Спортивная подготовка по виду спорта «волейбол». Педагогическая деятельность в области физической культуры и спорта; Спортивная подготовка по видам спорта «гандбол», «бейсбол», «регби». Педагогическая деятельность в области физической культуры и спорта;  Спортивная подготовка по виду спорта «компьютерный спорт». Педагогическая деятельность в области физической культуры и спорта; Спортивная подготовка по виду спорта «теннис». Педагогическая деятельность в области физической культуры и спорта; Спортивная подготовка по виду спорта «хоккей». Педагогическая деятельность в области физической культуры и спорта; Спортивная подготовка по виду спорта «футбол». Педагогическая деятельность в области физической культуры и спорта; Спортивная подготовка по видам спорта "настольный теннис", "бадминтон", "бильярд". Педагогическая деятельность в области физической культуры и спорта; Спортивная подготовка по виду спорта «гонки дронов (беспилотных воздушных судов)». Педагогическая деятельность в области физической культуры и спорта; </t>
    </r>
    <r>
      <rPr>
        <b/>
        <sz val="24"/>
        <rFont val="Times New Roman"/>
        <family val="1"/>
        <charset val="204"/>
      </rPr>
      <t>уровень образования бакалавриат</t>
    </r>
  </si>
  <si>
    <t xml:space="preserve">Курс 2, семестр 3, очная форма обучения </t>
  </si>
  <si>
    <r>
      <t xml:space="preserve">Приложение1 к расписанию учебных занятий на </t>
    </r>
    <r>
      <rPr>
        <b/>
        <u/>
        <sz val="10"/>
        <color indexed="8"/>
        <rFont val="Times New Roman"/>
        <family val="1"/>
        <charset val="204"/>
      </rPr>
      <t>первое</t>
    </r>
    <r>
      <rPr>
        <b/>
        <sz val="10"/>
        <color indexed="8"/>
        <rFont val="Times New Roman"/>
        <family val="1"/>
        <charset val="204"/>
      </rPr>
      <t xml:space="preserve"> полугодие 2026-2027 учебного года</t>
    </r>
  </si>
  <si>
    <t>49.03.04 Спорт, Профиль (направленность):  Спортивная подготовка по виду спорта «баскетбол». Педагогическая деятельность в области физической культуры и спорта; Спортивная подготовка по виду спорта «волейбол». Педагогическая деятельность в области физической культуры и спорта; Спортивная подготовка по видам спорта «гандбол», «бейсбол», «регби». Педагогическая деятельность в области физической культуры и спорта;  Спортивная подготовка по виду спорта «компьютерный спорт». Педагогическая деятельность в области физической культуры и спорта; Спортивная подготовка по виду спорта «теннис». Педагогическая деятельность в области физической культуры и спорта; Спортивная подготовка по виду спорта «хоккей». Педагогическая деятельность в области физической культуры и спорта; Спортивная подготовка по виду спорта «футбол». Педагогическая деятельность в области физической культуры и спорта; Спортивная подготовка по видам спорта "настольный теннис", "бадминтон", "бильярд". Педагогическая деятельность в области физической культуры и спорта; Спортивная подготовка по виду спорта «гонки дронов (беспилотных воздушных судов)». Педагогическая деятельность в области физической культуры и спорта; уровень образования бакалавриат</t>
  </si>
  <si>
    <t>Теория и методика баскетбола, профессионально-спортивное совершенствование, методика реализации программ дополнительного образования в области физической культуры и спорта (баскетбол)</t>
  </si>
  <si>
    <t>Теория и методика  настольного тенниса, бадминтона, бильярда, профессионально-спортивное совершенствование, методика реализации программ дополнительного образования в области физической культуры и спорта  (настольный теннис,  бадминтон, бильярд)</t>
  </si>
  <si>
    <t>Теория и методика волейбола, профессионально-спортивное совершенствование, методика реализации программ дополнительного образования в области физической культуры и спорта (волейбол)</t>
  </si>
  <si>
    <t>230СК, 54СК</t>
  </si>
  <si>
    <t>Теория и методика гандбол, бейсбол, регби, профессионально-спортивное совершенствование, методика реализации программ дополнительного образования в области физической культуры и спорта (гандбол, бейсбол, регби)</t>
  </si>
  <si>
    <t>Теория и методика гонок дронов (беспилотных воздушных судов), профессионально-спортивное совершенствование, методика реализации программ дополнительного образования в области физической культуры и спорта (гонки дронов (беспилотных воздушных судов)</t>
  </si>
  <si>
    <t>Теория и методика тенниса, профессионально-спортивное совершенствование,, методика реализации программ дополнительного образования в области физической культуры и спорта (теннис)</t>
  </si>
  <si>
    <t>Теория и методика футбола, профессионально-спортивное совершенствование, методика реализации программ дополнительного образования в области физической культуры и спорта (футбол)</t>
  </si>
  <si>
    <t>Теория и методика хоккея, профессионально-спортивное совершенствование, методика реализации программ дополнительного образования в области физической культуры и спорта (хоккей)</t>
  </si>
  <si>
    <t>Теория и методика компьютерного спорта, профессионально-спортивное совершенствование, методика реализации программ дополнительного образования в области физической культуры и спорта (компьютерный спорт)</t>
  </si>
  <si>
    <t>01.09-26.12</t>
  </si>
  <si>
    <r>
      <rPr>
        <b/>
        <sz val="24"/>
        <rFont val="Times New Roman"/>
        <family val="1"/>
        <charset val="204"/>
      </rPr>
      <t xml:space="preserve">49.03.04 Спорт, Профиль (направленность):  </t>
    </r>
    <r>
      <rPr>
        <sz val="24"/>
        <rFont val="Times New Roman"/>
        <family val="1"/>
        <charset val="204"/>
      </rPr>
      <t>Спортивная подготовка по виду спорта «баскетбол». Педагогическая деятельность в области физической культуры и спорта; Спортивная подготовка по виду спорта «волейбол». Педагогическая деятельность в области физической культуры и спорта; Спортивная подготовка по видам спорта «гандбол», «бейсбол», «регби». Педагогическая деятельность в области физической культуры и спорта;  Спортивная подготовка по виду спорта «компьютерный спорт». Педагогическая деятельность в области физической культуры и спорта; Спортивная подготовка по виду спорта «теннис». Педагогическая деятельность в области физической культуры и спорта; Спортивная подготовка по виду спорта «хоккей». Педагогическая деятельность в области физической культуры и спорта; Спортивная подготовка по виду спорта «футбол». Педагогическая деятельность в области физической культуры и спорта; Спортивная подготовка по видам спорта "настольный теннис", "бадминтон", "бильярд". Педагогическая деятельность в области физической культуры и спорта; Спортивная подготовка по виду спорта «гонки дронов (беспилотных воздушных судов)». Педагогическая деятельность в области физической культуры и спорта;</t>
    </r>
    <r>
      <rPr>
        <b/>
        <sz val="24"/>
        <rFont val="Times New Roman"/>
        <family val="1"/>
        <charset val="204"/>
      </rPr>
      <t xml:space="preserve"> уровень образования бакалавриат</t>
    </r>
  </si>
  <si>
    <t>Л. Теория и методика волейбола, компьютерного спорта, гонок дронов  Прил.1</t>
  </si>
  <si>
    <t>Физиология человека</t>
  </si>
  <si>
    <t>24/56</t>
  </si>
  <si>
    <t>Педагогика физической культуры и спорта</t>
  </si>
  <si>
    <t>Теория и методика физической культуры</t>
  </si>
  <si>
    <t>20/18</t>
  </si>
  <si>
    <t>*Л. Физиология человека*</t>
  </si>
  <si>
    <t>*Пр. Физиология человека*</t>
  </si>
  <si>
    <t>*Л. Педагогика физической культуры и спорта*</t>
  </si>
  <si>
    <t>*Пр. Педагогика физической культуры и спорта*</t>
  </si>
  <si>
    <t>*Л.  Теория и методика физической культуры*</t>
  </si>
  <si>
    <t>*Пр.  Теория и методика физической культуры*</t>
  </si>
  <si>
    <t>10/70</t>
  </si>
  <si>
    <t>Плавание</t>
  </si>
  <si>
    <t>4/60</t>
  </si>
  <si>
    <t>Подвижные игры в спорте и образовании</t>
  </si>
  <si>
    <t>2/30</t>
  </si>
  <si>
    <t>*Л. Плавание*</t>
  </si>
  <si>
    <t>*Пр. Плавание*</t>
  </si>
  <si>
    <t>*Л. Подвижные игры в спорте и образовании*</t>
  </si>
  <si>
    <t>*Пр. Подвижные игры в спорте и образовании*</t>
  </si>
  <si>
    <t>Самооборона (самбо)</t>
  </si>
  <si>
    <t>Методика реализации программ дополнительного образования в области физической культуры и спорта</t>
  </si>
  <si>
    <t>6/22</t>
  </si>
  <si>
    <t>Методика преподавания предмета "физическая культура" в образовательных организациях</t>
  </si>
  <si>
    <t>*Л. Самооборона (самбо)*</t>
  </si>
  <si>
    <t>*Пр. Самооборона (самбо)*</t>
  </si>
  <si>
    <t>*Л. Методика реализации программ*</t>
  </si>
  <si>
    <t>*Пр. Методика реализации программ*</t>
  </si>
  <si>
    <t>*Л. Методика преподавания*</t>
  </si>
  <si>
    <t>*Пр. Методика преподавания*</t>
  </si>
  <si>
    <t>Элективные дисциплины по ФКиС: Фехтование</t>
  </si>
  <si>
    <t>*Л. Элективные дисциплины по ФКиС: Фехтование*</t>
  </si>
  <si>
    <t>*Пр. Элективные дисциплины по ФКиС: Фехтование*</t>
  </si>
  <si>
    <t>П - Крутских В.В., Руссу А.А.</t>
  </si>
  <si>
    <t>Л, П - Чигров А.С.</t>
  </si>
  <si>
    <t>П - Чигров А.С.</t>
  </si>
  <si>
    <t>Л, П - Барыбин Д.А.</t>
  </si>
  <si>
    <t>Л - Барыбин Д.А.</t>
  </si>
  <si>
    <t>П - Барыбин Д.А.</t>
  </si>
  <si>
    <t xml:space="preserve">Л - Никитина С.М. </t>
  </si>
  <si>
    <t>Шакина Е.Е., Чистова Н.А.</t>
  </si>
  <si>
    <t>Л - Цакаев С.Ш.</t>
  </si>
  <si>
    <t>Цакаев С.Ш., Германов Г.Н.</t>
  </si>
  <si>
    <t>Цакаев С.Ш.</t>
  </si>
  <si>
    <t xml:space="preserve">Л - Дробышевская Н.В. </t>
  </si>
  <si>
    <t>Дробышевская Н.В., Салахудинова Е.С.</t>
  </si>
  <si>
    <t xml:space="preserve">Дробышевская Н.В. </t>
  </si>
  <si>
    <t xml:space="preserve">Л -   Фурукина М.С. </t>
  </si>
  <si>
    <t xml:space="preserve">П -   Фурукина М.С. </t>
  </si>
  <si>
    <t>Л - Ширяева Т.П.</t>
  </si>
  <si>
    <t>Белицкая Л.А., Колесник О.В.</t>
  </si>
  <si>
    <t>Белицкая Л.А., Андреева А.М.</t>
  </si>
  <si>
    <t>Ширяева Т.П., Андреева А.М.</t>
  </si>
  <si>
    <t>Колесник О.В.</t>
  </si>
  <si>
    <t>Белицкая Л.А., Ширяева Т.П.</t>
  </si>
  <si>
    <t>Л - Лаптев А.И.</t>
  </si>
  <si>
    <t>П - Лаптев А.И.</t>
  </si>
  <si>
    <t>П - Шабанова А.В. (18ч), Карпов Г.А. (18ч)</t>
  </si>
  <si>
    <t>П - Ракитина М.А.</t>
  </si>
  <si>
    <t>Л -  Шалыгин Д.А., Беляков А.К.</t>
  </si>
  <si>
    <t>П - Лексаков А.В., Шалыгин Д.А., Макеев П.В., Беляков А.К.</t>
  </si>
  <si>
    <t>Л -  Шалыгин Д.А.</t>
  </si>
  <si>
    <t xml:space="preserve">Л - Моисеев А.Б. </t>
  </si>
  <si>
    <t>Моисеев А.Б., Полишките К.</t>
  </si>
  <si>
    <t>Махмудов М.М., Марянян С.А.</t>
  </si>
  <si>
    <t>Махмудов М.М., Иванченко М.М.</t>
  </si>
  <si>
    <t>Марянян С.А.</t>
  </si>
  <si>
    <t>Попов Д.В., Иванченко М.М.</t>
  </si>
  <si>
    <t>Л - Иванченко М.М.</t>
  </si>
  <si>
    <t>Шакина Е.Е.</t>
  </si>
  <si>
    <t>Никитина С.М. , Павлова Т.Н.</t>
  </si>
  <si>
    <t>Л - Мачканова Е.В.</t>
  </si>
  <si>
    <t>Мачканова Е.В.</t>
  </si>
  <si>
    <t>Гасанова-Матвеева З.А.</t>
  </si>
  <si>
    <t>Трунева Т.В.</t>
  </si>
  <si>
    <t>224СК, 238СК, ауд.№ 9-10СК</t>
  </si>
  <si>
    <t>понедельник: 15 МБК, 223СК, Модуль Д;   четверг: 15 МБК, 223СК</t>
  </si>
  <si>
    <t>Пр. Теория и методика баскетбола, гандбола, бейсбола, регби Прил.1</t>
  </si>
  <si>
    <t>Пр. Теория и методика волейбола, компьютерного спорта, гонок дронов  Прил.1</t>
  </si>
  <si>
    <t>Пр. Теория и методика тенниса, настольного тенниса, бадминтона, бильярда Прил.1</t>
  </si>
  <si>
    <t>Пр. Теория и методика футбола  Прил.1</t>
  </si>
  <si>
    <t>Пр. Теория и методика хоккея Прил.1</t>
  </si>
  <si>
    <t>Л. Физиология человека Ширяева Т.П. 212 ауд.к.</t>
  </si>
  <si>
    <t>Л. Педагогика физической культуры и спорта Цакаев С.Ш. 212 ауд.к.</t>
  </si>
  <si>
    <t>Л. Плавание Никитина С.М.  220 ауд.к.</t>
  </si>
  <si>
    <t>Л. Физиология человека Ширяева Т.П. 161 мбк</t>
  </si>
  <si>
    <t>Л. Подвижные игры в спорте и образовании Дробышевская Н.В.  161 мбк</t>
  </si>
  <si>
    <t>Л. Самооборона (самбо) Иванченко М.М. 161 мбк</t>
  </si>
  <si>
    <t>Пр. Физиология человека Белицкая Л.А. 234мбк, Колесник О.В. 254мбк</t>
  </si>
  <si>
    <t>Пр. Физиология человека Белицкая Л.А. 234мбк, Колесник О.В. 238мбк</t>
  </si>
  <si>
    <t>Пр. Физиология человека Белицкая Л.А. 234мбк, Ширяева Т.П. 254мбк</t>
  </si>
  <si>
    <t>Пр. Физиология человека Колесник О.В. 254мбк</t>
  </si>
  <si>
    <t>Пр. Физиология человека Белицкая Л.А. 240мбк, Андреева А.М. 238мбк</t>
  </si>
  <si>
    <t>Пр. Физиология человека Белицкая Л.А. 237мбк, Андреева А.М. 238мбк</t>
  </si>
  <si>
    <t>Пр. Физиология человека Ширяева Т.П. 254мбк, Андреева А.М. 234мбк</t>
  </si>
  <si>
    <t>Л. Методика преподавания предмета "физическая культура" в образовательных организациях Мачканова Е.В. 212 ауд.к.</t>
  </si>
  <si>
    <t>Пр. Плавание Шакина Е.Е., Чистова Н.А. бассейн УСЗК</t>
  </si>
  <si>
    <t>Пр. Плавание Шакина Е.Е. бассейн УСЗК</t>
  </si>
  <si>
    <t>Пр. Плавание Никитина С.М. , Павлова Т.Н. бассейн УСЗК</t>
  </si>
  <si>
    <t>Пр. Подвижные игры в спорте и образовании Дробышевская Н.В., Салахудинова Е.С. Модуль Б</t>
  </si>
  <si>
    <t>Пр. Подвижные игры в спорте и образовании Дробышевская Н.В.  Модуль Б</t>
  </si>
  <si>
    <t>Пр. Самооборона (самбо) Махмудов М.М., Марянян С.А. 14СК</t>
  </si>
  <si>
    <t>Пр. Самооборона (самбо) Махмудов М.М., Иванченко М.М. 14СК</t>
  </si>
  <si>
    <t>Пр. Самооборона (самбо) Марянян С.А. 14СК</t>
  </si>
  <si>
    <t>Пр. Самооборона (самбо) Попов Д.В., Иванченко М.М. 27СК</t>
  </si>
  <si>
    <t>Пр. Теория и методика гандбола, бейсбола, регби Прил.1</t>
  </si>
  <si>
    <t>Пр.  Теория и методика баскетбола Прил.1</t>
  </si>
  <si>
    <t>Методика реализации программ дополнительного образования в области ФКиС - Методика реализации программ дополнительного образования в области физической культуры и спорта</t>
  </si>
  <si>
    <t>Л. Методика реализации программ дополнительного образования в области ФКиС Прил.1</t>
  </si>
  <si>
    <t>Пр. Теория и методика волейбола, гонок дронов  Прил.1; Л. Методика реализации программ дополнительного образования в области ФКиС: компьютерный спорт Прил.1</t>
  </si>
  <si>
    <t>Пр.  Теория и методика компьютерного спорта  Прил.1; Л.  Методика реализации программ дополнительного образования в области ФКиС: волейбол, гонки дронов Прил.1</t>
  </si>
  <si>
    <t>Пр. Методика реализации программ дополнительного образования в области ФКиС Прил.1</t>
  </si>
  <si>
    <t>Пр. Теория и методика волейбола, гонок дронов  Прил.1; Пр. Методика реализации программ дополнительного образования в области ФКиС: компьютерный спорт Прил.1</t>
  </si>
  <si>
    <t>Пр.  Теория и методика компьютерного спорта  Прил.1; Пр.  Методика реализации программ дополнительного образования в области ФКиС: волейбол, гонки дронов Прил.1</t>
  </si>
  <si>
    <t>Л.  Теория и методика физической культуры Мачканова Е.В. 212 ауд.к.</t>
  </si>
  <si>
    <t>Полишките К.</t>
  </si>
  <si>
    <t>Пр. Элективные дисциплины по ФКиС: Фехтование Моисеев А.Б., Полишките К. 231СК, 246СК</t>
  </si>
  <si>
    <t>Пр. Элективные дисциплины по ФКиС: Фехтование Полишките К. 231СК, 246СК</t>
  </si>
  <si>
    <t>Л. Теория и методика волейбола, гонок дронов  Прил.1; Л. Методика реализации программ дополнительного образования в области ФКиС: компьютерный спорт Прил.1</t>
  </si>
  <si>
    <t>Л.  Теория и методика компьютерного спорта  Прил.1; Л.  Методика реализации программ дополнительного образования в области ФКиС: волейбол, гонки дронов Прил.1</t>
  </si>
  <si>
    <t>Л. Теория и методика гандбола, бейсбола, регби Прил.1</t>
  </si>
  <si>
    <t>Л.  Теория и методика баскетбола Прил.1</t>
  </si>
  <si>
    <t>Колесов А.Д., Павлова Т.Н.</t>
  </si>
  <si>
    <t>Пр. Плавание Колесов А.Д., Павлова Т.Н. бассейн УСЗК</t>
  </si>
  <si>
    <t>Пр. Плавание Колесов А.Д., Павлова Т.Н.. бассейн УСЗК</t>
  </si>
  <si>
    <t>Никитина С.М., Шакина Е.Е.</t>
  </si>
  <si>
    <t>Пр. Плавание Никитина С.М., Шакина Е.Е. бассейн УСЗК</t>
  </si>
  <si>
    <t>Пр. Физиология человека Белицкая Л.А. 234мбк, Ширяева Т.П. 238 мбк</t>
  </si>
  <si>
    <t>Пр. Физиология человека Ширяева Т.П. 237 мбк, Андреева А.М. 234мбк</t>
  </si>
  <si>
    <t xml:space="preserve"> с 09.09 ПСС хоккей Ледовая площадка в УСЗК</t>
  </si>
  <si>
    <t>ПСС гандбол 07.09 - 01.10 арена УСЗК / каб. 12 УСЗК</t>
  </si>
  <si>
    <t>ПСС теннис 08.09-10.11            корт 1 и 2</t>
  </si>
  <si>
    <t>П - Лаптев С.О., Лапшин Н.А., Чернов С.В.</t>
  </si>
  <si>
    <t>ПСС баскетбол 224СК</t>
  </si>
  <si>
    <t>Л. Теория и методика баскетбола Прил.1</t>
  </si>
  <si>
    <t>Л.  Теория и методика гандбола, бейсбола, регби Прил.1</t>
  </si>
  <si>
    <t>Пр. Теория и методика баскетбола Прил.1</t>
  </si>
  <si>
    <t>Пр.  Теория и методика гандбола, бейсбола, регби Прил.1</t>
  </si>
  <si>
    <t>ПСС Волейбол 18.00-19.30 230СК, 54СК</t>
  </si>
  <si>
    <t>ПСС компьютерный спорт 228 гл.к.</t>
  </si>
  <si>
    <t>ПСС гонки дронов 20.20-21.00- 228 гл.к., 21.00-21.50 - л/а манеж</t>
  </si>
  <si>
    <t>Дробышевская Н.В., Кузьмичева Е.В.</t>
  </si>
  <si>
    <t>Пр. Подвижные игры в спорте и образовании Дробышевская Н.В., Кузьмичева Е.В. Модуль Б</t>
  </si>
  <si>
    <t>Пр.  Теория и методика физической культуры Мачканова Е.В. 306 гл.к.</t>
  </si>
  <si>
    <t>Пр.  Теория и методика физической культуры Мачканова Е.В. 406ауд.к.</t>
  </si>
  <si>
    <t>Пр. Педагогика физической культуры и спорта Цакаев С.Ш. 417мбк, Германов Г.Н. 445мбк</t>
  </si>
  <si>
    <t>Пр. Педагогика физической культуры и спорта Цакаев С.Ш. 419мбк</t>
  </si>
  <si>
    <t>Пр. Методика преподавания предмета "физическая культура" в образовательных организациях Гасанова-Матвеева З.А. 309 гл.к.</t>
  </si>
  <si>
    <t>Пр.  Теория и методика физической культуры Мачканова Е.В.  308 гл.к.</t>
  </si>
  <si>
    <t>Пр. Методика преподавания предмета "физическая культура" в образовательных организациях Трунева Т.В. 306 гл.к.</t>
  </si>
  <si>
    <t>Пр. Методика преподавания предмета "физическая культура" в образовательных организациях Трунева Т.В. 308 гл.к.</t>
  </si>
  <si>
    <t>Пр. Методика преподавания предмета "физическая культура" в образовательных организациях Гасанова-Матвеева З.А. 306 гл.к.</t>
  </si>
  <si>
    <t>Л. Педагогика физической культуры и спорта Цакаев С.Ш. 216 ауд.к.</t>
  </si>
  <si>
    <t>Л. Элективные дисциплины по ФКиС: Фехтование Моисеев А.Б. 216 ауд.к.</t>
  </si>
  <si>
    <t>Пр. Педагогика физической культуры и спорта Цакаев С.Ш. 439мбк</t>
  </si>
  <si>
    <t>Пр. Педагогика физической культуры и спорта Цакаев С.Ш. 516мбк</t>
  </si>
  <si>
    <t>П - Каменев А.В., Сорокин С.А., Чернов С.В.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</si>
</sst>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&quot;р.&quot;_-;\-* #,##0.00&quot;р.&quot;_-;_-* &quot;-&quot;??&quot;р.&quot;_-;_-@_-"/>
  </numFmts>
  <fonts count="72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color indexed="8"/>
      <name val="Times New Roman"/>
      <family val="1"/>
      <charset val="204"/>
    </font>
    <font>
      <sz val="8"/>
      <name val="Calibri"/>
      <family val="2"/>
      <charset val="204"/>
    </font>
    <font>
      <sz val="12"/>
      <color indexed="8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u/>
      <sz val="16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sz val="18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8"/>
      <color indexed="8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8"/>
      <color rgb="FF000000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b/>
      <sz val="1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sz val="20"/>
      <color indexed="8"/>
      <name val="Times New Roman"/>
      <family val="1"/>
      <charset val="204"/>
    </font>
    <font>
      <sz val="20"/>
      <color theme="1"/>
      <name val="Times New Roman"/>
      <family val="1"/>
      <charset val="204"/>
    </font>
    <font>
      <sz val="20"/>
      <color rgb="FF000000"/>
      <name val="Times New Roman"/>
      <family val="1"/>
      <charset val="204"/>
    </font>
    <font>
      <sz val="20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b/>
      <sz val="20"/>
      <name val="Times New Roman"/>
      <family val="1"/>
      <charset val="204"/>
    </font>
    <font>
      <b/>
      <sz val="16"/>
      <name val="Arial Cyr"/>
      <charset val="204"/>
    </font>
    <font>
      <sz val="18"/>
      <name val="Times New Roman"/>
      <family val="1"/>
      <charset val="204"/>
    </font>
    <font>
      <b/>
      <sz val="24"/>
      <name val="Times New Roman"/>
      <family val="1"/>
      <charset val="204"/>
    </font>
    <font>
      <sz val="2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24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sz val="22"/>
      <color indexed="8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20"/>
      <color indexed="8"/>
      <name val="Calibri"/>
      <family val="2"/>
      <charset val="204"/>
    </font>
    <font>
      <b/>
      <sz val="24"/>
      <color rgb="FF00000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u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22"/>
      <name val="Times New Roman"/>
      <family val="1"/>
      <charset val="204"/>
    </font>
    <font>
      <sz val="22"/>
      <name val="Times New Roman"/>
      <family val="1"/>
      <charset val="204"/>
    </font>
    <font>
      <sz val="22"/>
      <color rgb="FF000000"/>
      <name val="Times New Roman"/>
      <family val="1"/>
      <charset val="204"/>
    </font>
    <font>
      <sz val="26"/>
      <color theme="1"/>
      <name val="Times New Roman"/>
      <family val="1"/>
      <charset val="204"/>
    </font>
    <font>
      <sz val="26"/>
      <color indexed="8"/>
      <name val="Times New Roman"/>
      <family val="1"/>
      <charset val="204"/>
    </font>
    <font>
      <sz val="24"/>
      <color theme="1"/>
      <name val="Times New Roman"/>
      <family val="1"/>
      <charset val="204"/>
    </font>
    <font>
      <b/>
      <sz val="28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36"/>
      <color indexed="8"/>
      <name val="Times New Roman"/>
      <family val="1"/>
      <charset val="204"/>
    </font>
    <font>
      <sz val="22"/>
      <color theme="1"/>
      <name val="Calibri"/>
      <family val="2"/>
      <charset val="204"/>
      <scheme val="minor"/>
    </font>
    <font>
      <sz val="22"/>
      <color indexed="8"/>
      <name val="Calibri"/>
      <family val="2"/>
      <charset val="204"/>
    </font>
    <font>
      <sz val="22"/>
      <color indexed="10"/>
      <name val="Calibri"/>
      <family val="2"/>
      <charset val="204"/>
    </font>
    <font>
      <b/>
      <sz val="20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6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22"/>
      <color rgb="FFFF0000"/>
      <name val="Times New Roman"/>
      <family val="1"/>
      <charset val="204"/>
    </font>
    <font>
      <sz val="24"/>
      <color indexed="8"/>
      <name val="Times New Roman"/>
      <family val="1"/>
      <charset val="204"/>
    </font>
    <font>
      <b/>
      <u/>
      <sz val="24"/>
      <name val="Times New Roman"/>
      <family val="1"/>
      <charset val="204"/>
    </font>
    <font>
      <sz val="24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sz val="22"/>
      <color rgb="FFFF0000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0070C0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9" fillId="6" borderId="0" applyNumberFormat="0" applyBorder="0" applyAlignment="0" applyProtection="0"/>
    <xf numFmtId="164" fontId="37" fillId="0" borderId="0" applyFont="0" applyFill="0" applyBorder="0" applyAlignment="0" applyProtection="0"/>
    <xf numFmtId="0" fontId="37" fillId="0" borderId="0"/>
  </cellStyleXfs>
  <cellXfs count="835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Border="1"/>
    <xf numFmtId="0" fontId="0" fillId="0" borderId="10" xfId="0" applyBorder="1" applyAlignment="1">
      <alignment wrapText="1"/>
    </xf>
    <xf numFmtId="0" fontId="2" fillId="0" borderId="0" xfId="0" applyFont="1" applyAlignment="1">
      <alignment wrapText="1"/>
    </xf>
    <xf numFmtId="0" fontId="12" fillId="0" borderId="0" xfId="0" applyFont="1" applyBorder="1"/>
    <xf numFmtId="0" fontId="13" fillId="4" borderId="0" xfId="0" applyFont="1" applyFill="1" applyBorder="1" applyAlignment="1">
      <alignment wrapText="1"/>
    </xf>
    <xf numFmtId="0" fontId="13" fillId="0" borderId="0" xfId="0" applyFont="1" applyBorder="1" applyAlignment="1">
      <alignment vertical="center" wrapText="1"/>
    </xf>
    <xf numFmtId="0" fontId="14" fillId="0" borderId="0" xfId="0" applyFont="1"/>
    <xf numFmtId="0" fontId="14" fillId="0" borderId="0" xfId="0" applyFont="1" applyBorder="1"/>
    <xf numFmtId="0" fontId="16" fillId="4" borderId="0" xfId="0" applyFont="1" applyFill="1" applyBorder="1" applyAlignment="1">
      <alignment wrapText="1"/>
    </xf>
    <xf numFmtId="0" fontId="16" fillId="0" borderId="0" xfId="0" applyFont="1" applyBorder="1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vertical="center" wrapText="1"/>
    </xf>
    <xf numFmtId="0" fontId="15" fillId="0" borderId="2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12" fillId="0" borderId="0" xfId="0" applyFont="1" applyFill="1"/>
    <xf numFmtId="0" fontId="12" fillId="0" borderId="0" xfId="0" applyFont="1"/>
    <xf numFmtId="0" fontId="12" fillId="0" borderId="10" xfId="0" applyFont="1" applyFill="1" applyBorder="1"/>
    <xf numFmtId="0" fontId="4" fillId="3" borderId="10" xfId="0" applyFont="1" applyFill="1" applyBorder="1" applyAlignment="1">
      <alignment horizontal="center" vertical="center"/>
    </xf>
    <xf numFmtId="0" fontId="12" fillId="5" borderId="10" xfId="0" applyFont="1" applyFill="1" applyBorder="1"/>
    <xf numFmtId="0" fontId="4" fillId="5" borderId="10" xfId="0" applyFont="1" applyFill="1" applyBorder="1" applyAlignment="1">
      <alignment horizontal="center" vertical="center"/>
    </xf>
    <xf numFmtId="0" fontId="19" fillId="6" borderId="0" xfId="2"/>
    <xf numFmtId="0" fontId="7" fillId="4" borderId="7" xfId="0" applyFont="1" applyFill="1" applyBorder="1" applyAlignment="1">
      <alignment horizontal="left" vertical="center" wrapText="1"/>
    </xf>
    <xf numFmtId="0" fontId="11" fillId="4" borderId="3" xfId="0" applyFont="1" applyFill="1" applyBorder="1" applyAlignment="1">
      <alignment horizontal="left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left" vertical="center"/>
    </xf>
    <xf numFmtId="0" fontId="0" fillId="0" borderId="15" xfId="0" applyBorder="1" applyAlignment="1">
      <alignment wrapText="1"/>
    </xf>
    <xf numFmtId="0" fontId="10" fillId="0" borderId="0" xfId="0" applyFont="1" applyAlignment="1"/>
    <xf numFmtId="0" fontId="8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vertical="center"/>
    </xf>
    <xf numFmtId="0" fontId="18" fillId="0" borderId="0" xfId="0" applyFont="1"/>
    <xf numFmtId="0" fontId="11" fillId="0" borderId="10" xfId="0" applyFont="1" applyFill="1" applyBorder="1"/>
    <xf numFmtId="0" fontId="9" fillId="0" borderId="0" xfId="0" applyFont="1" applyAlignment="1">
      <alignment vertical="center"/>
    </xf>
    <xf numFmtId="0" fontId="5" fillId="2" borderId="0" xfId="0" applyFont="1" applyFill="1" applyBorder="1" applyAlignment="1"/>
    <xf numFmtId="0" fontId="6" fillId="2" borderId="0" xfId="0" applyFont="1" applyFill="1" applyBorder="1" applyAlignment="1"/>
    <xf numFmtId="0" fontId="7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18" fillId="0" borderId="0" xfId="0" applyFont="1" applyFill="1"/>
    <xf numFmtId="0" fontId="11" fillId="0" borderId="0" xfId="0" applyFont="1" applyFill="1"/>
    <xf numFmtId="0" fontId="5" fillId="0" borderId="5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justify" wrapText="1"/>
    </xf>
    <xf numFmtId="0" fontId="5" fillId="0" borderId="2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17" xfId="0" applyFont="1" applyFill="1" applyBorder="1" applyAlignment="1">
      <alignment horizontal="center" vertical="justify" wrapText="1"/>
    </xf>
    <xf numFmtId="0" fontId="27" fillId="0" borderId="25" xfId="0" applyFont="1" applyFill="1" applyBorder="1" applyAlignment="1">
      <alignment horizontal="center" vertical="center" wrapText="1"/>
    </xf>
    <xf numFmtId="0" fontId="27" fillId="0" borderId="12" xfId="0" applyFont="1" applyFill="1" applyBorder="1" applyAlignment="1">
      <alignment horizontal="center" vertical="center" wrapText="1"/>
    </xf>
    <xf numFmtId="0" fontId="27" fillId="0" borderId="13" xfId="0" applyFont="1" applyFill="1" applyBorder="1" applyAlignment="1">
      <alignment horizontal="center" vertical="center" wrapText="1"/>
    </xf>
    <xf numFmtId="0" fontId="27" fillId="0" borderId="26" xfId="0" applyFont="1" applyFill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7" fillId="0" borderId="27" xfId="0" applyFont="1" applyFill="1" applyBorder="1" applyAlignment="1">
      <alignment horizontal="center" vertical="center" wrapText="1"/>
    </xf>
    <xf numFmtId="0" fontId="27" fillId="0" borderId="10" xfId="0" applyFont="1" applyFill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 wrapText="1"/>
    </xf>
    <xf numFmtId="0" fontId="21" fillId="0" borderId="10" xfId="0" applyFont="1" applyFill="1" applyBorder="1"/>
    <xf numFmtId="0" fontId="5" fillId="7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top" wrapText="1"/>
    </xf>
    <xf numFmtId="0" fontId="20" fillId="0" borderId="3" xfId="0" applyFont="1" applyFill="1" applyBorder="1" applyAlignment="1">
      <alignment horizontal="center" vertical="top" wrapText="1"/>
    </xf>
    <xf numFmtId="0" fontId="20" fillId="0" borderId="7" xfId="0" applyFont="1" applyFill="1" applyBorder="1" applyAlignment="1">
      <alignment horizontal="center" vertical="justify" wrapText="1"/>
    </xf>
    <xf numFmtId="0" fontId="27" fillId="0" borderId="5" xfId="0" applyFont="1" applyFill="1" applyBorder="1" applyAlignment="1">
      <alignment horizontal="center" vertical="top" wrapText="1"/>
    </xf>
    <xf numFmtId="0" fontId="27" fillId="0" borderId="3" xfId="0" applyFont="1" applyFill="1" applyBorder="1" applyAlignment="1">
      <alignment horizontal="center" vertical="top" wrapText="1"/>
    </xf>
    <xf numFmtId="0" fontId="27" fillId="0" borderId="7" xfId="0" applyFont="1" applyFill="1" applyBorder="1" applyAlignment="1">
      <alignment horizontal="center" vertical="justify" wrapText="1"/>
    </xf>
    <xf numFmtId="0" fontId="22" fillId="0" borderId="10" xfId="0" applyFont="1" applyFill="1" applyBorder="1"/>
    <xf numFmtId="0" fontId="20" fillId="7" borderId="10" xfId="0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24" fillId="0" borderId="0" xfId="0" applyFont="1" applyFill="1"/>
    <xf numFmtId="0" fontId="20" fillId="0" borderId="23" xfId="0" applyFont="1" applyFill="1" applyBorder="1" applyAlignment="1">
      <alignment horizontal="center" vertical="top" wrapText="1"/>
    </xf>
    <xf numFmtId="0" fontId="20" fillId="0" borderId="4" xfId="0" applyFont="1" applyFill="1" applyBorder="1" applyAlignment="1">
      <alignment horizontal="center" vertical="top" wrapText="1"/>
    </xf>
    <xf numFmtId="0" fontId="20" fillId="0" borderId="17" xfId="0" applyFont="1" applyFill="1" applyBorder="1" applyAlignment="1">
      <alignment horizontal="center" vertical="justify" wrapText="1"/>
    </xf>
    <xf numFmtId="0" fontId="27" fillId="0" borderId="39" xfId="0" applyFont="1" applyFill="1" applyBorder="1" applyAlignment="1">
      <alignment horizontal="center" vertical="center" wrapText="1"/>
    </xf>
    <xf numFmtId="0" fontId="27" fillId="0" borderId="40" xfId="0" applyFont="1" applyFill="1" applyBorder="1" applyAlignment="1">
      <alignment horizontal="center" vertical="center" wrapText="1"/>
    </xf>
    <xf numFmtId="0" fontId="27" fillId="0" borderId="23" xfId="0" applyFont="1" applyFill="1" applyBorder="1" applyAlignment="1">
      <alignment horizontal="center" vertical="top" wrapText="1"/>
    </xf>
    <xf numFmtId="0" fontId="27" fillId="0" borderId="4" xfId="0" applyFont="1" applyFill="1" applyBorder="1" applyAlignment="1">
      <alignment horizontal="center" vertical="top" wrapText="1"/>
    </xf>
    <xf numFmtId="0" fontId="27" fillId="0" borderId="17" xfId="0" applyFont="1" applyFill="1" applyBorder="1" applyAlignment="1">
      <alignment horizontal="center" vertical="justify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left" vertical="center" wrapText="1"/>
    </xf>
    <xf numFmtId="0" fontId="5" fillId="4" borderId="10" xfId="0" applyNumberFormat="1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center" vertical="center" wrapText="1"/>
    </xf>
    <xf numFmtId="0" fontId="21" fillId="4" borderId="27" xfId="0" applyFont="1" applyFill="1" applyBorder="1" applyAlignment="1">
      <alignment horizontal="left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textRotation="90" wrapText="1"/>
    </xf>
    <xf numFmtId="0" fontId="5" fillId="4" borderId="10" xfId="0" applyFont="1" applyFill="1" applyBorder="1" applyAlignment="1">
      <alignment horizontal="left" vertical="center" wrapText="1"/>
    </xf>
    <xf numFmtId="0" fontId="21" fillId="4" borderId="27" xfId="0" applyFont="1" applyFill="1" applyBorder="1" applyAlignment="1">
      <alignment horizontal="center" vertical="center" wrapText="1"/>
    </xf>
    <xf numFmtId="0" fontId="5" fillId="4" borderId="27" xfId="0" applyNumberFormat="1" applyFont="1" applyFill="1" applyBorder="1" applyAlignment="1">
      <alignment horizontal="center" vertical="center" wrapText="1"/>
    </xf>
    <xf numFmtId="0" fontId="5" fillId="4" borderId="29" xfId="0" applyFont="1" applyFill="1" applyBorder="1" applyAlignment="1">
      <alignment horizontal="left" vertical="center" wrapText="1"/>
    </xf>
    <xf numFmtId="0" fontId="27" fillId="0" borderId="38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left" vertical="center" wrapText="1"/>
    </xf>
    <xf numFmtId="0" fontId="7" fillId="4" borderId="29" xfId="0" applyFont="1" applyFill="1" applyBorder="1" applyAlignment="1">
      <alignment horizontal="left" vertical="center" wrapText="1"/>
    </xf>
    <xf numFmtId="0" fontId="29" fillId="0" borderId="30" xfId="0" applyFont="1" applyBorder="1" applyAlignment="1">
      <alignment horizontal="center" vertical="center" wrapText="1"/>
    </xf>
    <xf numFmtId="0" fontId="27" fillId="0" borderId="11" xfId="0" applyFont="1" applyFill="1" applyBorder="1" applyAlignment="1">
      <alignment horizontal="center" vertical="top" wrapText="1"/>
    </xf>
    <xf numFmtId="0" fontId="27" fillId="0" borderId="9" xfId="0" applyFont="1" applyFill="1" applyBorder="1" applyAlignment="1">
      <alignment horizontal="center" vertical="top" wrapText="1"/>
    </xf>
    <xf numFmtId="0" fontId="35" fillId="0" borderId="0" xfId="0" applyFont="1" applyAlignment="1">
      <alignment horizontal="center" vertical="center"/>
    </xf>
    <xf numFmtId="0" fontId="27" fillId="0" borderId="32" xfId="0" applyFont="1" applyFill="1" applyBorder="1" applyAlignment="1">
      <alignment horizontal="left" vertical="center" wrapText="1"/>
    </xf>
    <xf numFmtId="0" fontId="24" fillId="0" borderId="28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8" fillId="0" borderId="10" xfId="0" applyFont="1" applyFill="1" applyBorder="1"/>
    <xf numFmtId="0" fontId="27" fillId="7" borderId="10" xfId="0" applyFont="1" applyFill="1" applyBorder="1" applyAlignment="1">
      <alignment horizontal="center" vertical="center"/>
    </xf>
    <xf numFmtId="0" fontId="27" fillId="5" borderId="10" xfId="0" applyFont="1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7" fillId="4" borderId="30" xfId="0" applyFont="1" applyFill="1" applyBorder="1" applyAlignment="1">
      <alignment horizontal="left" vertical="center" wrapText="1"/>
    </xf>
    <xf numFmtId="0" fontId="31" fillId="0" borderId="0" xfId="0" applyFont="1" applyFill="1"/>
    <xf numFmtId="0" fontId="16" fillId="0" borderId="0" xfId="0" applyFont="1" applyBorder="1" applyAlignment="1">
      <alignment horizontal="center" vertical="center" wrapText="1"/>
    </xf>
    <xf numFmtId="0" fontId="16" fillId="4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30" fillId="0" borderId="0" xfId="0" applyFont="1"/>
    <xf numFmtId="0" fontId="31" fillId="0" borderId="0" xfId="0" applyFont="1"/>
    <xf numFmtId="0" fontId="27" fillId="0" borderId="0" xfId="0" applyFont="1"/>
    <xf numFmtId="0" fontId="5" fillId="0" borderId="4" xfId="0" applyFont="1" applyFill="1" applyBorder="1" applyAlignment="1">
      <alignment horizontal="center" vertical="justify" wrapText="1"/>
    </xf>
    <xf numFmtId="0" fontId="5" fillId="0" borderId="17" xfId="0" applyFont="1" applyFill="1" applyBorder="1" applyAlignment="1">
      <alignment horizontal="center" vertical="top" wrapText="1"/>
    </xf>
    <xf numFmtId="0" fontId="5" fillId="0" borderId="37" xfId="0" applyFont="1" applyFill="1" applyBorder="1" applyAlignment="1">
      <alignment horizontal="center" vertical="top" wrapText="1"/>
    </xf>
    <xf numFmtId="0" fontId="5" fillId="0" borderId="41" xfId="0" applyFont="1" applyFill="1" applyBorder="1" applyAlignment="1">
      <alignment horizontal="center" vertical="justify" wrapText="1"/>
    </xf>
    <xf numFmtId="0" fontId="5" fillId="0" borderId="43" xfId="0" applyFont="1" applyFill="1" applyBorder="1" applyAlignment="1">
      <alignment horizontal="center" vertical="justify" wrapText="1"/>
    </xf>
    <xf numFmtId="0" fontId="21" fillId="4" borderId="25" xfId="0" applyFont="1" applyFill="1" applyBorder="1" applyAlignment="1">
      <alignment horizontal="center" vertical="center" wrapText="1"/>
    </xf>
    <xf numFmtId="0" fontId="21" fillId="4" borderId="26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21" fillId="4" borderId="26" xfId="0" applyFont="1" applyFill="1" applyBorder="1" applyAlignment="1">
      <alignment horizontal="left" vertical="center" wrapText="1"/>
    </xf>
    <xf numFmtId="0" fontId="40" fillId="0" borderId="29" xfId="0" applyFont="1" applyFill="1" applyBorder="1" applyAlignment="1">
      <alignment horizontal="left" vertical="center" wrapText="1"/>
    </xf>
    <xf numFmtId="0" fontId="40" fillId="0" borderId="30" xfId="0" applyFont="1" applyFill="1" applyBorder="1" applyAlignment="1">
      <alignment horizontal="left" vertical="center" wrapText="1"/>
    </xf>
    <xf numFmtId="0" fontId="30" fillId="0" borderId="0" xfId="0" applyFont="1" applyAlignment="1"/>
    <xf numFmtId="0" fontId="30" fillId="0" borderId="0" xfId="0" applyFont="1" applyAlignment="1">
      <alignment vertical="top"/>
    </xf>
    <xf numFmtId="0" fontId="26" fillId="0" borderId="0" xfId="0" applyFont="1" applyAlignment="1">
      <alignment wrapText="1"/>
    </xf>
    <xf numFmtId="0" fontId="27" fillId="0" borderId="32" xfId="0" applyFont="1" applyBorder="1" applyAlignment="1">
      <alignment horizontal="center" vertical="center" wrapText="1"/>
    </xf>
    <xf numFmtId="0" fontId="42" fillId="0" borderId="0" xfId="0" applyFont="1"/>
    <xf numFmtId="0" fontId="31" fillId="0" borderId="0" xfId="0" applyFont="1" applyBorder="1"/>
    <xf numFmtId="0" fontId="47" fillId="0" borderId="0" xfId="0" applyFont="1" applyAlignment="1">
      <alignment horizontal="center" vertical="center"/>
    </xf>
    <xf numFmtId="0" fontId="11" fillId="4" borderId="10" xfId="0" applyFont="1" applyFill="1" applyBorder="1" applyAlignment="1">
      <alignment horizontal="left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left" vertical="center" wrapText="1"/>
    </xf>
    <xf numFmtId="0" fontId="11" fillId="4" borderId="12" xfId="0" applyFont="1" applyFill="1" applyBorder="1" applyAlignment="1">
      <alignment horizontal="left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left" vertical="center" wrapText="1"/>
    </xf>
    <xf numFmtId="0" fontId="7" fillId="4" borderId="27" xfId="0" applyFont="1" applyFill="1" applyBorder="1" applyAlignment="1">
      <alignment horizontal="left" vertical="center" wrapText="1"/>
    </xf>
    <xf numFmtId="0" fontId="11" fillId="4" borderId="28" xfId="0" applyFont="1" applyFill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21" fillId="0" borderId="0" xfId="0" applyFont="1" applyFill="1"/>
    <xf numFmtId="0" fontId="5" fillId="4" borderId="31" xfId="0" applyFont="1" applyFill="1" applyBorder="1" applyAlignment="1">
      <alignment horizontal="center" vertical="center" wrapText="1"/>
    </xf>
    <xf numFmtId="0" fontId="5" fillId="4" borderId="32" xfId="0" applyNumberFormat="1" applyFont="1" applyFill="1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 wrapText="1"/>
    </xf>
    <xf numFmtId="0" fontId="5" fillId="4" borderId="26" xfId="0" applyNumberFormat="1" applyFont="1" applyFill="1" applyBorder="1" applyAlignment="1">
      <alignment horizontal="center" vertical="center" wrapText="1"/>
    </xf>
    <xf numFmtId="0" fontId="5" fillId="4" borderId="30" xfId="0" applyFont="1" applyFill="1" applyBorder="1" applyAlignment="1">
      <alignment horizontal="left" vertical="center" wrapText="1"/>
    </xf>
    <xf numFmtId="0" fontId="5" fillId="4" borderId="32" xfId="0" applyFont="1" applyFill="1" applyBorder="1" applyAlignment="1">
      <alignment horizontal="left" vertical="center" wrapText="1"/>
    </xf>
    <xf numFmtId="0" fontId="21" fillId="4" borderId="38" xfId="0" applyFont="1" applyFill="1" applyBorder="1" applyAlignment="1">
      <alignment horizontal="center" vertical="center" wrapText="1"/>
    </xf>
    <xf numFmtId="0" fontId="21" fillId="4" borderId="39" xfId="0" applyFont="1" applyFill="1" applyBorder="1" applyAlignment="1">
      <alignment horizontal="center" vertical="center" wrapText="1"/>
    </xf>
    <xf numFmtId="0" fontId="21" fillId="4" borderId="40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textRotation="90" wrapText="1"/>
    </xf>
    <xf numFmtId="0" fontId="5" fillId="4" borderId="27" xfId="0" applyFont="1" applyFill="1" applyBorder="1" applyAlignment="1">
      <alignment horizontal="left" vertical="center" wrapText="1"/>
    </xf>
    <xf numFmtId="0" fontId="27" fillId="0" borderId="31" xfId="0" applyNumberFormat="1" applyFont="1" applyBorder="1" applyAlignment="1">
      <alignment horizontal="center" vertical="center" wrapText="1"/>
    </xf>
    <xf numFmtId="0" fontId="52" fillId="0" borderId="25" xfId="0" applyFont="1" applyFill="1" applyBorder="1" applyAlignment="1">
      <alignment vertical="center" wrapText="1"/>
    </xf>
    <xf numFmtId="0" fontId="52" fillId="0" borderId="12" xfId="0" applyFont="1" applyFill="1" applyBorder="1" applyAlignment="1">
      <alignment vertical="center" wrapText="1"/>
    </xf>
    <xf numFmtId="0" fontId="52" fillId="0" borderId="13" xfId="0" applyFont="1" applyFill="1" applyBorder="1" applyAlignment="1">
      <alignment vertical="center" wrapText="1"/>
    </xf>
    <xf numFmtId="0" fontId="53" fillId="0" borderId="0" xfId="0" applyFont="1"/>
    <xf numFmtId="0" fontId="51" fillId="0" borderId="0" xfId="0" applyFont="1"/>
    <xf numFmtId="0" fontId="25" fillId="0" borderId="0" xfId="0" applyFont="1" applyAlignment="1"/>
    <xf numFmtId="0" fontId="47" fillId="0" borderId="0" xfId="0" applyFont="1" applyAlignment="1"/>
    <xf numFmtId="0" fontId="47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12" fillId="0" borderId="0" xfId="0" applyFont="1" applyFill="1" applyAlignment="1"/>
    <xf numFmtId="0" fontId="28" fillId="0" borderId="0" xfId="0" applyFont="1" applyFill="1"/>
    <xf numFmtId="0" fontId="28" fillId="0" borderId="42" xfId="0" applyFont="1" applyFill="1" applyBorder="1" applyAlignment="1"/>
    <xf numFmtId="0" fontId="51" fillId="4" borderId="26" xfId="0" applyFont="1" applyFill="1" applyBorder="1" applyAlignment="1">
      <alignment vertical="center" wrapText="1"/>
    </xf>
    <xf numFmtId="0" fontId="51" fillId="4" borderId="10" xfId="0" applyFont="1" applyFill="1" applyBorder="1" applyAlignment="1">
      <alignment vertical="center" wrapText="1"/>
    </xf>
    <xf numFmtId="0" fontId="51" fillId="4" borderId="27" xfId="0" applyFont="1" applyFill="1" applyBorder="1" applyAlignment="1">
      <alignment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14" fillId="4" borderId="26" xfId="0" applyFont="1" applyFill="1" applyBorder="1" applyAlignment="1">
      <alignment horizontal="center" vertical="center"/>
    </xf>
    <xf numFmtId="0" fontId="50" fillId="0" borderId="26" xfId="0" applyFont="1" applyBorder="1" applyAlignment="1">
      <alignment horizontal="center" vertical="center" wrapText="1"/>
    </xf>
    <xf numFmtId="0" fontId="53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7" fillId="4" borderId="26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41" fillId="0" borderId="10" xfId="0" applyFont="1" applyFill="1" applyBorder="1"/>
    <xf numFmtId="0" fontId="21" fillId="4" borderId="25" xfId="0" applyFont="1" applyFill="1" applyBorder="1" applyAlignment="1">
      <alignment horizontal="left" vertical="center" wrapText="1"/>
    </xf>
    <xf numFmtId="0" fontId="5" fillId="4" borderId="28" xfId="0" applyNumberFormat="1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9" fillId="4" borderId="26" xfId="0" applyFont="1" applyFill="1" applyBorder="1" applyAlignment="1">
      <alignment horizontal="center" vertical="center" wrapText="1"/>
    </xf>
    <xf numFmtId="0" fontId="40" fillId="0" borderId="28" xfId="0" applyFont="1" applyFill="1" applyBorder="1" applyAlignment="1">
      <alignment horizontal="center" vertical="center" wrapText="1"/>
    </xf>
    <xf numFmtId="0" fontId="20" fillId="4" borderId="23" xfId="0" applyFont="1" applyFill="1" applyBorder="1" applyAlignment="1">
      <alignment horizontal="center" vertical="top" wrapText="1"/>
    </xf>
    <xf numFmtId="0" fontId="20" fillId="4" borderId="4" xfId="0" applyFont="1" applyFill="1" applyBorder="1" applyAlignment="1">
      <alignment horizontal="center" vertical="top" wrapText="1"/>
    </xf>
    <xf numFmtId="0" fontId="20" fillId="4" borderId="17" xfId="0" applyFont="1" applyFill="1" applyBorder="1" applyAlignment="1">
      <alignment horizontal="center" vertical="justify" wrapText="1"/>
    </xf>
    <xf numFmtId="0" fontId="56" fillId="4" borderId="26" xfId="0" applyFont="1" applyFill="1" applyBorder="1" applyAlignment="1">
      <alignment vertical="center" wrapText="1"/>
    </xf>
    <xf numFmtId="0" fontId="20" fillId="4" borderId="41" xfId="0" applyFont="1" applyFill="1" applyBorder="1" applyAlignment="1">
      <alignment horizontal="center" vertical="justify" wrapText="1"/>
    </xf>
    <xf numFmtId="0" fontId="20" fillId="4" borderId="37" xfId="0" applyFont="1" applyFill="1" applyBorder="1" applyAlignment="1">
      <alignment horizontal="center" vertical="top" wrapText="1"/>
    </xf>
    <xf numFmtId="0" fontId="27" fillId="4" borderId="5" xfId="0" applyFont="1" applyFill="1" applyBorder="1" applyAlignment="1">
      <alignment horizontal="center" vertical="top" wrapText="1"/>
    </xf>
    <xf numFmtId="0" fontId="27" fillId="4" borderId="3" xfId="0" applyFont="1" applyFill="1" applyBorder="1" applyAlignment="1">
      <alignment horizontal="center" vertical="top" wrapText="1"/>
    </xf>
    <xf numFmtId="0" fontId="27" fillId="4" borderId="7" xfId="0" applyFont="1" applyFill="1" applyBorder="1" applyAlignment="1">
      <alignment horizontal="center" vertical="top" wrapText="1"/>
    </xf>
    <xf numFmtId="0" fontId="27" fillId="4" borderId="9" xfId="0" applyFont="1" applyFill="1" applyBorder="1" applyAlignment="1">
      <alignment horizontal="center" vertical="top" wrapText="1"/>
    </xf>
    <xf numFmtId="0" fontId="28" fillId="4" borderId="0" xfId="0" applyFont="1" applyFill="1"/>
    <xf numFmtId="0" fontId="28" fillId="4" borderId="42" xfId="0" applyFont="1" applyFill="1" applyBorder="1" applyAlignment="1"/>
    <xf numFmtId="0" fontId="40" fillId="4" borderId="28" xfId="0" applyFont="1" applyFill="1" applyBorder="1" applyAlignment="1">
      <alignment horizontal="center" vertical="center" wrapText="1"/>
    </xf>
    <xf numFmtId="0" fontId="41" fillId="4" borderId="29" xfId="0" applyFont="1" applyFill="1" applyBorder="1" applyAlignment="1">
      <alignment horizontal="center" vertical="center" wrapText="1"/>
    </xf>
    <xf numFmtId="0" fontId="41" fillId="4" borderId="30" xfId="0" applyFont="1" applyFill="1" applyBorder="1" applyAlignment="1">
      <alignment horizontal="center" vertical="center" wrapText="1"/>
    </xf>
    <xf numFmtId="0" fontId="40" fillId="0" borderId="0" xfId="0" applyFont="1" applyBorder="1" applyAlignment="1">
      <alignment horizontal="left" vertical="center" wrapText="1"/>
    </xf>
    <xf numFmtId="0" fontId="57" fillId="0" borderId="0" xfId="0" applyFont="1"/>
    <xf numFmtId="0" fontId="40" fillId="0" borderId="0" xfId="0" applyFont="1" applyAlignment="1">
      <alignment vertical="center"/>
    </xf>
    <xf numFmtId="0" fontId="27" fillId="0" borderId="17" xfId="0" applyFont="1" applyFill="1" applyBorder="1" applyAlignment="1">
      <alignment horizontal="center" vertical="top" wrapText="1"/>
    </xf>
    <xf numFmtId="0" fontId="27" fillId="0" borderId="37" xfId="0" applyFont="1" applyFill="1" applyBorder="1" applyAlignment="1">
      <alignment horizontal="center" vertical="top" wrapText="1"/>
    </xf>
    <xf numFmtId="0" fontId="24" fillId="0" borderId="31" xfId="0" applyFont="1" applyBorder="1" applyAlignment="1">
      <alignment vertical="center"/>
    </xf>
    <xf numFmtId="0" fontId="24" fillId="0" borderId="32" xfId="0" applyFont="1" applyBorder="1" applyAlignment="1">
      <alignment vertical="center"/>
    </xf>
    <xf numFmtId="0" fontId="24" fillId="0" borderId="33" xfId="0" applyFont="1" applyBorder="1" applyAlignment="1">
      <alignment vertical="center"/>
    </xf>
    <xf numFmtId="0" fontId="27" fillId="4" borderId="10" xfId="0" applyFont="1" applyFill="1" applyBorder="1" applyAlignment="1">
      <alignment horizontal="center" vertical="center"/>
    </xf>
    <xf numFmtId="0" fontId="54" fillId="0" borderId="0" xfId="0" applyFont="1" applyAlignment="1">
      <alignment vertical="center" wrapText="1"/>
    </xf>
    <xf numFmtId="0" fontId="40" fillId="0" borderId="10" xfId="0" applyFont="1" applyFill="1" applyBorder="1" applyAlignment="1">
      <alignment horizontal="left" vertical="center" wrapText="1"/>
    </xf>
    <xf numFmtId="0" fontId="40" fillId="0" borderId="27" xfId="0" applyFont="1" applyFill="1" applyBorder="1" applyAlignment="1">
      <alignment horizontal="left" vertical="center" wrapText="1"/>
    </xf>
    <xf numFmtId="0" fontId="27" fillId="0" borderId="31" xfId="0" applyFont="1" applyFill="1" applyBorder="1" applyAlignment="1">
      <alignment horizontal="left" vertical="center" wrapText="1"/>
    </xf>
    <xf numFmtId="0" fontId="27" fillId="0" borderId="32" xfId="0" applyFont="1" applyFill="1" applyBorder="1" applyAlignment="1">
      <alignment horizontal="center" vertical="center" wrapText="1"/>
    </xf>
    <xf numFmtId="0" fontId="27" fillId="0" borderId="33" xfId="0" applyFont="1" applyFill="1" applyBorder="1" applyAlignment="1">
      <alignment horizontal="left" vertical="center" wrapText="1"/>
    </xf>
    <xf numFmtId="0" fontId="40" fillId="0" borderId="10" xfId="0" applyFont="1" applyFill="1" applyBorder="1" applyAlignment="1">
      <alignment vertical="center" wrapText="1"/>
    </xf>
    <xf numFmtId="0" fontId="40" fillId="0" borderId="26" xfId="0" applyFont="1" applyFill="1" applyBorder="1" applyAlignment="1">
      <alignment vertical="center" wrapText="1"/>
    </xf>
    <xf numFmtId="0" fontId="40" fillId="0" borderId="27" xfId="0" applyFont="1" applyFill="1" applyBorder="1" applyAlignment="1">
      <alignment vertical="center" wrapText="1"/>
    </xf>
    <xf numFmtId="0" fontId="40" fillId="0" borderId="28" xfId="0" applyFont="1" applyFill="1" applyBorder="1" applyAlignment="1">
      <alignment vertical="center" wrapText="1"/>
    </xf>
    <xf numFmtId="0" fontId="40" fillId="0" borderId="29" xfId="0" applyFont="1" applyFill="1" applyBorder="1" applyAlignment="1">
      <alignment vertical="center" wrapText="1"/>
    </xf>
    <xf numFmtId="0" fontId="40" fillId="0" borderId="30" xfId="0" applyFont="1" applyFill="1" applyBorder="1" applyAlignment="1">
      <alignment vertical="center" wrapText="1"/>
    </xf>
    <xf numFmtId="0" fontId="60" fillId="0" borderId="25" xfId="0" applyFont="1" applyBorder="1" applyAlignment="1">
      <alignment horizontal="center" vertical="top" wrapText="1"/>
    </xf>
    <xf numFmtId="0" fontId="60" fillId="0" borderId="14" xfId="0" applyFont="1" applyBorder="1" applyAlignment="1">
      <alignment horizontal="center" vertical="top" wrapText="1"/>
    </xf>
    <xf numFmtId="0" fontId="60" fillId="0" borderId="21" xfId="0" applyFont="1" applyBorder="1" applyAlignment="1">
      <alignment horizontal="center" vertical="top" wrapText="1"/>
    </xf>
    <xf numFmtId="0" fontId="61" fillId="0" borderId="25" xfId="0" applyFont="1" applyBorder="1" applyAlignment="1">
      <alignment horizontal="center" vertical="top" wrapText="1"/>
    </xf>
    <xf numFmtId="0" fontId="61" fillId="0" borderId="14" xfId="0" applyFont="1" applyBorder="1" applyAlignment="1">
      <alignment horizontal="center" vertical="top" wrapText="1"/>
    </xf>
    <xf numFmtId="0" fontId="61" fillId="0" borderId="21" xfId="0" applyFont="1" applyBorder="1" applyAlignment="1">
      <alignment horizontal="center" vertical="top" wrapText="1"/>
    </xf>
    <xf numFmtId="0" fontId="41" fillId="4" borderId="10" xfId="0" applyFont="1" applyFill="1" applyBorder="1" applyAlignment="1">
      <alignment horizontal="center" vertical="center" wrapText="1"/>
    </xf>
    <xf numFmtId="0" fontId="50" fillId="4" borderId="10" xfId="0" applyFont="1" applyFill="1" applyBorder="1" applyAlignment="1">
      <alignment horizontal="center" vertical="center" wrapText="1"/>
    </xf>
    <xf numFmtId="0" fontId="21" fillId="4" borderId="38" xfId="0" applyFont="1" applyFill="1" applyBorder="1" applyAlignment="1">
      <alignment horizontal="left" vertical="center" wrapText="1"/>
    </xf>
    <xf numFmtId="0" fontId="21" fillId="4" borderId="39" xfId="0" applyFont="1" applyFill="1" applyBorder="1" applyAlignment="1">
      <alignment horizontal="left" vertical="center" wrapText="1"/>
    </xf>
    <xf numFmtId="0" fontId="5" fillId="4" borderId="29" xfId="0" applyFont="1" applyFill="1" applyBorder="1" applyAlignment="1">
      <alignment horizontal="center" vertical="center" wrapText="1"/>
    </xf>
    <xf numFmtId="0" fontId="21" fillId="4" borderId="31" xfId="0" applyFont="1" applyFill="1" applyBorder="1" applyAlignment="1">
      <alignment horizontal="left" vertical="center" wrapText="1"/>
    </xf>
    <xf numFmtId="0" fontId="5" fillId="4" borderId="33" xfId="0" applyNumberFormat="1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left" vertical="center" wrapText="1"/>
    </xf>
    <xf numFmtId="0" fontId="4" fillId="5" borderId="39" xfId="0" applyFont="1" applyFill="1" applyBorder="1" applyAlignment="1">
      <alignment horizontal="center" vertical="center"/>
    </xf>
    <xf numFmtId="0" fontId="55" fillId="9" borderId="10" xfId="0" applyFont="1" applyFill="1" applyBorder="1" applyAlignment="1">
      <alignment horizontal="center" vertical="center" wrapText="1"/>
    </xf>
    <xf numFmtId="0" fontId="21" fillId="4" borderId="27" xfId="0" applyFont="1" applyFill="1" applyBorder="1" applyAlignment="1">
      <alignment horizontal="left" vertical="center"/>
    </xf>
    <xf numFmtId="0" fontId="5" fillId="4" borderId="28" xfId="0" applyFont="1" applyFill="1" applyBorder="1" applyAlignment="1">
      <alignment horizontal="left" vertical="center" wrapText="1"/>
    </xf>
    <xf numFmtId="0" fontId="11" fillId="4" borderId="26" xfId="0" applyFont="1" applyFill="1" applyBorder="1" applyAlignment="1">
      <alignment horizontal="left" vertical="center" wrapText="1"/>
    </xf>
    <xf numFmtId="0" fontId="11" fillId="4" borderId="27" xfId="0" applyFont="1" applyFill="1" applyBorder="1" applyAlignment="1">
      <alignment horizontal="left"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27" xfId="0" applyFont="1" applyFill="1" applyBorder="1" applyAlignment="1">
      <alignment vertical="center" wrapText="1"/>
    </xf>
    <xf numFmtId="0" fontId="27" fillId="4" borderId="23" xfId="0" applyFont="1" applyFill="1" applyBorder="1" applyAlignment="1">
      <alignment horizontal="center" vertical="top" wrapText="1"/>
    </xf>
    <xf numFmtId="0" fontId="27" fillId="4" borderId="4" xfId="0" applyFont="1" applyFill="1" applyBorder="1" applyAlignment="1">
      <alignment horizontal="center" vertical="top" wrapText="1"/>
    </xf>
    <xf numFmtId="0" fontId="27" fillId="4" borderId="17" xfId="0" applyFont="1" applyFill="1" applyBorder="1" applyAlignment="1">
      <alignment horizontal="center" vertical="top" wrapText="1"/>
    </xf>
    <xf numFmtId="0" fontId="5" fillId="4" borderId="0" xfId="0" applyFont="1" applyFill="1" applyBorder="1" applyAlignment="1"/>
    <xf numFmtId="0" fontId="49" fillId="0" borderId="10" xfId="0" applyFont="1" applyFill="1" applyBorder="1" applyAlignment="1">
      <alignment horizontal="left" vertical="center" wrapText="1"/>
    </xf>
    <xf numFmtId="0" fontId="48" fillId="0" borderId="10" xfId="0" applyFont="1" applyFill="1" applyBorder="1" applyAlignment="1">
      <alignment horizontal="left" vertical="center" wrapText="1"/>
    </xf>
    <xf numFmtId="0" fontId="41" fillId="0" borderId="10" xfId="0" applyFont="1" applyBorder="1" applyAlignment="1">
      <alignment horizontal="left" vertical="center" wrapText="1"/>
    </xf>
    <xf numFmtId="0" fontId="40" fillId="2" borderId="10" xfId="0" applyFont="1" applyFill="1" applyBorder="1" applyAlignment="1">
      <alignment horizontal="left" vertical="center" wrapText="1"/>
    </xf>
    <xf numFmtId="0" fontId="41" fillId="0" borderId="26" xfId="0" applyFont="1" applyBorder="1" applyAlignment="1">
      <alignment horizontal="left" vertical="center" wrapText="1"/>
    </xf>
    <xf numFmtId="0" fontId="41" fillId="0" borderId="27" xfId="0" applyFont="1" applyBorder="1" applyAlignment="1">
      <alignment horizontal="left" vertical="center" wrapText="1"/>
    </xf>
    <xf numFmtId="0" fontId="40" fillId="0" borderId="26" xfId="0" applyFont="1" applyFill="1" applyBorder="1" applyAlignment="1">
      <alignment horizontal="left" vertical="center" wrapText="1"/>
    </xf>
    <xf numFmtId="0" fontId="40" fillId="0" borderId="28" xfId="0" applyFont="1" applyFill="1" applyBorder="1" applyAlignment="1">
      <alignment horizontal="left" vertical="center" wrapText="1"/>
    </xf>
    <xf numFmtId="0" fontId="40" fillId="4" borderId="26" xfId="0" applyFont="1" applyFill="1" applyBorder="1" applyAlignment="1">
      <alignment horizontal="center" vertical="center" wrapText="1"/>
    </xf>
    <xf numFmtId="0" fontId="40" fillId="4" borderId="10" xfId="0" applyFont="1" applyFill="1" applyBorder="1" applyAlignment="1">
      <alignment horizontal="center" vertical="center" wrapText="1"/>
    </xf>
    <xf numFmtId="0" fontId="40" fillId="4" borderId="27" xfId="0" applyFont="1" applyFill="1" applyBorder="1" applyAlignment="1">
      <alignment horizontal="center" vertical="center" wrapText="1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7" xfId="0" applyFont="1" applyFill="1" applyBorder="1" applyAlignment="1">
      <alignment horizontal="center" vertical="center" wrapText="1"/>
    </xf>
    <xf numFmtId="0" fontId="41" fillId="4" borderId="26" xfId="0" applyFont="1" applyFill="1" applyBorder="1" applyAlignment="1">
      <alignment horizontal="center" vertical="center" wrapText="1"/>
    </xf>
    <xf numFmtId="0" fontId="41" fillId="4" borderId="27" xfId="0" applyFont="1" applyFill="1" applyBorder="1" applyAlignment="1">
      <alignment horizontal="center" vertical="center" wrapText="1"/>
    </xf>
    <xf numFmtId="0" fontId="41" fillId="4" borderId="28" xfId="0" applyFont="1" applyFill="1" applyBorder="1" applyAlignment="1">
      <alignment horizontal="center" vertical="center"/>
    </xf>
    <xf numFmtId="0" fontId="41" fillId="4" borderId="29" xfId="0" applyFont="1" applyFill="1" applyBorder="1" applyAlignment="1">
      <alignment horizontal="center" vertical="center"/>
    </xf>
    <xf numFmtId="0" fontId="41" fillId="4" borderId="30" xfId="0" applyFont="1" applyFill="1" applyBorder="1" applyAlignment="1">
      <alignment horizontal="center" vertical="center"/>
    </xf>
    <xf numFmtId="0" fontId="27" fillId="4" borderId="7" xfId="0" applyFont="1" applyFill="1" applyBorder="1" applyAlignment="1">
      <alignment horizontal="center" vertical="justify" wrapText="1"/>
    </xf>
    <xf numFmtId="0" fontId="26" fillId="0" borderId="45" xfId="0" applyFont="1" applyFill="1" applyBorder="1" applyAlignment="1">
      <alignment horizontal="center" vertical="top" wrapText="1"/>
    </xf>
    <xf numFmtId="0" fontId="26" fillId="0" borderId="34" xfId="0" applyFont="1" applyFill="1" applyBorder="1" applyAlignment="1">
      <alignment horizontal="center" vertical="top" wrapText="1"/>
    </xf>
    <xf numFmtId="0" fontId="26" fillId="0" borderId="35" xfId="0" applyFont="1" applyFill="1" applyBorder="1" applyAlignment="1">
      <alignment horizontal="center" vertical="top" wrapText="1"/>
    </xf>
    <xf numFmtId="0" fontId="40" fillId="0" borderId="0" xfId="0" applyFont="1" applyAlignment="1">
      <alignment horizontal="left" vertical="center"/>
    </xf>
    <xf numFmtId="0" fontId="41" fillId="4" borderId="25" xfId="0" applyFont="1" applyFill="1" applyBorder="1" applyAlignment="1">
      <alignment horizontal="center" vertical="center" wrapText="1"/>
    </xf>
    <xf numFmtId="0" fontId="41" fillId="4" borderId="12" xfId="0" applyFont="1" applyFill="1" applyBorder="1" applyAlignment="1">
      <alignment horizontal="center" vertical="center" wrapText="1"/>
    </xf>
    <xf numFmtId="0" fontId="41" fillId="4" borderId="13" xfId="0" applyFont="1" applyFill="1" applyBorder="1" applyAlignment="1">
      <alignment horizontal="center" vertical="center" wrapText="1"/>
    </xf>
    <xf numFmtId="0" fontId="64" fillId="4" borderId="26" xfId="0" applyFont="1" applyFill="1" applyBorder="1" applyAlignment="1">
      <alignment vertical="center" wrapText="1"/>
    </xf>
    <xf numFmtId="0" fontId="64" fillId="4" borderId="10" xfId="0" applyFont="1" applyFill="1" applyBorder="1" applyAlignment="1">
      <alignment vertical="center" wrapText="1"/>
    </xf>
    <xf numFmtId="0" fontId="64" fillId="4" borderId="27" xfId="0" applyFont="1" applyFill="1" applyBorder="1" applyAlignment="1">
      <alignment vertical="center" wrapText="1"/>
    </xf>
    <xf numFmtId="0" fontId="50" fillId="4" borderId="12" xfId="0" applyFont="1" applyFill="1" applyBorder="1" applyAlignment="1">
      <alignment horizontal="center" vertical="center" wrapText="1"/>
    </xf>
    <xf numFmtId="0" fontId="49" fillId="11" borderId="36" xfId="0" applyFont="1" applyFill="1" applyBorder="1" applyAlignment="1">
      <alignment horizontal="center" vertical="center" wrapText="1"/>
    </xf>
    <xf numFmtId="0" fontId="55" fillId="9" borderId="26" xfId="0" applyFont="1" applyFill="1" applyBorder="1" applyAlignment="1">
      <alignment horizontal="center" vertical="center" wrapText="1"/>
    </xf>
    <xf numFmtId="0" fontId="40" fillId="4" borderId="25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41" fillId="0" borderId="38" xfId="0" applyFont="1" applyBorder="1" applyAlignment="1">
      <alignment horizontal="left" vertical="center" wrapText="1"/>
    </xf>
    <xf numFmtId="0" fontId="41" fillId="0" borderId="39" xfId="0" applyFont="1" applyBorder="1" applyAlignment="1">
      <alignment horizontal="left" vertical="center" wrapText="1"/>
    </xf>
    <xf numFmtId="0" fontId="41" fillId="0" borderId="40" xfId="0" applyFont="1" applyBorder="1" applyAlignment="1">
      <alignment horizontal="left" vertical="center" wrapText="1"/>
    </xf>
    <xf numFmtId="0" fontId="40" fillId="0" borderId="0" xfId="0" applyNumberFormat="1" applyFont="1" applyBorder="1" applyAlignment="1">
      <alignment horizontal="left" vertical="center" wrapText="1"/>
    </xf>
    <xf numFmtId="49" fontId="40" fillId="0" borderId="0" xfId="0" applyNumberFormat="1" applyFont="1" applyBorder="1" applyAlignment="1">
      <alignment horizontal="left" vertical="center" wrapText="1"/>
    </xf>
    <xf numFmtId="0" fontId="49" fillId="2" borderId="0" xfId="0" applyFont="1" applyFill="1" applyBorder="1" applyAlignment="1">
      <alignment horizontal="left" vertical="center" wrapText="1"/>
    </xf>
    <xf numFmtId="0" fontId="58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59" fillId="0" borderId="0" xfId="0" applyFont="1" applyAlignment="1">
      <alignment horizontal="left" vertical="center"/>
    </xf>
    <xf numFmtId="0" fontId="57" fillId="0" borderId="0" xfId="0" applyFont="1" applyAlignment="1">
      <alignment horizontal="left" vertical="center"/>
    </xf>
    <xf numFmtId="0" fontId="50" fillId="4" borderId="25" xfId="0" applyFont="1" applyFill="1" applyBorder="1" applyAlignment="1">
      <alignment horizontal="center" vertical="center" wrapText="1"/>
    </xf>
    <xf numFmtId="0" fontId="49" fillId="4" borderId="26" xfId="0" applyFont="1" applyFill="1" applyBorder="1" applyAlignment="1">
      <alignment horizontal="center" vertical="center" wrapText="1"/>
    </xf>
    <xf numFmtId="0" fontId="49" fillId="4" borderId="27" xfId="0" applyFont="1" applyFill="1" applyBorder="1" applyAlignment="1">
      <alignment horizontal="center" vertical="center" wrapText="1"/>
    </xf>
    <xf numFmtId="0" fontId="49" fillId="4" borderId="10" xfId="0" applyFont="1" applyFill="1" applyBorder="1" applyAlignment="1">
      <alignment horizontal="center" vertical="center" wrapText="1"/>
    </xf>
    <xf numFmtId="0" fontId="67" fillId="0" borderId="0" xfId="0" applyFont="1"/>
    <xf numFmtId="0" fontId="40" fillId="4" borderId="13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50" fillId="11" borderId="39" xfId="0" applyFont="1" applyFill="1" applyBorder="1" applyAlignment="1">
      <alignment horizontal="center" vertical="center" wrapText="1"/>
    </xf>
    <xf numFmtId="0" fontId="27" fillId="4" borderId="31" xfId="0" applyFont="1" applyFill="1" applyBorder="1" applyAlignment="1">
      <alignment horizontal="left" vertical="center" wrapText="1"/>
    </xf>
    <xf numFmtId="0" fontId="27" fillId="4" borderId="32" xfId="0" applyFont="1" applyFill="1" applyBorder="1" applyAlignment="1">
      <alignment horizontal="left" vertical="center" wrapText="1"/>
    </xf>
    <xf numFmtId="0" fontId="27" fillId="4" borderId="33" xfId="0" applyFont="1" applyFill="1" applyBorder="1" applyAlignment="1">
      <alignment horizontal="center" vertical="center" wrapText="1"/>
    </xf>
    <xf numFmtId="0" fontId="29" fillId="4" borderId="10" xfId="0" applyFont="1" applyFill="1" applyBorder="1" applyAlignment="1">
      <alignment horizontal="center" vertical="center" wrapText="1"/>
    </xf>
    <xf numFmtId="0" fontId="29" fillId="4" borderId="27" xfId="0" applyFont="1" applyFill="1" applyBorder="1" applyAlignment="1">
      <alignment horizontal="center" vertical="center" wrapText="1"/>
    </xf>
    <xf numFmtId="0" fontId="29" fillId="4" borderId="30" xfId="0" applyFont="1" applyFill="1" applyBorder="1" applyAlignment="1">
      <alignment horizontal="center" vertical="center" wrapText="1"/>
    </xf>
    <xf numFmtId="0" fontId="27" fillId="4" borderId="29" xfId="0" applyFont="1" applyFill="1" applyBorder="1" applyAlignment="1">
      <alignment horizontal="left" vertical="center" wrapText="1"/>
    </xf>
    <xf numFmtId="0" fontId="39" fillId="4" borderId="37" xfId="0" applyFont="1" applyFill="1" applyBorder="1" applyAlignment="1">
      <alignment horizontal="left" vertical="center" wrapText="1"/>
    </xf>
    <xf numFmtId="0" fontId="39" fillId="4" borderId="9" xfId="0" applyFont="1" applyFill="1" applyBorder="1" applyAlignment="1">
      <alignment horizontal="left" vertical="center" wrapText="1"/>
    </xf>
    <xf numFmtId="0" fontId="39" fillId="4" borderId="9" xfId="0" applyFont="1" applyFill="1" applyBorder="1" applyAlignment="1">
      <alignment horizontal="center" vertical="center" wrapText="1"/>
    </xf>
    <xf numFmtId="0" fontId="39" fillId="4" borderId="4" xfId="0" applyFont="1" applyFill="1" applyBorder="1" applyAlignment="1">
      <alignment horizontal="left" vertical="center" wrapText="1"/>
    </xf>
    <xf numFmtId="0" fontId="39" fillId="4" borderId="3" xfId="0" applyFont="1" applyFill="1" applyBorder="1" applyAlignment="1">
      <alignment horizontal="left" vertical="center" wrapText="1"/>
    </xf>
    <xf numFmtId="0" fontId="39" fillId="4" borderId="22" xfId="0" applyFont="1" applyFill="1" applyBorder="1" applyAlignment="1">
      <alignment horizontal="center" vertical="center" wrapText="1"/>
    </xf>
    <xf numFmtId="0" fontId="39" fillId="4" borderId="3" xfId="0" applyFont="1" applyFill="1" applyBorder="1" applyAlignment="1">
      <alignment horizontal="left" vertical="center"/>
    </xf>
    <xf numFmtId="0" fontId="39" fillId="4" borderId="3" xfId="0" applyFont="1" applyFill="1" applyBorder="1" applyAlignment="1">
      <alignment horizontal="center" vertical="center" wrapText="1"/>
    </xf>
    <xf numFmtId="0" fontId="39" fillId="4" borderId="7" xfId="0" applyFont="1" applyFill="1" applyBorder="1" applyAlignment="1">
      <alignment horizontal="center" vertical="center" wrapText="1"/>
    </xf>
    <xf numFmtId="0" fontId="39" fillId="4" borderId="7" xfId="0" applyFont="1" applyFill="1" applyBorder="1" applyAlignment="1">
      <alignment horizontal="left" vertical="center" wrapText="1"/>
    </xf>
    <xf numFmtId="0" fontId="40" fillId="4" borderId="10" xfId="0" applyFont="1" applyFill="1" applyBorder="1" applyAlignment="1">
      <alignment horizontal="center" vertical="center"/>
    </xf>
    <xf numFmtId="0" fontId="34" fillId="4" borderId="10" xfId="0" applyFont="1" applyFill="1" applyBorder="1" applyAlignment="1">
      <alignment horizontal="center" vertical="center" wrapText="1"/>
    </xf>
    <xf numFmtId="0" fontId="34" fillId="4" borderId="26" xfId="0" applyFont="1" applyFill="1" applyBorder="1" applyAlignment="1">
      <alignment horizontal="center" vertical="center" wrapText="1"/>
    </xf>
    <xf numFmtId="0" fontId="34" fillId="4" borderId="27" xfId="0" applyFont="1" applyFill="1" applyBorder="1" applyAlignment="1">
      <alignment horizontal="center" vertical="center" wrapText="1"/>
    </xf>
    <xf numFmtId="0" fontId="34" fillId="4" borderId="27" xfId="0" applyFont="1" applyFill="1" applyBorder="1" applyAlignment="1">
      <alignment horizontal="center" vertical="center"/>
    </xf>
    <xf numFmtId="0" fontId="34" fillId="4" borderId="28" xfId="0" applyFont="1" applyFill="1" applyBorder="1" applyAlignment="1">
      <alignment horizontal="center" vertical="center" wrapText="1"/>
    </xf>
    <xf numFmtId="0" fontId="34" fillId="4" borderId="29" xfId="0" applyFont="1" applyFill="1" applyBorder="1" applyAlignment="1">
      <alignment horizontal="center" vertical="center" wrapText="1"/>
    </xf>
    <xf numFmtId="0" fontId="34" fillId="4" borderId="30" xfId="0" applyFont="1" applyFill="1" applyBorder="1" applyAlignment="1">
      <alignment horizontal="center" vertical="center" wrapText="1"/>
    </xf>
    <xf numFmtId="0" fontId="27" fillId="4" borderId="17" xfId="0" applyFont="1" applyFill="1" applyBorder="1" applyAlignment="1">
      <alignment horizontal="center" vertical="justify" wrapText="1"/>
    </xf>
    <xf numFmtId="0" fontId="27" fillId="4" borderId="30" xfId="0" applyFont="1" applyFill="1" applyBorder="1" applyAlignment="1">
      <alignment horizontal="left" vertical="center" wrapText="1"/>
    </xf>
    <xf numFmtId="0" fontId="68" fillId="9" borderId="10" xfId="0" applyFont="1" applyFill="1" applyBorder="1" applyAlignment="1">
      <alignment horizontal="center" vertical="center" wrapText="1"/>
    </xf>
    <xf numFmtId="0" fontId="49" fillId="4" borderId="28" xfId="0" applyFont="1" applyFill="1" applyBorder="1" applyAlignment="1">
      <alignment horizontal="left" vertical="center" wrapText="1"/>
    </xf>
    <xf numFmtId="0" fontId="48" fillId="8" borderId="25" xfId="0" applyFont="1" applyFill="1" applyBorder="1" applyAlignment="1">
      <alignment horizontal="left" vertical="center" wrapText="1"/>
    </xf>
    <xf numFmtId="0" fontId="48" fillId="12" borderId="12" xfId="0" applyFont="1" applyFill="1" applyBorder="1" applyAlignment="1">
      <alignment horizontal="left" vertical="center" wrapText="1"/>
    </xf>
    <xf numFmtId="0" fontId="48" fillId="8" borderId="12" xfId="0" applyFont="1" applyFill="1" applyBorder="1" applyAlignment="1">
      <alignment horizontal="left" vertical="center"/>
    </xf>
    <xf numFmtId="0" fontId="48" fillId="8" borderId="13" xfId="0" applyFont="1" applyFill="1" applyBorder="1" applyAlignment="1">
      <alignment horizontal="left" vertical="center" wrapText="1"/>
    </xf>
    <xf numFmtId="0" fontId="48" fillId="8" borderId="26" xfId="0" applyFont="1" applyFill="1" applyBorder="1" applyAlignment="1">
      <alignment horizontal="left" vertical="center" wrapText="1"/>
    </xf>
    <xf numFmtId="0" fontId="49" fillId="0" borderId="27" xfId="0" applyFont="1" applyFill="1" applyBorder="1" applyAlignment="1">
      <alignment horizontal="left" vertical="center" wrapText="1"/>
    </xf>
    <xf numFmtId="0" fontId="48" fillId="8" borderId="25" xfId="0" applyFont="1" applyFill="1" applyBorder="1" applyAlignment="1">
      <alignment horizontal="left" vertical="center"/>
    </xf>
    <xf numFmtId="0" fontId="48" fillId="0" borderId="27" xfId="0" applyFont="1" applyFill="1" applyBorder="1" applyAlignment="1">
      <alignment horizontal="left" vertical="center" wrapText="1"/>
    </xf>
    <xf numFmtId="0" fontId="50" fillId="11" borderId="12" xfId="0" applyFont="1" applyFill="1" applyBorder="1" applyAlignment="1">
      <alignment horizontal="center" vertical="center" wrapText="1"/>
    </xf>
    <xf numFmtId="0" fontId="50" fillId="4" borderId="13" xfId="0" applyFont="1" applyFill="1" applyBorder="1" applyAlignment="1">
      <alignment horizontal="center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48" fillId="12" borderId="10" xfId="0" applyFont="1" applyFill="1" applyBorder="1" applyAlignment="1">
      <alignment horizontal="left" vertical="center" wrapText="1"/>
    </xf>
    <xf numFmtId="0" fontId="49" fillId="9" borderId="12" xfId="0" applyFont="1" applyFill="1" applyBorder="1" applyAlignment="1">
      <alignment horizontal="center" vertical="center" wrapText="1"/>
    </xf>
    <xf numFmtId="0" fontId="48" fillId="11" borderId="10" xfId="0" applyFont="1" applyFill="1" applyBorder="1" applyAlignment="1">
      <alignment horizontal="left" vertical="center" wrapText="1"/>
    </xf>
    <xf numFmtId="0" fontId="49" fillId="9" borderId="10" xfId="0" applyFont="1" applyFill="1" applyBorder="1" applyAlignment="1">
      <alignment horizontal="center" vertical="center" wrapText="1"/>
    </xf>
    <xf numFmtId="0" fontId="49" fillId="11" borderId="62" xfId="0" applyFont="1" applyFill="1" applyBorder="1" applyAlignment="1">
      <alignment horizontal="center" vertical="center" wrapText="1"/>
    </xf>
    <xf numFmtId="0" fontId="62" fillId="11" borderId="36" xfId="0" applyFont="1" applyFill="1" applyBorder="1" applyAlignment="1">
      <alignment horizontal="center" vertical="center" wrapText="1"/>
    </xf>
    <xf numFmtId="0" fontId="62" fillId="11" borderId="62" xfId="0" applyFont="1" applyFill="1" applyBorder="1" applyAlignment="1">
      <alignment horizontal="center" vertical="center" wrapText="1"/>
    </xf>
    <xf numFmtId="0" fontId="62" fillId="11" borderId="63" xfId="0" applyFont="1" applyFill="1" applyBorder="1" applyAlignment="1">
      <alignment horizontal="center" vertical="center" wrapText="1"/>
    </xf>
    <xf numFmtId="0" fontId="49" fillId="9" borderId="26" xfId="0" applyFont="1" applyFill="1" applyBorder="1" applyAlignment="1">
      <alignment horizontal="center" vertical="center" wrapText="1"/>
    </xf>
    <xf numFmtId="0" fontId="49" fillId="9" borderId="38" xfId="0" applyFont="1" applyFill="1" applyBorder="1" applyAlignment="1">
      <alignment horizontal="center" vertical="center" wrapText="1"/>
    </xf>
    <xf numFmtId="0" fontId="55" fillId="9" borderId="27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textRotation="90" wrapText="1"/>
    </xf>
    <xf numFmtId="0" fontId="5" fillId="4" borderId="31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justify" wrapText="1"/>
    </xf>
    <xf numFmtId="0" fontId="55" fillId="9" borderId="28" xfId="0" applyFont="1" applyFill="1" applyBorder="1" applyAlignment="1">
      <alignment horizontal="center" vertical="center" wrapText="1"/>
    </xf>
    <xf numFmtId="0" fontId="20" fillId="0" borderId="41" xfId="0" applyFont="1" applyFill="1" applyBorder="1" applyAlignment="1">
      <alignment horizontal="center" vertical="top" wrapText="1"/>
    </xf>
    <xf numFmtId="0" fontId="49" fillId="11" borderId="12" xfId="0" applyFont="1" applyFill="1" applyBorder="1" applyAlignment="1">
      <alignment horizontal="center" vertical="center" wrapText="1"/>
    </xf>
    <xf numFmtId="0" fontId="49" fillId="11" borderId="10" xfId="0" applyFont="1" applyFill="1" applyBorder="1" applyAlignment="1">
      <alignment horizontal="center" vertical="center" wrapText="1"/>
    </xf>
    <xf numFmtId="0" fontId="11" fillId="4" borderId="38" xfId="0" applyFont="1" applyFill="1" applyBorder="1" applyAlignment="1">
      <alignment horizontal="left" vertical="center" wrapText="1"/>
    </xf>
    <xf numFmtId="0" fontId="11" fillId="4" borderId="39" xfId="0" applyFont="1" applyFill="1" applyBorder="1" applyAlignment="1">
      <alignment horizontal="left" vertical="center" wrapText="1"/>
    </xf>
    <xf numFmtId="0" fontId="11" fillId="4" borderId="40" xfId="0" applyFont="1" applyFill="1" applyBorder="1" applyAlignment="1">
      <alignment horizontal="center" vertical="center" wrapText="1"/>
    </xf>
    <xf numFmtId="0" fontId="68" fillId="9" borderId="29" xfId="0" applyFont="1" applyFill="1" applyBorder="1" applyAlignment="1">
      <alignment horizontal="center" vertical="center" wrapText="1"/>
    </xf>
    <xf numFmtId="0" fontId="30" fillId="4" borderId="10" xfId="0" applyFont="1" applyFill="1" applyBorder="1" applyAlignment="1">
      <alignment horizontal="center" vertical="center"/>
    </xf>
    <xf numFmtId="0" fontId="49" fillId="10" borderId="10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left" vertical="center" wrapText="1"/>
    </xf>
    <xf numFmtId="0" fontId="11" fillId="4" borderId="27" xfId="0" applyFont="1" applyFill="1" applyBorder="1" applyAlignment="1">
      <alignment horizontal="left" vertical="center"/>
    </xf>
    <xf numFmtId="0" fontId="49" fillId="11" borderId="29" xfId="0" applyFont="1" applyFill="1" applyBorder="1" applyAlignment="1">
      <alignment horizontal="left" vertical="center" wrapText="1"/>
    </xf>
    <xf numFmtId="0" fontId="49" fillId="0" borderId="29" xfId="0" applyFont="1" applyFill="1" applyBorder="1" applyAlignment="1">
      <alignment horizontal="left" vertical="center" wrapText="1"/>
    </xf>
    <xf numFmtId="0" fontId="49" fillId="0" borderId="30" xfId="0" applyFont="1" applyFill="1" applyBorder="1" applyAlignment="1">
      <alignment horizontal="left" vertical="center" wrapText="1"/>
    </xf>
    <xf numFmtId="0" fontId="27" fillId="0" borderId="31" xfId="0" applyFont="1" applyFill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 wrapText="1"/>
    </xf>
    <xf numFmtId="0" fontId="28" fillId="0" borderId="32" xfId="0" applyFont="1" applyBorder="1" applyAlignment="1">
      <alignment horizontal="left" vertical="center" wrapText="1"/>
    </xf>
    <xf numFmtId="0" fontId="28" fillId="0" borderId="33" xfId="0" applyFont="1" applyBorder="1" applyAlignment="1">
      <alignment horizontal="left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49" fillId="9" borderId="15" xfId="0" applyFont="1" applyFill="1" applyBorder="1" applyAlignment="1">
      <alignment horizontal="center" vertical="center" wrapText="1"/>
    </xf>
    <xf numFmtId="0" fontId="49" fillId="9" borderId="22" xfId="0" applyFont="1" applyFill="1" applyBorder="1" applyAlignment="1">
      <alignment horizontal="center" vertical="center" wrapText="1"/>
    </xf>
    <xf numFmtId="0" fontId="49" fillId="9" borderId="55" xfId="0" applyFont="1" applyFill="1" applyBorder="1" applyAlignment="1">
      <alignment horizontal="center" vertical="center" wrapText="1"/>
    </xf>
    <xf numFmtId="0" fontId="41" fillId="4" borderId="0" xfId="0" applyFont="1" applyFill="1" applyAlignment="1">
      <alignment horizontal="right"/>
    </xf>
    <xf numFmtId="0" fontId="53" fillId="4" borderId="0" xfId="0" applyFont="1" applyFill="1" applyAlignment="1">
      <alignment horizontal="right" vertical="center"/>
    </xf>
    <xf numFmtId="0" fontId="32" fillId="4" borderId="46" xfId="0" applyFont="1" applyFill="1" applyBorder="1" applyAlignment="1">
      <alignment horizontal="center" vertical="center" wrapText="1"/>
    </xf>
    <xf numFmtId="0" fontId="32" fillId="4" borderId="44" xfId="0" applyFont="1" applyFill="1" applyBorder="1" applyAlignment="1">
      <alignment horizontal="center" vertical="center" wrapText="1"/>
    </xf>
    <xf numFmtId="0" fontId="32" fillId="4" borderId="54" xfId="0" applyFont="1" applyFill="1" applyBorder="1" applyAlignment="1">
      <alignment horizontal="center" vertical="center" wrapText="1"/>
    </xf>
    <xf numFmtId="0" fontId="49" fillId="11" borderId="15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textRotation="90" wrapText="1"/>
    </xf>
    <xf numFmtId="0" fontId="10" fillId="0" borderId="1" xfId="0" applyFont="1" applyFill="1" applyBorder="1" applyAlignment="1">
      <alignment horizontal="center" vertical="center" textRotation="90" wrapText="1"/>
    </xf>
    <xf numFmtId="0" fontId="49" fillId="11" borderId="34" xfId="0" applyFont="1" applyFill="1" applyBorder="1" applyAlignment="1">
      <alignment horizontal="center" vertical="center" wrapText="1"/>
    </xf>
    <xf numFmtId="0" fontId="49" fillId="11" borderId="27" xfId="0" applyFont="1" applyFill="1" applyBorder="1" applyAlignment="1">
      <alignment horizontal="center" vertical="center" wrapText="1"/>
    </xf>
    <xf numFmtId="0" fontId="49" fillId="4" borderId="31" xfId="0" applyFont="1" applyFill="1" applyBorder="1" applyAlignment="1">
      <alignment horizontal="center" vertical="center" wrapText="1"/>
    </xf>
    <xf numFmtId="0" fontId="49" fillId="4" borderId="32" xfId="0" applyFont="1" applyFill="1" applyBorder="1" applyAlignment="1">
      <alignment horizontal="center" vertical="center" wrapText="1"/>
    </xf>
    <xf numFmtId="0" fontId="49" fillId="4" borderId="33" xfId="0" applyFont="1" applyFill="1" applyBorder="1" applyAlignment="1">
      <alignment horizontal="center" vertical="center" wrapText="1"/>
    </xf>
    <xf numFmtId="0" fontId="49" fillId="11" borderId="26" xfId="0" applyFont="1" applyFill="1" applyBorder="1" applyAlignment="1">
      <alignment horizontal="center" vertical="center" wrapText="1"/>
    </xf>
    <xf numFmtId="0" fontId="49" fillId="11" borderId="32" xfId="0" applyFont="1" applyFill="1" applyBorder="1" applyAlignment="1">
      <alignment horizontal="center" vertical="center" wrapText="1"/>
    </xf>
    <xf numFmtId="0" fontId="49" fillId="4" borderId="33" xfId="0" applyNumberFormat="1" applyFont="1" applyFill="1" applyBorder="1" applyAlignment="1">
      <alignment horizontal="center" vertical="center" wrapText="1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49" fillId="4" borderId="28" xfId="0" applyFont="1" applyFill="1" applyBorder="1" applyAlignment="1">
      <alignment horizontal="center" vertical="center"/>
    </xf>
    <xf numFmtId="0" fontId="49" fillId="4" borderId="29" xfId="0" applyFont="1" applyFill="1" applyBorder="1" applyAlignment="1">
      <alignment horizontal="center" vertical="center"/>
    </xf>
    <xf numFmtId="0" fontId="49" fillId="4" borderId="30" xfId="0" applyFont="1" applyFill="1" applyBorder="1" applyAlignment="1">
      <alignment horizontal="center" vertical="center"/>
    </xf>
    <xf numFmtId="0" fontId="4" fillId="0" borderId="0" xfId="0" applyFont="1" applyFill="1" applyAlignment="1"/>
    <xf numFmtId="0" fontId="27" fillId="14" borderId="10" xfId="0" applyFont="1" applyFill="1" applyBorder="1" applyAlignment="1">
      <alignment horizontal="center" vertical="center"/>
    </xf>
    <xf numFmtId="0" fontId="49" fillId="4" borderId="28" xfId="0" applyFont="1" applyFill="1" applyBorder="1" applyAlignment="1">
      <alignment horizontal="center" vertical="center" wrapText="1"/>
    </xf>
    <xf numFmtId="0" fontId="49" fillId="11" borderId="29" xfId="0" applyFont="1" applyFill="1" applyBorder="1" applyAlignment="1">
      <alignment horizontal="center" vertical="center" wrapText="1"/>
    </xf>
    <xf numFmtId="0" fontId="49" fillId="4" borderId="29" xfId="0" applyFont="1" applyFill="1" applyBorder="1" applyAlignment="1">
      <alignment horizontal="center" vertical="center" wrapText="1"/>
    </xf>
    <xf numFmtId="0" fontId="49" fillId="4" borderId="30" xfId="0" applyFont="1" applyFill="1" applyBorder="1" applyAlignment="1">
      <alignment horizontal="center" vertical="center" wrapText="1"/>
    </xf>
    <xf numFmtId="0" fontId="49" fillId="4" borderId="38" xfId="0" applyFont="1" applyFill="1" applyBorder="1" applyAlignment="1">
      <alignment horizontal="center" vertical="center" wrapText="1"/>
    </xf>
    <xf numFmtId="0" fontId="49" fillId="4" borderId="39" xfId="0" applyFont="1" applyFill="1" applyBorder="1" applyAlignment="1">
      <alignment horizontal="center" vertical="center" wrapText="1"/>
    </xf>
    <xf numFmtId="0" fontId="49" fillId="4" borderId="40" xfId="0" applyFont="1" applyFill="1" applyBorder="1" applyAlignment="1">
      <alignment horizontal="center" vertical="center" wrapText="1"/>
    </xf>
    <xf numFmtId="0" fontId="49" fillId="4" borderId="25" xfId="0" applyFont="1" applyFill="1" applyBorder="1" applyAlignment="1">
      <alignment horizontal="center" vertical="center" wrapText="1"/>
    </xf>
    <xf numFmtId="0" fontId="49" fillId="4" borderId="12" xfId="0" applyFont="1" applyFill="1" applyBorder="1" applyAlignment="1">
      <alignment horizontal="center" vertical="center" wrapText="1"/>
    </xf>
    <xf numFmtId="0" fontId="49" fillId="4" borderId="13" xfId="0" applyFont="1" applyFill="1" applyBorder="1" applyAlignment="1">
      <alignment horizontal="center" vertical="center" wrapText="1"/>
    </xf>
    <xf numFmtId="0" fontId="28" fillId="4" borderId="10" xfId="0" applyFont="1" applyFill="1" applyBorder="1"/>
    <xf numFmtId="0" fontId="49" fillId="9" borderId="48" xfId="0" applyFont="1" applyFill="1" applyBorder="1" applyAlignment="1">
      <alignment horizontal="center" vertical="center" wrapText="1"/>
    </xf>
    <xf numFmtId="0" fontId="50" fillId="4" borderId="44" xfId="0" applyFont="1" applyFill="1" applyBorder="1" applyAlignment="1">
      <alignment horizontal="center" vertical="center" wrapText="1"/>
    </xf>
    <xf numFmtId="0" fontId="49" fillId="11" borderId="55" xfId="0" applyFont="1" applyFill="1" applyBorder="1" applyAlignment="1">
      <alignment horizontal="center" vertical="center" wrapText="1"/>
    </xf>
    <xf numFmtId="0" fontId="49" fillId="11" borderId="33" xfId="0" applyFont="1" applyFill="1" applyBorder="1" applyAlignment="1">
      <alignment horizontal="center" vertical="center" wrapText="1"/>
    </xf>
    <xf numFmtId="0" fontId="49" fillId="4" borderId="25" xfId="0" applyFont="1" applyFill="1" applyBorder="1" applyAlignment="1">
      <alignment horizontal="center" vertical="center" wrapText="1"/>
    </xf>
    <xf numFmtId="0" fontId="49" fillId="4" borderId="12" xfId="0" applyFont="1" applyFill="1" applyBorder="1" applyAlignment="1">
      <alignment horizontal="center" vertical="center" wrapText="1"/>
    </xf>
    <xf numFmtId="0" fontId="49" fillId="4" borderId="13" xfId="0" applyFont="1" applyFill="1" applyBorder="1" applyAlignment="1">
      <alignment horizontal="center" vertical="center" wrapText="1"/>
    </xf>
    <xf numFmtId="0" fontId="48" fillId="8" borderId="10" xfId="0" applyFont="1" applyFill="1" applyBorder="1" applyAlignment="1">
      <alignment horizontal="left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9" fillId="11" borderId="63" xfId="0" applyFont="1" applyFill="1" applyBorder="1" applyAlignment="1">
      <alignment horizontal="center" vertical="center" wrapText="1"/>
    </xf>
    <xf numFmtId="0" fontId="41" fillId="0" borderId="10" xfId="0" applyFont="1" applyBorder="1" applyAlignment="1">
      <alignment vertical="center" wrapText="1"/>
    </xf>
    <xf numFmtId="0" fontId="41" fillId="0" borderId="25" xfId="0" applyFont="1" applyBorder="1" applyAlignment="1">
      <alignment vertical="center" wrapText="1"/>
    </xf>
    <xf numFmtId="0" fontId="41" fillId="0" borderId="12" xfId="0" applyFont="1" applyBorder="1" applyAlignment="1">
      <alignment vertical="center" wrapText="1"/>
    </xf>
    <xf numFmtId="0" fontId="41" fillId="0" borderId="13" xfId="0" applyFont="1" applyBorder="1" applyAlignment="1">
      <alignment vertical="center" wrapText="1"/>
    </xf>
    <xf numFmtId="0" fontId="41" fillId="0" borderId="26" xfId="0" applyFont="1" applyBorder="1" applyAlignment="1">
      <alignment vertical="center" wrapText="1"/>
    </xf>
    <xf numFmtId="0" fontId="41" fillId="0" borderId="27" xfId="0" applyFont="1" applyBorder="1" applyAlignment="1">
      <alignment vertical="center" wrapText="1"/>
    </xf>
    <xf numFmtId="0" fontId="49" fillId="4" borderId="32" xfId="0" applyNumberFormat="1" applyFont="1" applyFill="1" applyBorder="1" applyAlignment="1">
      <alignment horizontal="center" vertical="center" wrapText="1"/>
    </xf>
    <xf numFmtId="0" fontId="40" fillId="4" borderId="29" xfId="0" applyFont="1" applyFill="1" applyBorder="1" applyAlignment="1">
      <alignment horizontal="center" vertical="center" wrapText="1"/>
    </xf>
    <xf numFmtId="0" fontId="40" fillId="4" borderId="30" xfId="0" applyFont="1" applyFill="1" applyBorder="1" applyAlignment="1">
      <alignment horizontal="center" vertical="center" wrapText="1"/>
    </xf>
    <xf numFmtId="0" fontId="40" fillId="4" borderId="30" xfId="0" applyNumberFormat="1" applyFont="1" applyFill="1" applyBorder="1" applyAlignment="1">
      <alignment horizontal="center" vertical="center" wrapText="1"/>
    </xf>
    <xf numFmtId="0" fontId="50" fillId="11" borderId="10" xfId="0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left" vertical="center" wrapText="1"/>
    </xf>
    <xf numFmtId="0" fontId="11" fillId="4" borderId="5" xfId="0" applyFont="1" applyFill="1" applyBorder="1" applyAlignment="1">
      <alignment horizontal="left" vertical="center" wrapText="1"/>
    </xf>
    <xf numFmtId="0" fontId="49" fillId="11" borderId="44" xfId="0" applyFont="1" applyFill="1" applyBorder="1" applyAlignment="1">
      <alignment horizontal="left" vertical="center" wrapText="1"/>
    </xf>
    <xf numFmtId="0" fontId="49" fillId="4" borderId="29" xfId="0" applyFont="1" applyFill="1" applyBorder="1" applyAlignment="1">
      <alignment horizontal="left" vertical="center" wrapText="1"/>
    </xf>
    <xf numFmtId="0" fontId="49" fillId="4" borderId="30" xfId="0" applyFont="1" applyFill="1" applyBorder="1" applyAlignment="1">
      <alignment horizontal="left" vertical="center" wrapText="1"/>
    </xf>
    <xf numFmtId="0" fontId="40" fillId="4" borderId="39" xfId="0" applyFont="1" applyFill="1" applyBorder="1" applyAlignment="1">
      <alignment horizontal="center" vertical="center" wrapText="1"/>
    </xf>
    <xf numFmtId="0" fontId="40" fillId="4" borderId="40" xfId="0" applyFont="1" applyFill="1" applyBorder="1" applyAlignment="1">
      <alignment horizontal="center" vertical="center" wrapText="1"/>
    </xf>
    <xf numFmtId="0" fontId="40" fillId="4" borderId="29" xfId="0" applyNumberFormat="1" applyFont="1" applyFill="1" applyBorder="1" applyAlignment="1">
      <alignment horizontal="center" vertical="center" wrapText="1"/>
    </xf>
    <xf numFmtId="0" fontId="49" fillId="9" borderId="25" xfId="0" applyFont="1" applyFill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top" wrapText="1"/>
    </xf>
    <xf numFmtId="0" fontId="23" fillId="0" borderId="37" xfId="0" applyFont="1" applyBorder="1" applyAlignment="1">
      <alignment horizontal="center" vertical="top" wrapText="1"/>
    </xf>
    <xf numFmtId="0" fontId="23" fillId="0" borderId="43" xfId="0" applyFont="1" applyBorder="1" applyAlignment="1">
      <alignment horizontal="center" vertical="justify" wrapText="1"/>
    </xf>
    <xf numFmtId="0" fontId="49" fillId="11" borderId="22" xfId="0" applyFont="1" applyFill="1" applyBorder="1" applyAlignment="1">
      <alignment horizontal="center" vertical="center" wrapText="1"/>
    </xf>
    <xf numFmtId="0" fontId="50" fillId="9" borderId="10" xfId="0" applyFont="1" applyFill="1" applyBorder="1" applyAlignment="1">
      <alignment horizontal="center" vertical="center" wrapText="1"/>
    </xf>
    <xf numFmtId="0" fontId="48" fillId="4" borderId="26" xfId="0" applyFont="1" applyFill="1" applyBorder="1" applyAlignment="1">
      <alignment horizontal="left" vertical="center" wrapText="1"/>
    </xf>
    <xf numFmtId="0" fontId="48" fillId="11" borderId="26" xfId="0" applyFont="1" applyFill="1" applyBorder="1" applyAlignment="1">
      <alignment horizontal="left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textRotation="90" wrapText="1"/>
    </xf>
    <xf numFmtId="0" fontId="5" fillId="0" borderId="17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7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textRotation="90" wrapText="1"/>
    </xf>
    <xf numFmtId="0" fontId="20" fillId="0" borderId="23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17" xfId="0" applyFont="1" applyFill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50" fillId="9" borderId="27" xfId="0" applyFont="1" applyFill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0" fillId="4" borderId="23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4" borderId="41" xfId="0" applyFont="1" applyFill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49" fillId="9" borderId="29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50" fillId="11" borderId="27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7" xfId="0" applyFont="1" applyFill="1" applyBorder="1" applyAlignment="1">
      <alignment horizontal="center" vertical="center" wrapText="1"/>
    </xf>
    <xf numFmtId="0" fontId="55" fillId="9" borderId="31" xfId="0" applyFont="1" applyFill="1" applyBorder="1" applyAlignment="1">
      <alignment horizontal="center" vertical="center" wrapText="1"/>
    </xf>
    <xf numFmtId="0" fontId="21" fillId="4" borderId="32" xfId="0" applyFont="1" applyFill="1" applyBorder="1" applyAlignment="1">
      <alignment horizontal="center" vertical="center" wrapText="1"/>
    </xf>
    <xf numFmtId="0" fontId="21" fillId="4" borderId="33" xfId="0" applyFont="1" applyFill="1" applyBorder="1" applyAlignment="1">
      <alignment horizontal="left" vertical="center" wrapText="1"/>
    </xf>
    <xf numFmtId="0" fontId="20" fillId="4" borderId="37" xfId="0" applyFont="1" applyFill="1" applyBorder="1" applyAlignment="1">
      <alignment horizontal="center" vertical="center" wrapText="1"/>
    </xf>
    <xf numFmtId="0" fontId="49" fillId="11" borderId="38" xfId="0" applyFont="1" applyFill="1" applyBorder="1" applyAlignment="1">
      <alignment horizontal="center" vertical="center" wrapText="1"/>
    </xf>
    <xf numFmtId="0" fontId="50" fillId="11" borderId="33" xfId="0" applyFont="1" applyFill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/>
    </xf>
    <xf numFmtId="0" fontId="49" fillId="9" borderId="39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49" fillId="11" borderId="48" xfId="0" applyFont="1" applyFill="1" applyBorder="1" applyAlignment="1">
      <alignment horizontal="center" vertical="center" wrapText="1"/>
    </xf>
    <xf numFmtId="0" fontId="50" fillId="10" borderId="12" xfId="0" applyFont="1" applyFill="1" applyBorder="1" applyAlignment="1">
      <alignment horizontal="center" vertical="center" wrapText="1"/>
    </xf>
    <xf numFmtId="0" fontId="40" fillId="10" borderId="10" xfId="0" applyFont="1" applyFill="1" applyBorder="1" applyAlignment="1">
      <alignment horizontal="center" vertical="center" wrapText="1"/>
    </xf>
    <xf numFmtId="0" fontId="50" fillId="10" borderId="26" xfId="0" applyFont="1" applyFill="1" applyBorder="1" applyAlignment="1">
      <alignment horizontal="center" vertical="center" wrapText="1"/>
    </xf>
    <xf numFmtId="0" fontId="50" fillId="10" borderId="25" xfId="0" applyFont="1" applyFill="1" applyBorder="1" applyAlignment="1">
      <alignment horizontal="center" vertical="center" wrapText="1"/>
    </xf>
    <xf numFmtId="0" fontId="50" fillId="13" borderId="10" xfId="0" applyFont="1" applyFill="1" applyBorder="1" applyAlignment="1">
      <alignment horizontal="center" vertical="center" wrapText="1"/>
    </xf>
    <xf numFmtId="0" fontId="22" fillId="4" borderId="0" xfId="0" applyFont="1" applyFill="1"/>
    <xf numFmtId="0" fontId="29" fillId="9" borderId="0" xfId="0" applyFont="1" applyFill="1"/>
    <xf numFmtId="0" fontId="50" fillId="9" borderId="12" xfId="0" applyFont="1" applyFill="1" applyBorder="1" applyAlignment="1">
      <alignment horizontal="center" vertical="center" wrapText="1"/>
    </xf>
    <xf numFmtId="0" fontId="70" fillId="0" borderId="13" xfId="0" applyFont="1" applyBorder="1" applyAlignment="1">
      <alignment horizontal="center" vertical="center" wrapText="1"/>
    </xf>
    <xf numFmtId="0" fontId="50" fillId="13" borderId="12" xfId="0" applyFont="1" applyFill="1" applyBorder="1" applyAlignment="1">
      <alignment horizontal="center" vertical="center" wrapText="1"/>
    </xf>
    <xf numFmtId="0" fontId="50" fillId="10" borderId="13" xfId="0" applyFont="1" applyFill="1" applyBorder="1" applyAlignment="1">
      <alignment horizontal="center" vertical="center" wrapText="1"/>
    </xf>
    <xf numFmtId="0" fontId="49" fillId="13" borderId="26" xfId="0" applyFont="1" applyFill="1" applyBorder="1" applyAlignment="1">
      <alignment horizontal="center" vertical="center" wrapText="1"/>
    </xf>
    <xf numFmtId="0" fontId="49" fillId="13" borderId="10" xfId="0" applyFont="1" applyFill="1" applyBorder="1" applyAlignment="1">
      <alignment horizontal="center" vertical="center" wrapText="1"/>
    </xf>
    <xf numFmtId="0" fontId="50" fillId="13" borderId="27" xfId="0" applyFont="1" applyFill="1" applyBorder="1" applyAlignment="1">
      <alignment horizontal="center" vertical="center" wrapText="1"/>
    </xf>
    <xf numFmtId="0" fontId="40" fillId="4" borderId="38" xfId="0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left" vertical="center" wrapText="1"/>
    </xf>
    <xf numFmtId="0" fontId="28" fillId="4" borderId="10" xfId="0" applyFont="1" applyFill="1" applyBorder="1" applyAlignment="1">
      <alignment horizontal="left" vertical="center" wrapText="1"/>
    </xf>
    <xf numFmtId="0" fontId="27" fillId="4" borderId="26" xfId="0" applyFont="1" applyFill="1" applyBorder="1" applyAlignment="1">
      <alignment horizontal="left" vertical="center" wrapText="1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0" fillId="4" borderId="32" xfId="0" applyFont="1" applyFill="1" applyBorder="1" applyAlignment="1">
      <alignment horizontal="center" vertical="center" wrapText="1"/>
    </xf>
    <xf numFmtId="0" fontId="55" fillId="0" borderId="43" xfId="0" applyFont="1" applyBorder="1" applyAlignment="1">
      <alignment horizontal="center" vertical="justify" wrapText="1"/>
    </xf>
    <xf numFmtId="0" fontId="55" fillId="0" borderId="4" xfId="0" applyFont="1" applyBorder="1" applyAlignment="1">
      <alignment horizontal="center" vertical="justify" wrapText="1"/>
    </xf>
    <xf numFmtId="0" fontId="27" fillId="4" borderId="30" xfId="0" applyFont="1" applyFill="1" applyBorder="1" applyAlignment="1">
      <alignment horizontal="center" vertical="center" wrapText="1"/>
    </xf>
    <xf numFmtId="0" fontId="71" fillId="11" borderId="26" xfId="0" applyFont="1" applyFill="1" applyBorder="1" applyAlignment="1">
      <alignment horizontal="center" vertical="center" wrapText="1"/>
    </xf>
    <xf numFmtId="0" fontId="71" fillId="11" borderId="12" xfId="0" applyFont="1" applyFill="1" applyBorder="1" applyAlignment="1">
      <alignment horizontal="center" vertical="center" wrapText="1"/>
    </xf>
    <xf numFmtId="0" fontId="49" fillId="9" borderId="27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7" xfId="0" applyFont="1" applyFill="1" applyBorder="1" applyAlignment="1">
      <alignment horizontal="center" vertical="center" wrapText="1"/>
    </xf>
    <xf numFmtId="0" fontId="49" fillId="9" borderId="28" xfId="0" applyFont="1" applyFill="1" applyBorder="1" applyAlignment="1">
      <alignment horizontal="center" vertical="center" wrapText="1"/>
    </xf>
    <xf numFmtId="0" fontId="41" fillId="10" borderId="25" xfId="0" applyFont="1" applyFill="1" applyBorder="1" applyAlignment="1">
      <alignment horizontal="center" vertical="center" wrapText="1"/>
    </xf>
    <xf numFmtId="0" fontId="41" fillId="10" borderId="12" xfId="0" applyFont="1" applyFill="1" applyBorder="1" applyAlignment="1">
      <alignment horizontal="center" vertical="center" wrapText="1"/>
    </xf>
    <xf numFmtId="0" fontId="41" fillId="10" borderId="13" xfId="0" applyFont="1" applyFill="1" applyBorder="1" applyAlignment="1">
      <alignment horizontal="center" vertical="center" wrapText="1"/>
    </xf>
    <xf numFmtId="0" fontId="41" fillId="10" borderId="10" xfId="0" applyFont="1" applyFill="1" applyBorder="1" applyAlignment="1">
      <alignment horizontal="center" vertical="center" wrapText="1"/>
    </xf>
    <xf numFmtId="0" fontId="41" fillId="10" borderId="27" xfId="0" applyFont="1" applyFill="1" applyBorder="1" applyAlignment="1">
      <alignment horizontal="center" vertical="center" wrapText="1"/>
    </xf>
    <xf numFmtId="0" fontId="50" fillId="10" borderId="10" xfId="0" applyFont="1" applyFill="1" applyBorder="1" applyAlignment="1">
      <alignment horizontal="center" vertical="center" wrapText="1"/>
    </xf>
    <xf numFmtId="0" fontId="50" fillId="10" borderId="27" xfId="0" applyFont="1" applyFill="1" applyBorder="1" applyAlignment="1">
      <alignment horizontal="center" vertical="center" wrapText="1"/>
    </xf>
    <xf numFmtId="0" fontId="41" fillId="10" borderId="28" xfId="0" applyFont="1" applyFill="1" applyBorder="1" applyAlignment="1">
      <alignment horizontal="center" vertical="center"/>
    </xf>
    <xf numFmtId="0" fontId="41" fillId="10" borderId="29" xfId="0" applyFont="1" applyFill="1" applyBorder="1" applyAlignment="1">
      <alignment horizontal="center" vertical="center"/>
    </xf>
    <xf numFmtId="0" fontId="41" fillId="10" borderId="30" xfId="0" applyFont="1" applyFill="1" applyBorder="1" applyAlignment="1">
      <alignment horizontal="center" vertical="center"/>
    </xf>
    <xf numFmtId="0" fontId="40" fillId="4" borderId="31" xfId="0" applyFont="1" applyFill="1" applyBorder="1" applyAlignment="1">
      <alignment horizontal="center" vertical="center" wrapText="1"/>
    </xf>
    <xf numFmtId="0" fontId="40" fillId="4" borderId="32" xfId="0" applyNumberFormat="1" applyFont="1" applyFill="1" applyBorder="1" applyAlignment="1">
      <alignment horizontal="center" vertical="center" wrapText="1"/>
    </xf>
    <xf numFmtId="0" fontId="40" fillId="4" borderId="33" xfId="0" applyNumberFormat="1" applyFont="1" applyFill="1" applyBorder="1" applyAlignment="1">
      <alignment horizontal="center" vertical="center" wrapText="1"/>
    </xf>
    <xf numFmtId="0" fontId="50" fillId="9" borderId="26" xfId="0" applyFont="1" applyFill="1" applyBorder="1" applyAlignment="1">
      <alignment horizontal="center" vertical="center" wrapText="1"/>
    </xf>
    <xf numFmtId="0" fontId="34" fillId="4" borderId="38" xfId="0" applyFont="1" applyFill="1" applyBorder="1" applyAlignment="1">
      <alignment horizontal="center" vertical="center" wrapText="1"/>
    </xf>
    <xf numFmtId="0" fontId="34" fillId="4" borderId="39" xfId="0" applyFont="1" applyFill="1" applyBorder="1" applyAlignment="1">
      <alignment horizontal="center" vertical="center" wrapText="1"/>
    </xf>
    <xf numFmtId="0" fontId="34" fillId="4" borderId="40" xfId="0" applyFont="1" applyFill="1" applyBorder="1" applyAlignment="1">
      <alignment horizontal="center" vertical="center" wrapText="1"/>
    </xf>
    <xf numFmtId="0" fontId="48" fillId="4" borderId="28" xfId="0" applyFont="1" applyFill="1" applyBorder="1" applyAlignment="1">
      <alignment horizontal="left" vertical="center" wrapText="1"/>
    </xf>
    <xf numFmtId="0" fontId="48" fillId="11" borderId="29" xfId="0" applyFont="1" applyFill="1" applyBorder="1" applyAlignment="1">
      <alignment horizontal="left" vertical="center" wrapText="1"/>
    </xf>
    <xf numFmtId="0" fontId="48" fillId="0" borderId="29" xfId="0" applyFont="1" applyFill="1" applyBorder="1" applyAlignment="1">
      <alignment horizontal="left" vertical="center" wrapText="1"/>
    </xf>
    <xf numFmtId="0" fontId="48" fillId="0" borderId="30" xfId="0" applyFont="1" applyFill="1" applyBorder="1" applyAlignment="1">
      <alignment horizontal="left" vertical="center" wrapText="1"/>
    </xf>
    <xf numFmtId="0" fontId="49" fillId="11" borderId="28" xfId="0" applyFont="1" applyFill="1" applyBorder="1" applyAlignment="1">
      <alignment horizontal="left" vertical="center" wrapText="1"/>
    </xf>
    <xf numFmtId="0" fontId="27" fillId="10" borderId="28" xfId="0" applyFont="1" applyFill="1" applyBorder="1" applyAlignment="1">
      <alignment horizontal="left" vertical="center" wrapText="1"/>
    </xf>
    <xf numFmtId="0" fontId="27" fillId="10" borderId="29" xfId="0" applyFont="1" applyFill="1" applyBorder="1" applyAlignment="1">
      <alignment horizontal="left" vertical="center" wrapText="1"/>
    </xf>
    <xf numFmtId="0" fontId="27" fillId="10" borderId="30" xfId="0" applyFont="1" applyFill="1" applyBorder="1" applyAlignment="1">
      <alignment horizontal="left" vertical="center" wrapText="1"/>
    </xf>
    <xf numFmtId="0" fontId="49" fillId="11" borderId="25" xfId="0" applyFont="1" applyFill="1" applyBorder="1" applyAlignment="1">
      <alignment horizontal="center" vertical="center" wrapText="1"/>
    </xf>
    <xf numFmtId="0" fontId="0" fillId="4" borderId="28" xfId="0" applyFill="1" applyBorder="1"/>
    <xf numFmtId="0" fontId="0" fillId="4" borderId="29" xfId="0" applyFill="1" applyBorder="1"/>
    <xf numFmtId="0" fontId="0" fillId="4" borderId="30" xfId="0" applyFill="1" applyBorder="1"/>
    <xf numFmtId="0" fontId="29" fillId="11" borderId="38" xfId="0" applyFont="1" applyFill="1" applyBorder="1" applyAlignment="1">
      <alignment horizontal="center" vertical="center" wrapText="1"/>
    </xf>
    <xf numFmtId="0" fontId="29" fillId="11" borderId="55" xfId="0" applyFont="1" applyFill="1" applyBorder="1" applyAlignment="1">
      <alignment horizontal="center" vertical="center" wrapText="1"/>
    </xf>
    <xf numFmtId="0" fontId="29" fillId="11" borderId="64" xfId="0" applyFont="1" applyFill="1" applyBorder="1" applyAlignment="1">
      <alignment horizontal="center" vertical="center" wrapText="1"/>
    </xf>
    <xf numFmtId="0" fontId="69" fillId="11" borderId="46" xfId="0" applyFont="1" applyFill="1" applyBorder="1" applyAlignment="1">
      <alignment horizontal="left" vertical="center" wrapText="1"/>
    </xf>
    <xf numFmtId="0" fontId="69" fillId="11" borderId="65" xfId="0" applyFont="1" applyFill="1" applyBorder="1" applyAlignment="1">
      <alignment horizontal="left" vertical="center" wrapText="1"/>
    </xf>
    <xf numFmtId="0" fontId="29" fillId="11" borderId="58" xfId="0" applyFont="1" applyFill="1" applyBorder="1" applyAlignment="1">
      <alignment horizontal="center" vertical="center" wrapText="1"/>
    </xf>
    <xf numFmtId="0" fontId="49" fillId="11" borderId="39" xfId="0" applyFont="1" applyFill="1" applyBorder="1" applyAlignment="1">
      <alignment horizontal="center" vertical="center" wrapText="1"/>
    </xf>
    <xf numFmtId="0" fontId="0" fillId="4" borderId="38" xfId="0" applyFill="1" applyBorder="1"/>
    <xf numFmtId="0" fontId="0" fillId="4" borderId="39" xfId="0" applyFill="1" applyBorder="1"/>
    <xf numFmtId="0" fontId="0" fillId="4" borderId="40" xfId="0" applyFill="1" applyBorder="1"/>
    <xf numFmtId="0" fontId="49" fillId="11" borderId="28" xfId="0" applyFont="1" applyFill="1" applyBorder="1" applyAlignment="1">
      <alignment horizontal="center" vertical="center" wrapText="1"/>
    </xf>
    <xf numFmtId="0" fontId="11" fillId="4" borderId="24" xfId="0" applyFont="1" applyFill="1" applyBorder="1" applyAlignment="1">
      <alignment horizontal="left" vertical="center" wrapText="1"/>
    </xf>
    <xf numFmtId="0" fontId="11" fillId="4" borderId="9" xfId="0" applyFont="1" applyFill="1" applyBorder="1" applyAlignment="1">
      <alignment horizontal="left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19" xfId="0" applyFont="1" applyFill="1" applyBorder="1" applyAlignment="1">
      <alignment horizontal="left" vertical="center" wrapText="1"/>
    </xf>
    <xf numFmtId="0" fontId="7" fillId="4" borderId="19" xfId="0" applyFont="1" applyFill="1" applyBorder="1" applyAlignment="1">
      <alignment horizontal="left" vertical="center" wrapText="1"/>
    </xf>
    <xf numFmtId="0" fontId="50" fillId="11" borderId="26" xfId="0" applyFont="1" applyFill="1" applyBorder="1" applyAlignment="1">
      <alignment horizontal="center" vertical="center" wrapText="1"/>
    </xf>
    <xf numFmtId="0" fontId="40" fillId="10" borderId="26" xfId="0" applyFont="1" applyFill="1" applyBorder="1" applyAlignment="1">
      <alignment horizontal="center" vertical="center" wrapText="1"/>
    </xf>
    <xf numFmtId="0" fontId="40" fillId="10" borderId="27" xfId="0" applyFont="1" applyFill="1" applyBorder="1" applyAlignment="1">
      <alignment horizontal="center" vertical="center" wrapText="1"/>
    </xf>
    <xf numFmtId="0" fontId="49" fillId="13" borderId="15" xfId="0" applyFont="1" applyFill="1" applyBorder="1" applyAlignment="1">
      <alignment horizontal="center" vertical="center" wrapText="1"/>
    </xf>
    <xf numFmtId="0" fontId="40" fillId="10" borderId="28" xfId="0" applyFont="1" applyFill="1" applyBorder="1" applyAlignment="1">
      <alignment horizontal="center" vertical="center" wrapText="1"/>
    </xf>
    <xf numFmtId="0" fontId="40" fillId="10" borderId="29" xfId="0" applyFont="1" applyFill="1" applyBorder="1" applyAlignment="1">
      <alignment horizontal="center" vertical="center" wrapText="1"/>
    </xf>
    <xf numFmtId="0" fontId="41" fillId="10" borderId="29" xfId="0" applyFont="1" applyFill="1" applyBorder="1" applyAlignment="1">
      <alignment horizontal="center" vertical="center" wrapText="1"/>
    </xf>
    <xf numFmtId="0" fontId="41" fillId="10" borderId="30" xfId="0" applyFont="1" applyFill="1" applyBorder="1" applyAlignment="1">
      <alignment horizontal="center" vertical="center" wrapText="1"/>
    </xf>
    <xf numFmtId="0" fontId="40" fillId="10" borderId="25" xfId="0" applyFont="1" applyFill="1" applyBorder="1" applyAlignment="1">
      <alignment horizontal="center" vertical="center" wrapText="1"/>
    </xf>
    <xf numFmtId="0" fontId="40" fillId="10" borderId="12" xfId="0" applyFont="1" applyFill="1" applyBorder="1" applyAlignment="1">
      <alignment horizontal="center" vertical="center" wrapText="1"/>
    </xf>
    <xf numFmtId="0" fontId="40" fillId="10" borderId="13" xfId="0" applyFont="1" applyFill="1" applyBorder="1" applyAlignment="1">
      <alignment horizontal="center" vertical="center" wrapText="1"/>
    </xf>
    <xf numFmtId="0" fontId="49" fillId="13" borderId="55" xfId="0" applyFont="1" applyFill="1" applyBorder="1" applyAlignment="1">
      <alignment horizontal="center" vertical="center" wrapText="1"/>
    </xf>
    <xf numFmtId="0" fontId="49" fillId="13" borderId="22" xfId="0" applyFont="1" applyFill="1" applyBorder="1" applyAlignment="1">
      <alignment horizontal="center" vertical="center" wrapText="1"/>
    </xf>
    <xf numFmtId="0" fontId="49" fillId="13" borderId="38" xfId="0" applyFont="1" applyFill="1" applyBorder="1" applyAlignment="1">
      <alignment horizontal="center" vertical="center" wrapText="1"/>
    </xf>
    <xf numFmtId="0" fontId="40" fillId="10" borderId="31" xfId="0" applyFont="1" applyFill="1" applyBorder="1" applyAlignment="1">
      <alignment horizontal="center" vertical="center" wrapText="1"/>
    </xf>
    <xf numFmtId="0" fontId="40" fillId="10" borderId="32" xfId="0" applyNumberFormat="1" applyFont="1" applyFill="1" applyBorder="1" applyAlignment="1">
      <alignment horizontal="center" vertical="center" wrapText="1"/>
    </xf>
    <xf numFmtId="0" fontId="40" fillId="10" borderId="32" xfId="0" applyFont="1" applyFill="1" applyBorder="1" applyAlignment="1">
      <alignment horizontal="center" vertical="center" wrapText="1"/>
    </xf>
    <xf numFmtId="0" fontId="40" fillId="10" borderId="33" xfId="0" applyNumberFormat="1" applyFont="1" applyFill="1" applyBorder="1" applyAlignment="1">
      <alignment horizontal="center" vertical="center" wrapText="1"/>
    </xf>
    <xf numFmtId="0" fontId="49" fillId="10" borderId="4" xfId="0" applyFont="1" applyFill="1" applyBorder="1" applyAlignment="1">
      <alignment horizontal="center" vertical="center" wrapText="1"/>
    </xf>
    <xf numFmtId="0" fontId="34" fillId="10" borderId="25" xfId="0" applyFont="1" applyFill="1" applyBorder="1" applyAlignment="1">
      <alignment horizontal="center" vertical="center" wrapText="1"/>
    </xf>
    <xf numFmtId="0" fontId="34" fillId="10" borderId="12" xfId="0" applyFont="1" applyFill="1" applyBorder="1" applyAlignment="1">
      <alignment horizontal="center" vertical="center" wrapText="1"/>
    </xf>
    <xf numFmtId="0" fontId="34" fillId="10" borderId="13" xfId="0" applyFont="1" applyFill="1" applyBorder="1" applyAlignment="1">
      <alignment horizontal="center" vertical="center" wrapText="1"/>
    </xf>
    <xf numFmtId="0" fontId="34" fillId="10" borderId="26" xfId="0" applyFont="1" applyFill="1" applyBorder="1" applyAlignment="1">
      <alignment horizontal="center" vertical="center" wrapText="1"/>
    </xf>
    <xf numFmtId="0" fontId="34" fillId="10" borderId="10" xfId="0" applyFont="1" applyFill="1" applyBorder="1" applyAlignment="1">
      <alignment horizontal="center" vertical="center" wrapText="1"/>
    </xf>
    <xf numFmtId="0" fontId="34" fillId="10" borderId="27" xfId="0" applyFont="1" applyFill="1" applyBorder="1" applyAlignment="1">
      <alignment horizontal="center" vertical="center" wrapText="1"/>
    </xf>
    <xf numFmtId="0" fontId="34" fillId="10" borderId="27" xfId="0" applyFont="1" applyFill="1" applyBorder="1" applyAlignment="1">
      <alignment horizontal="center" vertical="center"/>
    </xf>
    <xf numFmtId="0" fontId="34" fillId="10" borderId="28" xfId="0" applyFont="1" applyFill="1" applyBorder="1" applyAlignment="1">
      <alignment horizontal="center" vertical="center" wrapText="1"/>
    </xf>
    <xf numFmtId="0" fontId="34" fillId="10" borderId="29" xfId="0" applyFont="1" applyFill="1" applyBorder="1" applyAlignment="1">
      <alignment horizontal="center" vertical="center" wrapText="1"/>
    </xf>
    <xf numFmtId="0" fontId="34" fillId="10" borderId="30" xfId="0" applyFont="1" applyFill="1" applyBorder="1" applyAlignment="1">
      <alignment horizontal="center" vertical="center" wrapText="1"/>
    </xf>
    <xf numFmtId="0" fontId="22" fillId="4" borderId="42" xfId="0" applyFont="1" applyFill="1" applyBorder="1" applyAlignment="1"/>
    <xf numFmtId="0" fontId="23" fillId="9" borderId="0" xfId="0" applyFont="1" applyFill="1"/>
    <xf numFmtId="0" fontId="30" fillId="4" borderId="10" xfId="0" applyFont="1" applyFill="1" applyBorder="1"/>
    <xf numFmtId="0" fontId="30" fillId="11" borderId="10" xfId="0" applyFont="1" applyFill="1" applyBorder="1"/>
    <xf numFmtId="0" fontId="49" fillId="4" borderId="28" xfId="0" applyFont="1" applyFill="1" applyBorder="1" applyAlignment="1">
      <alignment vertical="center" wrapText="1"/>
    </xf>
    <xf numFmtId="0" fontId="49" fillId="4" borderId="29" xfId="0" applyFont="1" applyFill="1" applyBorder="1" applyAlignment="1">
      <alignment vertical="center" wrapText="1"/>
    </xf>
    <xf numFmtId="0" fontId="49" fillId="4" borderId="30" xfId="0" applyFont="1" applyFill="1" applyBorder="1" applyAlignment="1">
      <alignment vertical="center" wrapText="1"/>
    </xf>
    <xf numFmtId="0" fontId="49" fillId="11" borderId="44" xfId="0" applyFont="1" applyFill="1" applyBorder="1" applyAlignment="1">
      <alignment vertical="center" wrapText="1"/>
    </xf>
    <xf numFmtId="0" fontId="49" fillId="11" borderId="16" xfId="0" applyFont="1" applyFill="1" applyBorder="1" applyAlignment="1">
      <alignment horizontal="left" vertical="center" wrapText="1"/>
    </xf>
    <xf numFmtId="0" fontId="49" fillId="11" borderId="66" xfId="0" applyFont="1" applyFill="1" applyBorder="1" applyAlignment="1">
      <alignment horizontal="left" vertical="center" wrapText="1"/>
    </xf>
    <xf numFmtId="0" fontId="49" fillId="11" borderId="58" xfId="0" applyFont="1" applyFill="1" applyBorder="1" applyAlignment="1">
      <alignment horizontal="left" vertical="center" wrapText="1"/>
    </xf>
    <xf numFmtId="0" fontId="49" fillId="4" borderId="26" xfId="0" applyFont="1" applyFill="1" applyBorder="1" applyAlignment="1">
      <alignment horizontal="left" vertical="center"/>
    </xf>
    <xf numFmtId="0" fontId="49" fillId="11" borderId="10" xfId="0" applyFont="1" applyFill="1" applyBorder="1" applyAlignment="1">
      <alignment horizontal="left" vertical="center" wrapText="1"/>
    </xf>
    <xf numFmtId="0" fontId="49" fillId="4" borderId="10" xfId="0" applyFont="1" applyFill="1" applyBorder="1" applyAlignment="1">
      <alignment horizontal="left" vertical="center" wrapText="1"/>
    </xf>
    <xf numFmtId="0" fontId="49" fillId="4" borderId="27" xfId="0" applyFont="1" applyFill="1" applyBorder="1" applyAlignment="1">
      <alignment horizontal="left" vertical="center" wrapText="1"/>
    </xf>
    <xf numFmtId="0" fontId="49" fillId="4" borderId="26" xfId="0" applyFont="1" applyFill="1" applyBorder="1" applyAlignment="1">
      <alignment horizontal="left" vertical="center" wrapText="1"/>
    </xf>
    <xf numFmtId="0" fontId="28" fillId="4" borderId="29" xfId="0" applyFont="1" applyFill="1" applyBorder="1" applyAlignment="1">
      <alignment horizontal="left" vertical="center" wrapText="1"/>
    </xf>
    <xf numFmtId="0" fontId="49" fillId="11" borderId="45" xfId="0" applyFont="1" applyFill="1" applyBorder="1" applyAlignment="1">
      <alignment horizontal="center" vertical="center" wrapText="1"/>
    </xf>
    <xf numFmtId="0" fontId="49" fillId="11" borderId="35" xfId="0" applyFont="1" applyFill="1" applyBorder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164" fontId="40" fillId="0" borderId="0" xfId="3" applyNumberFormat="1" applyFont="1" applyBorder="1" applyAlignment="1">
      <alignment horizontal="left" vertical="center"/>
    </xf>
    <xf numFmtId="0" fontId="50" fillId="9" borderId="25" xfId="0" applyFont="1" applyFill="1" applyBorder="1" applyAlignment="1">
      <alignment horizontal="center" vertical="center" wrapText="1"/>
    </xf>
    <xf numFmtId="0" fontId="50" fillId="9" borderId="39" xfId="0" applyFont="1" applyFill="1" applyBorder="1" applyAlignment="1">
      <alignment horizontal="center" vertical="center" wrapText="1"/>
    </xf>
    <xf numFmtId="0" fontId="27" fillId="0" borderId="45" xfId="0" applyNumberFormat="1" applyFont="1" applyBorder="1" applyAlignment="1">
      <alignment horizontal="center" vertical="center" wrapText="1"/>
    </xf>
    <xf numFmtId="0" fontId="27" fillId="0" borderId="48" xfId="0" applyNumberFormat="1" applyFont="1" applyBorder="1" applyAlignment="1">
      <alignment horizontal="center" vertical="center" wrapText="1"/>
    </xf>
    <xf numFmtId="0" fontId="27" fillId="0" borderId="46" xfId="0" applyNumberFormat="1" applyFont="1" applyBorder="1" applyAlignment="1">
      <alignment horizontal="center" vertical="center" wrapText="1"/>
    </xf>
    <xf numFmtId="0" fontId="49" fillId="4" borderId="34" xfId="0" applyFont="1" applyFill="1" applyBorder="1" applyAlignment="1">
      <alignment horizontal="center" vertical="center" wrapText="1"/>
    </xf>
    <xf numFmtId="0" fontId="49" fillId="4" borderId="47" xfId="0" applyFont="1" applyFill="1" applyBorder="1" applyAlignment="1">
      <alignment horizontal="center" vertical="center" wrapText="1"/>
    </xf>
    <xf numFmtId="0" fontId="49" fillId="4" borderId="44" xfId="0" applyFont="1" applyFill="1" applyBorder="1" applyAlignment="1">
      <alignment horizontal="center" vertical="center" wrapText="1"/>
    </xf>
    <xf numFmtId="49" fontId="27" fillId="4" borderId="34" xfId="0" applyNumberFormat="1" applyFont="1" applyFill="1" applyBorder="1" applyAlignment="1">
      <alignment horizontal="center" vertical="center" wrapText="1"/>
    </xf>
    <xf numFmtId="49" fontId="27" fillId="4" borderId="47" xfId="0" applyNumberFormat="1" applyFont="1" applyFill="1" applyBorder="1" applyAlignment="1">
      <alignment horizontal="center" vertical="center" wrapText="1"/>
    </xf>
    <xf numFmtId="49" fontId="27" fillId="4" borderId="44" xfId="0" applyNumberFormat="1" applyFont="1" applyFill="1" applyBorder="1" applyAlignment="1">
      <alignment horizontal="center" vertical="center" wrapText="1"/>
    </xf>
    <xf numFmtId="164" fontId="27" fillId="4" borderId="51" xfId="3" applyNumberFormat="1" applyFont="1" applyFill="1" applyBorder="1" applyAlignment="1">
      <alignment horizontal="center" vertical="center" wrapText="1"/>
    </xf>
    <xf numFmtId="164" fontId="27" fillId="4" borderId="52" xfId="3" applyNumberFormat="1" applyFont="1" applyFill="1" applyBorder="1" applyAlignment="1">
      <alignment horizontal="center" vertical="center" wrapText="1"/>
    </xf>
    <xf numFmtId="164" fontId="27" fillId="4" borderId="53" xfId="3" applyNumberFormat="1" applyFont="1" applyFill="1" applyBorder="1" applyAlignment="1">
      <alignment horizontal="center" vertical="center" wrapText="1"/>
    </xf>
    <xf numFmtId="0" fontId="29" fillId="0" borderId="45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46" xfId="0" applyFont="1" applyBorder="1" applyAlignment="1">
      <alignment horizontal="center" vertical="center" wrapText="1"/>
    </xf>
    <xf numFmtId="49" fontId="29" fillId="4" borderId="34" xfId="0" applyNumberFormat="1" applyFont="1" applyFill="1" applyBorder="1" applyAlignment="1">
      <alignment horizontal="center" vertical="center" wrapText="1"/>
    </xf>
    <xf numFmtId="49" fontId="29" fillId="4" borderId="47" xfId="0" applyNumberFormat="1" applyFont="1" applyFill="1" applyBorder="1" applyAlignment="1">
      <alignment horizontal="center" vertical="center" wrapText="1"/>
    </xf>
    <xf numFmtId="49" fontId="29" fillId="4" borderId="44" xfId="0" applyNumberFormat="1" applyFont="1" applyFill="1" applyBorder="1" applyAlignment="1">
      <alignment horizontal="center" vertical="center" wrapText="1"/>
    </xf>
    <xf numFmtId="49" fontId="29" fillId="4" borderId="51" xfId="0" applyNumberFormat="1" applyFont="1" applyFill="1" applyBorder="1" applyAlignment="1">
      <alignment horizontal="center" vertical="center" wrapText="1"/>
    </xf>
    <xf numFmtId="49" fontId="29" fillId="4" borderId="52" xfId="0" applyNumberFormat="1" applyFont="1" applyFill="1" applyBorder="1" applyAlignment="1">
      <alignment horizontal="center" vertical="center" wrapText="1"/>
    </xf>
    <xf numFmtId="49" fontId="29" fillId="4" borderId="53" xfId="0" applyNumberFormat="1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49" fontId="30" fillId="4" borderId="34" xfId="0" applyNumberFormat="1" applyFont="1" applyFill="1" applyBorder="1" applyAlignment="1">
      <alignment horizontal="center" vertical="center" wrapText="1"/>
    </xf>
    <xf numFmtId="49" fontId="30" fillId="4" borderId="44" xfId="0" applyNumberFormat="1" applyFont="1" applyFill="1" applyBorder="1" applyAlignment="1">
      <alignment horizontal="center" vertical="center" wrapText="1"/>
    </xf>
    <xf numFmtId="49" fontId="30" fillId="4" borderId="35" xfId="0" applyNumberFormat="1" applyFont="1" applyFill="1" applyBorder="1" applyAlignment="1">
      <alignment horizontal="center" vertical="center" wrapText="1"/>
    </xf>
    <xf numFmtId="49" fontId="30" fillId="4" borderId="54" xfId="0" applyNumberFormat="1" applyFont="1" applyFill="1" applyBorder="1" applyAlignment="1">
      <alignment horizontal="center" vertical="center" wrapText="1"/>
    </xf>
    <xf numFmtId="0" fontId="26" fillId="0" borderId="25" xfId="0" applyNumberFormat="1" applyFont="1" applyBorder="1" applyAlignment="1">
      <alignment horizontal="center" vertical="center" wrapText="1"/>
    </xf>
    <xf numFmtId="0" fontId="26" fillId="0" borderId="26" xfId="0" applyNumberFormat="1" applyFont="1" applyBorder="1" applyAlignment="1">
      <alignment horizontal="center" vertical="center" wrapText="1"/>
    </xf>
    <xf numFmtId="0" fontId="35" fillId="4" borderId="0" xfId="0" applyFont="1" applyFill="1" applyAlignment="1">
      <alignment horizontal="center" vertical="center"/>
    </xf>
    <xf numFmtId="0" fontId="49" fillId="4" borderId="23" xfId="0" applyFont="1" applyFill="1" applyBorder="1" applyAlignment="1">
      <alignment horizontal="center" vertical="center" wrapText="1"/>
    </xf>
    <xf numFmtId="0" fontId="49" fillId="4" borderId="20" xfId="0" applyFont="1" applyFill="1" applyBorder="1" applyAlignment="1">
      <alignment horizontal="center" vertical="center" wrapText="1"/>
    </xf>
    <xf numFmtId="0" fontId="49" fillId="4" borderId="21" xfId="0" applyFont="1" applyFill="1" applyBorder="1" applyAlignment="1">
      <alignment horizontal="center" vertical="center" wrapText="1"/>
    </xf>
    <xf numFmtId="0" fontId="27" fillId="0" borderId="25" xfId="0" applyNumberFormat="1" applyFont="1" applyBorder="1" applyAlignment="1">
      <alignment horizontal="center" vertical="center" wrapText="1"/>
    </xf>
    <xf numFmtId="0" fontId="27" fillId="0" borderId="28" xfId="0" applyNumberFormat="1" applyFont="1" applyBorder="1" applyAlignment="1">
      <alignment horizontal="center" vertical="center" wrapText="1"/>
    </xf>
    <xf numFmtId="0" fontId="49" fillId="4" borderId="25" xfId="0" applyFont="1" applyFill="1" applyBorder="1" applyAlignment="1">
      <alignment horizontal="center" vertical="center" wrapText="1"/>
    </xf>
    <xf numFmtId="0" fontId="49" fillId="4" borderId="12" xfId="0" applyFont="1" applyFill="1" applyBorder="1" applyAlignment="1">
      <alignment horizontal="center" vertical="center" wrapText="1"/>
    </xf>
    <xf numFmtId="0" fontId="49" fillId="4" borderId="13" xfId="0" applyFont="1" applyFill="1" applyBorder="1" applyAlignment="1">
      <alignment horizontal="center" vertical="center" wrapText="1"/>
    </xf>
    <xf numFmtId="164" fontId="30" fillId="4" borderId="51" xfId="3" applyNumberFormat="1" applyFont="1" applyFill="1" applyBorder="1" applyAlignment="1">
      <alignment horizontal="center" vertical="center" wrapText="1"/>
    </xf>
    <xf numFmtId="164" fontId="30" fillId="4" borderId="53" xfId="3" applyNumberFormat="1" applyFont="1" applyFill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6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0" fontId="26" fillId="4" borderId="51" xfId="0" applyFont="1" applyFill="1" applyBorder="1" applyAlignment="1">
      <alignment horizontal="center" vertical="center" wrapText="1"/>
    </xf>
    <xf numFmtId="0" fontId="26" fillId="4" borderId="57" xfId="0" applyFont="1" applyFill="1" applyBorder="1" applyAlignment="1">
      <alignment horizontal="center" vertical="center" wrapText="1"/>
    </xf>
    <xf numFmtId="0" fontId="26" fillId="4" borderId="8" xfId="0" applyFont="1" applyFill="1" applyBorder="1" applyAlignment="1">
      <alignment horizontal="center" vertical="center" wrapText="1"/>
    </xf>
    <xf numFmtId="0" fontId="49" fillId="4" borderId="23" xfId="0" applyFont="1" applyFill="1" applyBorder="1" applyAlignment="1">
      <alignment horizontal="center" vertical="center"/>
    </xf>
    <xf numFmtId="0" fontId="49" fillId="4" borderId="20" xfId="0" applyFont="1" applyFill="1" applyBorder="1" applyAlignment="1">
      <alignment horizontal="center" vertical="center"/>
    </xf>
    <xf numFmtId="0" fontId="49" fillId="4" borderId="21" xfId="0" applyFont="1" applyFill="1" applyBorder="1" applyAlignment="1">
      <alignment horizontal="center" vertical="center"/>
    </xf>
    <xf numFmtId="0" fontId="49" fillId="4" borderId="37" xfId="0" applyFont="1" applyFill="1" applyBorder="1" applyAlignment="1">
      <alignment horizontal="center" vertical="center" wrapText="1"/>
    </xf>
    <xf numFmtId="0" fontId="49" fillId="4" borderId="24" xfId="0" applyFont="1" applyFill="1" applyBorder="1" applyAlignment="1">
      <alignment horizontal="center" vertical="center" wrapText="1"/>
    </xf>
    <xf numFmtId="0" fontId="49" fillId="4" borderId="64" xfId="0" applyFont="1" applyFill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49" fontId="30" fillId="4" borderId="51" xfId="0" applyNumberFormat="1" applyFont="1" applyFill="1" applyBorder="1" applyAlignment="1">
      <alignment horizontal="center" vertical="center" wrapText="1"/>
    </xf>
    <xf numFmtId="49" fontId="30" fillId="4" borderId="53" xfId="0" applyNumberFormat="1" applyFont="1" applyFill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/>
    </xf>
    <xf numFmtId="0" fontId="44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0" fontId="46" fillId="4" borderId="50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textRotation="90" wrapText="1"/>
    </xf>
    <xf numFmtId="0" fontId="8" fillId="0" borderId="7" xfId="0" applyFont="1" applyFill="1" applyBorder="1" applyAlignment="1">
      <alignment horizontal="center" vertical="center" textRotation="90" wrapText="1"/>
    </xf>
    <xf numFmtId="14" fontId="8" fillId="0" borderId="3" xfId="0" applyNumberFormat="1" applyFont="1" applyFill="1" applyBorder="1" applyAlignment="1">
      <alignment horizontal="center" vertical="center" textRotation="90" wrapText="1"/>
    </xf>
    <xf numFmtId="14" fontId="8" fillId="0" borderId="4" xfId="0" applyNumberFormat="1" applyFont="1" applyFill="1" applyBorder="1" applyAlignment="1">
      <alignment horizontal="center" vertical="center" textRotation="90" wrapText="1"/>
    </xf>
    <xf numFmtId="0" fontId="8" fillId="0" borderId="4" xfId="0" applyFont="1" applyFill="1" applyBorder="1" applyAlignment="1">
      <alignment horizontal="center" vertical="center" textRotation="90" wrapText="1"/>
    </xf>
    <xf numFmtId="0" fontId="47" fillId="0" borderId="0" xfId="0" applyFont="1" applyAlignment="1">
      <alignment horizontal="center" vertical="center"/>
    </xf>
    <xf numFmtId="0" fontId="47" fillId="4" borderId="5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 textRotation="90" wrapText="1"/>
    </xf>
    <xf numFmtId="0" fontId="8" fillId="0" borderId="1" xfId="0" applyFont="1" applyFill="1" applyBorder="1" applyAlignment="1">
      <alignment horizontal="center" vertical="center" textRotation="90" wrapText="1"/>
    </xf>
    <xf numFmtId="0" fontId="8" fillId="0" borderId="9" xfId="0" applyFont="1" applyFill="1" applyBorder="1" applyAlignment="1">
      <alignment horizontal="center" vertical="center" textRotation="90" wrapText="1"/>
    </xf>
    <xf numFmtId="0" fontId="62" fillId="0" borderId="0" xfId="0" applyFont="1" applyAlignment="1">
      <alignment horizontal="center" vertical="center" wrapText="1"/>
    </xf>
    <xf numFmtId="0" fontId="33" fillId="0" borderId="5" xfId="0" applyFont="1" applyFill="1" applyBorder="1" applyAlignment="1">
      <alignment horizontal="center" vertical="center" textRotation="90"/>
    </xf>
    <xf numFmtId="0" fontId="33" fillId="0" borderId="7" xfId="0" applyFont="1" applyFill="1" applyBorder="1" applyAlignment="1">
      <alignment horizontal="center" vertical="center" textRotation="90"/>
    </xf>
    <xf numFmtId="0" fontId="5" fillId="0" borderId="23" xfId="0" applyFont="1" applyFill="1" applyBorder="1" applyAlignment="1">
      <alignment horizontal="center" vertical="center" wrapText="1"/>
    </xf>
    <xf numFmtId="0" fontId="5" fillId="0" borderId="4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textRotation="90" wrapText="1"/>
    </xf>
    <xf numFmtId="14" fontId="8" fillId="0" borderId="2" xfId="0" applyNumberFormat="1" applyFont="1" applyFill="1" applyBorder="1" applyAlignment="1">
      <alignment horizontal="center" vertical="center" textRotation="90" wrapText="1"/>
    </xf>
    <xf numFmtId="14" fontId="8" fillId="0" borderId="1" xfId="0" applyNumberFormat="1" applyFont="1" applyFill="1" applyBorder="1" applyAlignment="1">
      <alignment horizontal="center" vertical="center" textRotation="90" wrapText="1"/>
    </xf>
    <xf numFmtId="14" fontId="8" fillId="0" borderId="9" xfId="0" applyNumberFormat="1" applyFont="1" applyFill="1" applyBorder="1" applyAlignment="1">
      <alignment horizontal="center" vertical="center" textRotation="90" wrapText="1"/>
    </xf>
    <xf numFmtId="0" fontId="47" fillId="4" borderId="0" xfId="0" applyFont="1" applyFill="1" applyAlignment="1">
      <alignment horizontal="center" vertical="center"/>
    </xf>
    <xf numFmtId="0" fontId="36" fillId="0" borderId="4" xfId="0" applyFont="1" applyFill="1" applyBorder="1" applyAlignment="1">
      <alignment horizontal="center" vertical="center" wrapText="1"/>
    </xf>
    <xf numFmtId="0" fontId="36" fillId="0" borderId="19" xfId="0" applyFont="1" applyFill="1" applyBorder="1" applyAlignment="1">
      <alignment horizontal="center" vertical="center" wrapText="1"/>
    </xf>
    <xf numFmtId="0" fontId="36" fillId="0" borderId="22" xfId="0" applyFont="1" applyFill="1" applyBorder="1" applyAlignment="1">
      <alignment horizontal="center" vertical="center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textRotation="90" wrapText="1"/>
    </xf>
    <xf numFmtId="14" fontId="26" fillId="0" borderId="9" xfId="0" applyNumberFormat="1" applyFont="1" applyFill="1" applyBorder="1" applyAlignment="1">
      <alignment horizontal="center" vertical="center" textRotation="90" wrapText="1"/>
    </xf>
    <xf numFmtId="14" fontId="26" fillId="0" borderId="3" xfId="0" applyNumberFormat="1" applyFont="1" applyFill="1" applyBorder="1" applyAlignment="1">
      <alignment horizontal="center" vertical="center" textRotation="90" wrapText="1"/>
    </xf>
    <xf numFmtId="0" fontId="65" fillId="0" borderId="17" xfId="0" applyFont="1" applyFill="1" applyBorder="1" applyAlignment="1">
      <alignment horizontal="center" vertical="center" wrapText="1"/>
    </xf>
    <xf numFmtId="0" fontId="65" fillId="0" borderId="16" xfId="0" applyFont="1" applyFill="1" applyBorder="1" applyAlignment="1">
      <alignment horizontal="center" vertical="center" wrapText="1"/>
    </xf>
    <xf numFmtId="0" fontId="65" fillId="0" borderId="18" xfId="0" applyFont="1" applyFill="1" applyBorder="1" applyAlignment="1">
      <alignment horizontal="center" vertical="center" wrapText="1"/>
    </xf>
    <xf numFmtId="0" fontId="36" fillId="0" borderId="23" xfId="0" applyFont="1" applyFill="1" applyBorder="1" applyAlignment="1">
      <alignment horizontal="center" vertical="center" wrapText="1"/>
    </xf>
    <xf numFmtId="0" fontId="36" fillId="0" borderId="20" xfId="0" applyFont="1" applyFill="1" applyBorder="1" applyAlignment="1">
      <alignment horizontal="center" vertical="center" wrapText="1"/>
    </xf>
    <xf numFmtId="0" fontId="36" fillId="0" borderId="21" xfId="0" applyFont="1" applyFill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14" fontId="10" fillId="0" borderId="3" xfId="0" applyNumberFormat="1" applyFont="1" applyFill="1" applyBorder="1" applyAlignment="1">
      <alignment horizontal="center" vertical="center" textRotation="90" wrapText="1"/>
    </xf>
    <xf numFmtId="0" fontId="10" fillId="0" borderId="3" xfId="0" applyFont="1" applyFill="1" applyBorder="1" applyAlignment="1">
      <alignment horizontal="center" vertical="center" textRotation="90" wrapText="1"/>
    </xf>
    <xf numFmtId="0" fontId="10" fillId="0" borderId="7" xfId="0" applyFont="1" applyFill="1" applyBorder="1" applyAlignment="1">
      <alignment horizontal="center" vertical="center" textRotation="90" wrapText="1"/>
    </xf>
    <xf numFmtId="0" fontId="31" fillId="0" borderId="3" xfId="0" applyFont="1" applyFill="1" applyBorder="1"/>
    <xf numFmtId="0" fontId="35" fillId="0" borderId="0" xfId="0" applyFont="1" applyAlignment="1">
      <alignment horizontal="center" vertical="center"/>
    </xf>
    <xf numFmtId="0" fontId="35" fillId="4" borderId="50" xfId="0" applyFont="1" applyFill="1" applyBorder="1" applyAlignment="1">
      <alignment horizontal="center" vertical="center"/>
    </xf>
    <xf numFmtId="0" fontId="32" fillId="0" borderId="5" xfId="0" applyFont="1" applyFill="1" applyBorder="1" applyAlignment="1">
      <alignment horizontal="center" vertical="center" textRotation="90"/>
    </xf>
    <xf numFmtId="0" fontId="32" fillId="0" borderId="7" xfId="0" applyFont="1" applyFill="1" applyBorder="1" applyAlignment="1">
      <alignment horizontal="center" vertical="center" textRotation="90"/>
    </xf>
    <xf numFmtId="0" fontId="27" fillId="0" borderId="5" xfId="0" applyFont="1" applyFill="1" applyBorder="1" applyAlignment="1">
      <alignment horizontal="center" vertical="center" wrapText="1"/>
    </xf>
    <xf numFmtId="0" fontId="27" fillId="0" borderId="7" xfId="0" applyFont="1" applyFill="1" applyBorder="1" applyAlignment="1">
      <alignment horizontal="center" vertical="center" wrapText="1"/>
    </xf>
    <xf numFmtId="0" fontId="47" fillId="0" borderId="5" xfId="0" applyFont="1" applyFill="1" applyBorder="1" applyAlignment="1">
      <alignment horizontal="center" vertical="center" textRotation="90"/>
    </xf>
    <xf numFmtId="0" fontId="47" fillId="0" borderId="7" xfId="0" applyFont="1" applyFill="1" applyBorder="1" applyAlignment="1">
      <alignment horizontal="center" vertical="center" textRotation="90"/>
    </xf>
    <xf numFmtId="0" fontId="5" fillId="0" borderId="5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textRotation="90"/>
    </xf>
    <xf numFmtId="0" fontId="25" fillId="0" borderId="7" xfId="0" applyFont="1" applyFill="1" applyBorder="1" applyAlignment="1">
      <alignment horizontal="center" vertical="center" textRotation="90"/>
    </xf>
    <xf numFmtId="14" fontId="26" fillId="4" borderId="3" xfId="0" applyNumberFormat="1" applyFont="1" applyFill="1" applyBorder="1" applyAlignment="1">
      <alignment horizontal="center" vertical="center" textRotation="90" wrapText="1"/>
    </xf>
    <xf numFmtId="0" fontId="26" fillId="4" borderId="3" xfId="0" applyFont="1" applyFill="1" applyBorder="1" applyAlignment="1">
      <alignment horizontal="center" vertical="center" textRotation="90" wrapText="1"/>
    </xf>
    <xf numFmtId="0" fontId="26" fillId="4" borderId="7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0" borderId="9" xfId="0" applyFont="1" applyFill="1" applyBorder="1" applyAlignment="1">
      <alignment horizontal="center" vertical="center" textRotation="90" wrapText="1"/>
    </xf>
    <xf numFmtId="0" fontId="10" fillId="4" borderId="7" xfId="0" applyFont="1" applyFill="1" applyBorder="1" applyAlignment="1">
      <alignment horizontal="center" vertical="center" textRotation="90" wrapText="1"/>
    </xf>
    <xf numFmtId="14" fontId="26" fillId="4" borderId="11" xfId="0" applyNumberFormat="1" applyFont="1" applyFill="1" applyBorder="1" applyAlignment="1">
      <alignment horizontal="center" vertical="center" textRotation="90" wrapText="1"/>
    </xf>
    <xf numFmtId="14" fontId="26" fillId="4" borderId="1" xfId="0" applyNumberFormat="1" applyFont="1" applyFill="1" applyBorder="1" applyAlignment="1">
      <alignment horizontal="center" vertical="center" textRotation="90" wrapText="1"/>
    </xf>
    <xf numFmtId="14" fontId="26" fillId="4" borderId="9" xfId="0" applyNumberFormat="1" applyFont="1" applyFill="1" applyBorder="1" applyAlignment="1">
      <alignment horizontal="center" vertical="center" textRotation="90" wrapText="1"/>
    </xf>
    <xf numFmtId="0" fontId="24" fillId="4" borderId="3" xfId="0" applyFont="1" applyFill="1" applyBorder="1"/>
    <xf numFmtId="0" fontId="10" fillId="4" borderId="9" xfId="0" applyFont="1" applyFill="1" applyBorder="1" applyAlignment="1">
      <alignment horizontal="center" vertical="center" textRotation="90" wrapText="1"/>
    </xf>
    <xf numFmtId="14" fontId="60" fillId="4" borderId="2" xfId="0" applyNumberFormat="1" applyFont="1" applyFill="1" applyBorder="1" applyAlignment="1">
      <alignment horizontal="center" vertical="center" textRotation="90" wrapText="1"/>
    </xf>
    <xf numFmtId="14" fontId="60" fillId="4" borderId="1" xfId="0" applyNumberFormat="1" applyFont="1" applyFill="1" applyBorder="1" applyAlignment="1">
      <alignment horizontal="center" vertical="center" textRotation="90" wrapText="1"/>
    </xf>
    <xf numFmtId="14" fontId="60" fillId="4" borderId="9" xfId="0" applyNumberFormat="1" applyFont="1" applyFill="1" applyBorder="1" applyAlignment="1">
      <alignment horizontal="center" vertical="center" textRotation="90" wrapText="1"/>
    </xf>
    <xf numFmtId="0" fontId="24" fillId="0" borderId="3" xfId="0" applyFont="1" applyFill="1" applyBorder="1"/>
    <xf numFmtId="0" fontId="54" fillId="0" borderId="0" xfId="0" applyFont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 textRotation="90"/>
    </xf>
    <xf numFmtId="0" fontId="25" fillId="0" borderId="6" xfId="0" applyFont="1" applyFill="1" applyBorder="1" applyAlignment="1">
      <alignment horizontal="center" vertical="center" textRotation="90"/>
    </xf>
    <xf numFmtId="14" fontId="10" fillId="0" borderId="9" xfId="0" applyNumberFormat="1" applyFont="1" applyFill="1" applyBorder="1" applyAlignment="1">
      <alignment horizontal="center" vertical="center" textRotation="90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7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textRotation="90" wrapText="1"/>
    </xf>
    <xf numFmtId="14" fontId="10" fillId="0" borderId="5" xfId="0" applyNumberFormat="1" applyFont="1" applyFill="1" applyBorder="1" applyAlignment="1">
      <alignment horizontal="center" vertical="center" textRotation="90" wrapText="1"/>
    </xf>
    <xf numFmtId="0" fontId="10" fillId="4" borderId="11" xfId="0" applyFont="1" applyFill="1" applyBorder="1" applyAlignment="1">
      <alignment horizontal="center" vertical="center" textRotation="90" wrapText="1"/>
    </xf>
    <xf numFmtId="14" fontId="10" fillId="4" borderId="3" xfId="0" applyNumberFormat="1" applyFont="1" applyFill="1" applyBorder="1" applyAlignment="1">
      <alignment horizontal="center" vertical="center" textRotation="90" wrapText="1"/>
    </xf>
    <xf numFmtId="14" fontId="10" fillId="4" borderId="4" xfId="0" applyNumberFormat="1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14" fontId="10" fillId="4" borderId="9" xfId="0" applyNumberFormat="1" applyFont="1" applyFill="1" applyBorder="1" applyAlignment="1">
      <alignment horizontal="center" vertical="center" textRotation="90" wrapText="1"/>
    </xf>
    <xf numFmtId="0" fontId="10" fillId="0" borderId="2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/>
    <xf numFmtId="0" fontId="24" fillId="0" borderId="6" xfId="0" applyFont="1" applyFill="1" applyBorder="1"/>
    <xf numFmtId="0" fontId="10" fillId="4" borderId="6" xfId="0" applyFont="1" applyFill="1" applyBorder="1" applyAlignment="1">
      <alignment horizontal="center" vertical="center" textRotation="90" wrapText="1"/>
    </xf>
    <xf numFmtId="0" fontId="10" fillId="0" borderId="1" xfId="0" applyFont="1" applyFill="1" applyBorder="1" applyAlignment="1">
      <alignment horizontal="center" vertical="center" textRotation="90" wrapText="1"/>
    </xf>
    <xf numFmtId="0" fontId="10" fillId="0" borderId="6" xfId="0" applyFont="1" applyFill="1" applyBorder="1" applyAlignment="1">
      <alignment horizontal="center" vertical="center" textRotation="90" wrapText="1"/>
    </xf>
    <xf numFmtId="0" fontId="9" fillId="0" borderId="3" xfId="0" applyFont="1" applyFill="1" applyBorder="1" applyAlignment="1">
      <alignment horizontal="center" vertical="center" textRotation="90" wrapText="1"/>
    </xf>
    <xf numFmtId="0" fontId="9" fillId="0" borderId="7" xfId="0" applyFont="1" applyFill="1" applyBorder="1" applyAlignment="1">
      <alignment horizontal="center" vertical="center" textRotation="90" wrapText="1"/>
    </xf>
    <xf numFmtId="14" fontId="9" fillId="0" borderId="3" xfId="0" applyNumberFormat="1" applyFont="1" applyFill="1" applyBorder="1" applyAlignment="1">
      <alignment horizontal="center" vertical="center" textRotation="90" wrapText="1"/>
    </xf>
    <xf numFmtId="0" fontId="24" fillId="4" borderId="1" xfId="0" applyFont="1" applyFill="1" applyBorder="1"/>
    <xf numFmtId="0" fontId="24" fillId="4" borderId="6" xfId="0" applyFont="1" applyFill="1" applyBorder="1"/>
    <xf numFmtId="0" fontId="10" fillId="0" borderId="11" xfId="0" applyFont="1" applyFill="1" applyBorder="1" applyAlignment="1">
      <alignment horizontal="center" vertical="center" textRotation="90" wrapText="1"/>
    </xf>
    <xf numFmtId="14" fontId="10" fillId="4" borderId="5" xfId="0" applyNumberFormat="1" applyFont="1" applyFill="1" applyBorder="1" applyAlignment="1">
      <alignment horizontal="center" vertical="center" textRotation="90" wrapText="1"/>
    </xf>
    <xf numFmtId="14" fontId="25" fillId="0" borderId="3" xfId="0" applyNumberFormat="1" applyFont="1" applyFill="1" applyBorder="1" applyAlignment="1">
      <alignment horizontal="center" vertical="center" textRotation="90" wrapText="1"/>
    </xf>
    <xf numFmtId="0" fontId="25" fillId="0" borderId="3" xfId="0" applyFont="1" applyFill="1" applyBorder="1" applyAlignment="1">
      <alignment horizontal="center" vertical="center" textRotation="90" wrapText="1"/>
    </xf>
    <xf numFmtId="0" fontId="25" fillId="0" borderId="2" xfId="0" applyFont="1" applyFill="1" applyBorder="1" applyAlignment="1">
      <alignment horizontal="center" vertical="center" textRotation="90" wrapText="1"/>
    </xf>
    <xf numFmtId="0" fontId="25" fillId="0" borderId="1" xfId="0" applyFont="1" applyFill="1" applyBorder="1" applyAlignment="1">
      <alignment horizontal="center" vertical="center" textRotation="90" wrapText="1"/>
    </xf>
    <xf numFmtId="0" fontId="25" fillId="0" borderId="6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textRotation="90" wrapText="1"/>
    </xf>
    <xf numFmtId="0" fontId="31" fillId="0" borderId="1" xfId="0" applyFont="1" applyFill="1" applyBorder="1" applyAlignment="1">
      <alignment horizontal="center" vertical="center"/>
    </xf>
    <xf numFmtId="0" fontId="31" fillId="0" borderId="6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6" xfId="0" applyFont="1" applyFill="1" applyBorder="1" applyAlignment="1">
      <alignment horizontal="center" vertical="center" textRotation="90" wrapText="1"/>
    </xf>
    <xf numFmtId="14" fontId="26" fillId="0" borderId="5" xfId="0" applyNumberFormat="1" applyFont="1" applyFill="1" applyBorder="1" applyAlignment="1">
      <alignment horizontal="center" vertical="center" textRotation="90" wrapText="1"/>
    </xf>
    <xf numFmtId="0" fontId="26" fillId="0" borderId="11" xfId="0" applyFont="1" applyFill="1" applyBorder="1" applyAlignment="1">
      <alignment horizontal="center" vertical="center" textRotation="90" wrapText="1"/>
    </xf>
    <xf numFmtId="0" fontId="26" fillId="4" borderId="9" xfId="0" applyFont="1" applyFill="1" applyBorder="1" applyAlignment="1">
      <alignment horizontal="center" vertical="center" textRotation="90" wrapText="1"/>
    </xf>
    <xf numFmtId="0" fontId="26" fillId="4" borderId="2" xfId="0" applyFont="1" applyFill="1" applyBorder="1" applyAlignment="1">
      <alignment horizontal="center" vertical="center" textRotation="90" wrapText="1"/>
    </xf>
    <xf numFmtId="0" fontId="26" fillId="4" borderId="1" xfId="0" applyFont="1" applyFill="1" applyBorder="1" applyAlignment="1">
      <alignment horizontal="center" vertical="center" textRotation="90" wrapText="1"/>
    </xf>
    <xf numFmtId="0" fontId="26" fillId="4" borderId="6" xfId="0" applyFont="1" applyFill="1" applyBorder="1" applyAlignment="1">
      <alignment horizontal="center" vertical="center" textRotation="90" wrapText="1"/>
    </xf>
    <xf numFmtId="0" fontId="31" fillId="0" borderId="1" xfId="0" applyFont="1" applyFill="1" applyBorder="1"/>
    <xf numFmtId="0" fontId="31" fillId="0" borderId="6" xfId="0" applyFont="1" applyFill="1" applyBorder="1"/>
  </cellXfs>
  <cellStyles count="5">
    <cellStyle name="Денежный" xfId="3" builtinId="4"/>
    <cellStyle name="Обычный" xfId="0" builtinId="0"/>
    <cellStyle name="Обычный 2" xfId="1"/>
    <cellStyle name="Обычный 3 2" xfId="4"/>
    <cellStyle name="Хороший" xfId="2" builtinId="26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243840</xdr:colOff>
      <xdr:row>56</xdr:row>
      <xdr:rowOff>36576</xdr:rowOff>
    </xdr:to>
    <xdr:pic>
      <xdr:nvPicPr>
        <xdr:cNvPr id="2" name="Рисунок 1" descr="180528142749000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7559040" cy="107045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V4" sqref="V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view="pageBreakPreview" topLeftCell="A16" zoomScale="40" zoomScaleNormal="40" zoomScaleSheetLayoutView="40" zoomScalePageLayoutView="40" workbookViewId="0">
      <selection activeCell="H37" sqref="H37"/>
    </sheetView>
  </sheetViews>
  <sheetFormatPr defaultRowHeight="26.25" x14ac:dyDescent="0.4"/>
  <cols>
    <col min="1" max="1" width="6.5703125" style="121" customWidth="1"/>
    <col min="2" max="2" width="61.140625" style="121" customWidth="1"/>
    <col min="3" max="3" width="16.42578125" style="121" customWidth="1"/>
    <col min="4" max="4" width="21.140625" style="121" customWidth="1"/>
    <col min="5" max="5" width="68.28515625" style="121" customWidth="1"/>
    <col min="6" max="9" width="65" style="121" customWidth="1"/>
    <col min="10" max="233" width="9.140625" style="121"/>
    <col min="234" max="234" width="4.28515625" style="121" customWidth="1"/>
    <col min="235" max="235" width="25" style="121" customWidth="1"/>
    <col min="236" max="236" width="5.7109375" style="121" customWidth="1"/>
    <col min="237" max="237" width="10.140625" style="121" customWidth="1"/>
    <col min="238" max="238" width="17.140625" style="121" customWidth="1"/>
    <col min="239" max="242" width="2.85546875" style="121" customWidth="1"/>
    <col min="243" max="243" width="6.5703125" style="121" customWidth="1"/>
    <col min="244" max="247" width="2.85546875" style="121" customWidth="1"/>
    <col min="248" max="248" width="6" style="121" customWidth="1"/>
    <col min="249" max="252" width="2.85546875" style="121" customWidth="1"/>
    <col min="253" max="253" width="5.5703125" style="121" customWidth="1"/>
    <col min="254" max="257" width="2.85546875" style="121" customWidth="1"/>
    <col min="258" max="258" width="7.5703125" style="121" customWidth="1"/>
    <col min="259" max="262" width="2.85546875" style="121" customWidth="1"/>
    <col min="263" max="263" width="7.42578125" style="121" customWidth="1"/>
    <col min="264" max="265" width="0" style="121" hidden="1" customWidth="1"/>
    <col min="266" max="489" width="9.140625" style="121"/>
    <col min="490" max="490" width="4.28515625" style="121" customWidth="1"/>
    <col min="491" max="491" width="25" style="121" customWidth="1"/>
    <col min="492" max="492" width="5.7109375" style="121" customWidth="1"/>
    <col min="493" max="493" width="10.140625" style="121" customWidth="1"/>
    <col min="494" max="494" width="17.140625" style="121" customWidth="1"/>
    <col min="495" max="498" width="2.85546875" style="121" customWidth="1"/>
    <col min="499" max="499" width="6.5703125" style="121" customWidth="1"/>
    <col min="500" max="503" width="2.85546875" style="121" customWidth="1"/>
    <col min="504" max="504" width="6" style="121" customWidth="1"/>
    <col min="505" max="508" width="2.85546875" style="121" customWidth="1"/>
    <col min="509" max="509" width="5.5703125" style="121" customWidth="1"/>
    <col min="510" max="513" width="2.85546875" style="121" customWidth="1"/>
    <col min="514" max="514" width="7.5703125" style="121" customWidth="1"/>
    <col min="515" max="518" width="2.85546875" style="121" customWidth="1"/>
    <col min="519" max="519" width="7.42578125" style="121" customWidth="1"/>
    <col min="520" max="521" width="0" style="121" hidden="1" customWidth="1"/>
    <col min="522" max="745" width="9.140625" style="121"/>
    <col min="746" max="746" width="4.28515625" style="121" customWidth="1"/>
    <col min="747" max="747" width="25" style="121" customWidth="1"/>
    <col min="748" max="748" width="5.7109375" style="121" customWidth="1"/>
    <col min="749" max="749" width="10.140625" style="121" customWidth="1"/>
    <col min="750" max="750" width="17.140625" style="121" customWidth="1"/>
    <col min="751" max="754" width="2.85546875" style="121" customWidth="1"/>
    <col min="755" max="755" width="6.5703125" style="121" customWidth="1"/>
    <col min="756" max="759" width="2.85546875" style="121" customWidth="1"/>
    <col min="760" max="760" width="6" style="121" customWidth="1"/>
    <col min="761" max="764" width="2.85546875" style="121" customWidth="1"/>
    <col min="765" max="765" width="5.5703125" style="121" customWidth="1"/>
    <col min="766" max="769" width="2.85546875" style="121" customWidth="1"/>
    <col min="770" max="770" width="7.5703125" style="121" customWidth="1"/>
    <col min="771" max="774" width="2.85546875" style="121" customWidth="1"/>
    <col min="775" max="775" width="7.42578125" style="121" customWidth="1"/>
    <col min="776" max="777" width="0" style="121" hidden="1" customWidth="1"/>
    <col min="778" max="1001" width="9.140625" style="121"/>
    <col min="1002" max="1002" width="4.28515625" style="121" customWidth="1"/>
    <col min="1003" max="1003" width="25" style="121" customWidth="1"/>
    <col min="1004" max="1004" width="5.7109375" style="121" customWidth="1"/>
    <col min="1005" max="1005" width="10.140625" style="121" customWidth="1"/>
    <col min="1006" max="1006" width="17.140625" style="121" customWidth="1"/>
    <col min="1007" max="1010" width="2.85546875" style="121" customWidth="1"/>
    <col min="1011" max="1011" width="6.5703125" style="121" customWidth="1"/>
    <col min="1012" max="1015" width="2.85546875" style="121" customWidth="1"/>
    <col min="1016" max="1016" width="6" style="121" customWidth="1"/>
    <col min="1017" max="1020" width="2.85546875" style="121" customWidth="1"/>
    <col min="1021" max="1021" width="5.5703125" style="121" customWidth="1"/>
    <col min="1022" max="1025" width="2.85546875" style="121" customWidth="1"/>
    <col min="1026" max="1026" width="7.5703125" style="121" customWidth="1"/>
    <col min="1027" max="1030" width="2.85546875" style="121" customWidth="1"/>
    <col min="1031" max="1031" width="7.42578125" style="121" customWidth="1"/>
    <col min="1032" max="1033" width="0" style="121" hidden="1" customWidth="1"/>
    <col min="1034" max="1257" width="9.140625" style="121"/>
    <col min="1258" max="1258" width="4.28515625" style="121" customWidth="1"/>
    <col min="1259" max="1259" width="25" style="121" customWidth="1"/>
    <col min="1260" max="1260" width="5.7109375" style="121" customWidth="1"/>
    <col min="1261" max="1261" width="10.140625" style="121" customWidth="1"/>
    <col min="1262" max="1262" width="17.140625" style="121" customWidth="1"/>
    <col min="1263" max="1266" width="2.85546875" style="121" customWidth="1"/>
    <col min="1267" max="1267" width="6.5703125" style="121" customWidth="1"/>
    <col min="1268" max="1271" width="2.85546875" style="121" customWidth="1"/>
    <col min="1272" max="1272" width="6" style="121" customWidth="1"/>
    <col min="1273" max="1276" width="2.85546875" style="121" customWidth="1"/>
    <col min="1277" max="1277" width="5.5703125" style="121" customWidth="1"/>
    <col min="1278" max="1281" width="2.85546875" style="121" customWidth="1"/>
    <col min="1282" max="1282" width="7.5703125" style="121" customWidth="1"/>
    <col min="1283" max="1286" width="2.85546875" style="121" customWidth="1"/>
    <col min="1287" max="1287" width="7.42578125" style="121" customWidth="1"/>
    <col min="1288" max="1289" width="0" style="121" hidden="1" customWidth="1"/>
    <col min="1290" max="1513" width="9.140625" style="121"/>
    <col min="1514" max="1514" width="4.28515625" style="121" customWidth="1"/>
    <col min="1515" max="1515" width="25" style="121" customWidth="1"/>
    <col min="1516" max="1516" width="5.7109375" style="121" customWidth="1"/>
    <col min="1517" max="1517" width="10.140625" style="121" customWidth="1"/>
    <col min="1518" max="1518" width="17.140625" style="121" customWidth="1"/>
    <col min="1519" max="1522" width="2.85546875" style="121" customWidth="1"/>
    <col min="1523" max="1523" width="6.5703125" style="121" customWidth="1"/>
    <col min="1524" max="1527" width="2.85546875" style="121" customWidth="1"/>
    <col min="1528" max="1528" width="6" style="121" customWidth="1"/>
    <col min="1529" max="1532" width="2.85546875" style="121" customWidth="1"/>
    <col min="1533" max="1533" width="5.5703125" style="121" customWidth="1"/>
    <col min="1534" max="1537" width="2.85546875" style="121" customWidth="1"/>
    <col min="1538" max="1538" width="7.5703125" style="121" customWidth="1"/>
    <col min="1539" max="1542" width="2.85546875" style="121" customWidth="1"/>
    <col min="1543" max="1543" width="7.42578125" style="121" customWidth="1"/>
    <col min="1544" max="1545" width="0" style="121" hidden="1" customWidth="1"/>
    <col min="1546" max="1769" width="9.140625" style="121"/>
    <col min="1770" max="1770" width="4.28515625" style="121" customWidth="1"/>
    <col min="1771" max="1771" width="25" style="121" customWidth="1"/>
    <col min="1772" max="1772" width="5.7109375" style="121" customWidth="1"/>
    <col min="1773" max="1773" width="10.140625" style="121" customWidth="1"/>
    <col min="1774" max="1774" width="17.140625" style="121" customWidth="1"/>
    <col min="1775" max="1778" width="2.85546875" style="121" customWidth="1"/>
    <col min="1779" max="1779" width="6.5703125" style="121" customWidth="1"/>
    <col min="1780" max="1783" width="2.85546875" style="121" customWidth="1"/>
    <col min="1784" max="1784" width="6" style="121" customWidth="1"/>
    <col min="1785" max="1788" width="2.85546875" style="121" customWidth="1"/>
    <col min="1789" max="1789" width="5.5703125" style="121" customWidth="1"/>
    <col min="1790" max="1793" width="2.85546875" style="121" customWidth="1"/>
    <col min="1794" max="1794" width="7.5703125" style="121" customWidth="1"/>
    <col min="1795" max="1798" width="2.85546875" style="121" customWidth="1"/>
    <col min="1799" max="1799" width="7.42578125" style="121" customWidth="1"/>
    <col min="1800" max="1801" width="0" style="121" hidden="1" customWidth="1"/>
    <col min="1802" max="2025" width="9.140625" style="121"/>
    <col min="2026" max="2026" width="4.28515625" style="121" customWidth="1"/>
    <col min="2027" max="2027" width="25" style="121" customWidth="1"/>
    <col min="2028" max="2028" width="5.7109375" style="121" customWidth="1"/>
    <col min="2029" max="2029" width="10.140625" style="121" customWidth="1"/>
    <col min="2030" max="2030" width="17.140625" style="121" customWidth="1"/>
    <col min="2031" max="2034" width="2.85546875" style="121" customWidth="1"/>
    <col min="2035" max="2035" width="6.5703125" style="121" customWidth="1"/>
    <col min="2036" max="2039" width="2.85546875" style="121" customWidth="1"/>
    <col min="2040" max="2040" width="6" style="121" customWidth="1"/>
    <col min="2041" max="2044" width="2.85546875" style="121" customWidth="1"/>
    <col min="2045" max="2045" width="5.5703125" style="121" customWidth="1"/>
    <col min="2046" max="2049" width="2.85546875" style="121" customWidth="1"/>
    <col min="2050" max="2050" width="7.5703125" style="121" customWidth="1"/>
    <col min="2051" max="2054" width="2.85546875" style="121" customWidth="1"/>
    <col min="2055" max="2055" width="7.42578125" style="121" customWidth="1"/>
    <col min="2056" max="2057" width="0" style="121" hidden="1" customWidth="1"/>
    <col min="2058" max="2281" width="9.140625" style="121"/>
    <col min="2282" max="2282" width="4.28515625" style="121" customWidth="1"/>
    <col min="2283" max="2283" width="25" style="121" customWidth="1"/>
    <col min="2284" max="2284" width="5.7109375" style="121" customWidth="1"/>
    <col min="2285" max="2285" width="10.140625" style="121" customWidth="1"/>
    <col min="2286" max="2286" width="17.140625" style="121" customWidth="1"/>
    <col min="2287" max="2290" width="2.85546875" style="121" customWidth="1"/>
    <col min="2291" max="2291" width="6.5703125" style="121" customWidth="1"/>
    <col min="2292" max="2295" width="2.85546875" style="121" customWidth="1"/>
    <col min="2296" max="2296" width="6" style="121" customWidth="1"/>
    <col min="2297" max="2300" width="2.85546875" style="121" customWidth="1"/>
    <col min="2301" max="2301" width="5.5703125" style="121" customWidth="1"/>
    <col min="2302" max="2305" width="2.85546875" style="121" customWidth="1"/>
    <col min="2306" max="2306" width="7.5703125" style="121" customWidth="1"/>
    <col min="2307" max="2310" width="2.85546875" style="121" customWidth="1"/>
    <col min="2311" max="2311" width="7.42578125" style="121" customWidth="1"/>
    <col min="2312" max="2313" width="0" style="121" hidden="1" customWidth="1"/>
    <col min="2314" max="2537" width="9.140625" style="121"/>
    <col min="2538" max="2538" width="4.28515625" style="121" customWidth="1"/>
    <col min="2539" max="2539" width="25" style="121" customWidth="1"/>
    <col min="2540" max="2540" width="5.7109375" style="121" customWidth="1"/>
    <col min="2541" max="2541" width="10.140625" style="121" customWidth="1"/>
    <col min="2542" max="2542" width="17.140625" style="121" customWidth="1"/>
    <col min="2543" max="2546" width="2.85546875" style="121" customWidth="1"/>
    <col min="2547" max="2547" width="6.5703125" style="121" customWidth="1"/>
    <col min="2548" max="2551" width="2.85546875" style="121" customWidth="1"/>
    <col min="2552" max="2552" width="6" style="121" customWidth="1"/>
    <col min="2553" max="2556" width="2.85546875" style="121" customWidth="1"/>
    <col min="2557" max="2557" width="5.5703125" style="121" customWidth="1"/>
    <col min="2558" max="2561" width="2.85546875" style="121" customWidth="1"/>
    <col min="2562" max="2562" width="7.5703125" style="121" customWidth="1"/>
    <col min="2563" max="2566" width="2.85546875" style="121" customWidth="1"/>
    <col min="2567" max="2567" width="7.42578125" style="121" customWidth="1"/>
    <col min="2568" max="2569" width="0" style="121" hidden="1" customWidth="1"/>
    <col min="2570" max="2793" width="9.140625" style="121"/>
    <col min="2794" max="2794" width="4.28515625" style="121" customWidth="1"/>
    <col min="2795" max="2795" width="25" style="121" customWidth="1"/>
    <col min="2796" max="2796" width="5.7109375" style="121" customWidth="1"/>
    <col min="2797" max="2797" width="10.140625" style="121" customWidth="1"/>
    <col min="2798" max="2798" width="17.140625" style="121" customWidth="1"/>
    <col min="2799" max="2802" width="2.85546875" style="121" customWidth="1"/>
    <col min="2803" max="2803" width="6.5703125" style="121" customWidth="1"/>
    <col min="2804" max="2807" width="2.85546875" style="121" customWidth="1"/>
    <col min="2808" max="2808" width="6" style="121" customWidth="1"/>
    <col min="2809" max="2812" width="2.85546875" style="121" customWidth="1"/>
    <col min="2813" max="2813" width="5.5703125" style="121" customWidth="1"/>
    <col min="2814" max="2817" width="2.85546875" style="121" customWidth="1"/>
    <col min="2818" max="2818" width="7.5703125" style="121" customWidth="1"/>
    <col min="2819" max="2822" width="2.85546875" style="121" customWidth="1"/>
    <col min="2823" max="2823" width="7.42578125" style="121" customWidth="1"/>
    <col min="2824" max="2825" width="0" style="121" hidden="1" customWidth="1"/>
    <col min="2826" max="3049" width="9.140625" style="121"/>
    <col min="3050" max="3050" width="4.28515625" style="121" customWidth="1"/>
    <col min="3051" max="3051" width="25" style="121" customWidth="1"/>
    <col min="3052" max="3052" width="5.7109375" style="121" customWidth="1"/>
    <col min="3053" max="3053" width="10.140625" style="121" customWidth="1"/>
    <col min="3054" max="3054" width="17.140625" style="121" customWidth="1"/>
    <col min="3055" max="3058" width="2.85546875" style="121" customWidth="1"/>
    <col min="3059" max="3059" width="6.5703125" style="121" customWidth="1"/>
    <col min="3060" max="3063" width="2.85546875" style="121" customWidth="1"/>
    <col min="3064" max="3064" width="6" style="121" customWidth="1"/>
    <col min="3065" max="3068" width="2.85546875" style="121" customWidth="1"/>
    <col min="3069" max="3069" width="5.5703125" style="121" customWidth="1"/>
    <col min="3070" max="3073" width="2.85546875" style="121" customWidth="1"/>
    <col min="3074" max="3074" width="7.5703125" style="121" customWidth="1"/>
    <col min="3075" max="3078" width="2.85546875" style="121" customWidth="1"/>
    <col min="3079" max="3079" width="7.42578125" style="121" customWidth="1"/>
    <col min="3080" max="3081" width="0" style="121" hidden="1" customWidth="1"/>
    <col min="3082" max="3305" width="9.140625" style="121"/>
    <col min="3306" max="3306" width="4.28515625" style="121" customWidth="1"/>
    <col min="3307" max="3307" width="25" style="121" customWidth="1"/>
    <col min="3308" max="3308" width="5.7109375" style="121" customWidth="1"/>
    <col min="3309" max="3309" width="10.140625" style="121" customWidth="1"/>
    <col min="3310" max="3310" width="17.140625" style="121" customWidth="1"/>
    <col min="3311" max="3314" width="2.85546875" style="121" customWidth="1"/>
    <col min="3315" max="3315" width="6.5703125" style="121" customWidth="1"/>
    <col min="3316" max="3319" width="2.85546875" style="121" customWidth="1"/>
    <col min="3320" max="3320" width="6" style="121" customWidth="1"/>
    <col min="3321" max="3324" width="2.85546875" style="121" customWidth="1"/>
    <col min="3325" max="3325" width="5.5703125" style="121" customWidth="1"/>
    <col min="3326" max="3329" width="2.85546875" style="121" customWidth="1"/>
    <col min="3330" max="3330" width="7.5703125" style="121" customWidth="1"/>
    <col min="3331" max="3334" width="2.85546875" style="121" customWidth="1"/>
    <col min="3335" max="3335" width="7.42578125" style="121" customWidth="1"/>
    <col min="3336" max="3337" width="0" style="121" hidden="1" customWidth="1"/>
    <col min="3338" max="3561" width="9.140625" style="121"/>
    <col min="3562" max="3562" width="4.28515625" style="121" customWidth="1"/>
    <col min="3563" max="3563" width="25" style="121" customWidth="1"/>
    <col min="3564" max="3564" width="5.7109375" style="121" customWidth="1"/>
    <col min="3565" max="3565" width="10.140625" style="121" customWidth="1"/>
    <col min="3566" max="3566" width="17.140625" style="121" customWidth="1"/>
    <col min="3567" max="3570" width="2.85546875" style="121" customWidth="1"/>
    <col min="3571" max="3571" width="6.5703125" style="121" customWidth="1"/>
    <col min="3572" max="3575" width="2.85546875" style="121" customWidth="1"/>
    <col min="3576" max="3576" width="6" style="121" customWidth="1"/>
    <col min="3577" max="3580" width="2.85546875" style="121" customWidth="1"/>
    <col min="3581" max="3581" width="5.5703125" style="121" customWidth="1"/>
    <col min="3582" max="3585" width="2.85546875" style="121" customWidth="1"/>
    <col min="3586" max="3586" width="7.5703125" style="121" customWidth="1"/>
    <col min="3587" max="3590" width="2.85546875" style="121" customWidth="1"/>
    <col min="3591" max="3591" width="7.42578125" style="121" customWidth="1"/>
    <col min="3592" max="3593" width="0" style="121" hidden="1" customWidth="1"/>
    <col min="3594" max="3817" width="9.140625" style="121"/>
    <col min="3818" max="3818" width="4.28515625" style="121" customWidth="1"/>
    <col min="3819" max="3819" width="25" style="121" customWidth="1"/>
    <col min="3820" max="3820" width="5.7109375" style="121" customWidth="1"/>
    <col min="3821" max="3821" width="10.140625" style="121" customWidth="1"/>
    <col min="3822" max="3822" width="17.140625" style="121" customWidth="1"/>
    <col min="3823" max="3826" width="2.85546875" style="121" customWidth="1"/>
    <col min="3827" max="3827" width="6.5703125" style="121" customWidth="1"/>
    <col min="3828" max="3831" width="2.85546875" style="121" customWidth="1"/>
    <col min="3832" max="3832" width="6" style="121" customWidth="1"/>
    <col min="3833" max="3836" width="2.85546875" style="121" customWidth="1"/>
    <col min="3837" max="3837" width="5.5703125" style="121" customWidth="1"/>
    <col min="3838" max="3841" width="2.85546875" style="121" customWidth="1"/>
    <col min="3842" max="3842" width="7.5703125" style="121" customWidth="1"/>
    <col min="3843" max="3846" width="2.85546875" style="121" customWidth="1"/>
    <col min="3847" max="3847" width="7.42578125" style="121" customWidth="1"/>
    <col min="3848" max="3849" width="0" style="121" hidden="1" customWidth="1"/>
    <col min="3850" max="4073" width="9.140625" style="121"/>
    <col min="4074" max="4074" width="4.28515625" style="121" customWidth="1"/>
    <col min="4075" max="4075" width="25" style="121" customWidth="1"/>
    <col min="4076" max="4076" width="5.7109375" style="121" customWidth="1"/>
    <col min="4077" max="4077" width="10.140625" style="121" customWidth="1"/>
    <col min="4078" max="4078" width="17.140625" style="121" customWidth="1"/>
    <col min="4079" max="4082" width="2.85546875" style="121" customWidth="1"/>
    <col min="4083" max="4083" width="6.5703125" style="121" customWidth="1"/>
    <col min="4084" max="4087" width="2.85546875" style="121" customWidth="1"/>
    <col min="4088" max="4088" width="6" style="121" customWidth="1"/>
    <col min="4089" max="4092" width="2.85546875" style="121" customWidth="1"/>
    <col min="4093" max="4093" width="5.5703125" style="121" customWidth="1"/>
    <col min="4094" max="4097" width="2.85546875" style="121" customWidth="1"/>
    <col min="4098" max="4098" width="7.5703125" style="121" customWidth="1"/>
    <col min="4099" max="4102" width="2.85546875" style="121" customWidth="1"/>
    <col min="4103" max="4103" width="7.42578125" style="121" customWidth="1"/>
    <col min="4104" max="4105" width="0" style="121" hidden="1" customWidth="1"/>
    <col min="4106" max="4329" width="9.140625" style="121"/>
    <col min="4330" max="4330" width="4.28515625" style="121" customWidth="1"/>
    <col min="4331" max="4331" width="25" style="121" customWidth="1"/>
    <col min="4332" max="4332" width="5.7109375" style="121" customWidth="1"/>
    <col min="4333" max="4333" width="10.140625" style="121" customWidth="1"/>
    <col min="4334" max="4334" width="17.140625" style="121" customWidth="1"/>
    <col min="4335" max="4338" width="2.85546875" style="121" customWidth="1"/>
    <col min="4339" max="4339" width="6.5703125" style="121" customWidth="1"/>
    <col min="4340" max="4343" width="2.85546875" style="121" customWidth="1"/>
    <col min="4344" max="4344" width="6" style="121" customWidth="1"/>
    <col min="4345" max="4348" width="2.85546875" style="121" customWidth="1"/>
    <col min="4349" max="4349" width="5.5703125" style="121" customWidth="1"/>
    <col min="4350" max="4353" width="2.85546875" style="121" customWidth="1"/>
    <col min="4354" max="4354" width="7.5703125" style="121" customWidth="1"/>
    <col min="4355" max="4358" width="2.85546875" style="121" customWidth="1"/>
    <col min="4359" max="4359" width="7.42578125" style="121" customWidth="1"/>
    <col min="4360" max="4361" width="0" style="121" hidden="1" customWidth="1"/>
    <col min="4362" max="4585" width="9.140625" style="121"/>
    <col min="4586" max="4586" width="4.28515625" style="121" customWidth="1"/>
    <col min="4587" max="4587" width="25" style="121" customWidth="1"/>
    <col min="4588" max="4588" width="5.7109375" style="121" customWidth="1"/>
    <col min="4589" max="4589" width="10.140625" style="121" customWidth="1"/>
    <col min="4590" max="4590" width="17.140625" style="121" customWidth="1"/>
    <col min="4591" max="4594" width="2.85546875" style="121" customWidth="1"/>
    <col min="4595" max="4595" width="6.5703125" style="121" customWidth="1"/>
    <col min="4596" max="4599" width="2.85546875" style="121" customWidth="1"/>
    <col min="4600" max="4600" width="6" style="121" customWidth="1"/>
    <col min="4601" max="4604" width="2.85546875" style="121" customWidth="1"/>
    <col min="4605" max="4605" width="5.5703125" style="121" customWidth="1"/>
    <col min="4606" max="4609" width="2.85546875" style="121" customWidth="1"/>
    <col min="4610" max="4610" width="7.5703125" style="121" customWidth="1"/>
    <col min="4611" max="4614" width="2.85546875" style="121" customWidth="1"/>
    <col min="4615" max="4615" width="7.42578125" style="121" customWidth="1"/>
    <col min="4616" max="4617" width="0" style="121" hidden="1" customWidth="1"/>
    <col min="4618" max="4841" width="9.140625" style="121"/>
    <col min="4842" max="4842" width="4.28515625" style="121" customWidth="1"/>
    <col min="4843" max="4843" width="25" style="121" customWidth="1"/>
    <col min="4844" max="4844" width="5.7109375" style="121" customWidth="1"/>
    <col min="4845" max="4845" width="10.140625" style="121" customWidth="1"/>
    <col min="4846" max="4846" width="17.140625" style="121" customWidth="1"/>
    <col min="4847" max="4850" width="2.85546875" style="121" customWidth="1"/>
    <col min="4851" max="4851" width="6.5703125" style="121" customWidth="1"/>
    <col min="4852" max="4855" width="2.85546875" style="121" customWidth="1"/>
    <col min="4856" max="4856" width="6" style="121" customWidth="1"/>
    <col min="4857" max="4860" width="2.85546875" style="121" customWidth="1"/>
    <col min="4861" max="4861" width="5.5703125" style="121" customWidth="1"/>
    <col min="4862" max="4865" width="2.85546875" style="121" customWidth="1"/>
    <col min="4866" max="4866" width="7.5703125" style="121" customWidth="1"/>
    <col min="4867" max="4870" width="2.85546875" style="121" customWidth="1"/>
    <col min="4871" max="4871" width="7.42578125" style="121" customWidth="1"/>
    <col min="4872" max="4873" width="0" style="121" hidden="1" customWidth="1"/>
    <col min="4874" max="5097" width="9.140625" style="121"/>
    <col min="5098" max="5098" width="4.28515625" style="121" customWidth="1"/>
    <col min="5099" max="5099" width="25" style="121" customWidth="1"/>
    <col min="5100" max="5100" width="5.7109375" style="121" customWidth="1"/>
    <col min="5101" max="5101" width="10.140625" style="121" customWidth="1"/>
    <col min="5102" max="5102" width="17.140625" style="121" customWidth="1"/>
    <col min="5103" max="5106" width="2.85546875" style="121" customWidth="1"/>
    <col min="5107" max="5107" width="6.5703125" style="121" customWidth="1"/>
    <col min="5108" max="5111" width="2.85546875" style="121" customWidth="1"/>
    <col min="5112" max="5112" width="6" style="121" customWidth="1"/>
    <col min="5113" max="5116" width="2.85546875" style="121" customWidth="1"/>
    <col min="5117" max="5117" width="5.5703125" style="121" customWidth="1"/>
    <col min="5118" max="5121" width="2.85546875" style="121" customWidth="1"/>
    <col min="5122" max="5122" width="7.5703125" style="121" customWidth="1"/>
    <col min="5123" max="5126" width="2.85546875" style="121" customWidth="1"/>
    <col min="5127" max="5127" width="7.42578125" style="121" customWidth="1"/>
    <col min="5128" max="5129" width="0" style="121" hidden="1" customWidth="1"/>
    <col min="5130" max="5353" width="9.140625" style="121"/>
    <col min="5354" max="5354" width="4.28515625" style="121" customWidth="1"/>
    <col min="5355" max="5355" width="25" style="121" customWidth="1"/>
    <col min="5356" max="5356" width="5.7109375" style="121" customWidth="1"/>
    <col min="5357" max="5357" width="10.140625" style="121" customWidth="1"/>
    <col min="5358" max="5358" width="17.140625" style="121" customWidth="1"/>
    <col min="5359" max="5362" width="2.85546875" style="121" customWidth="1"/>
    <col min="5363" max="5363" width="6.5703125" style="121" customWidth="1"/>
    <col min="5364" max="5367" width="2.85546875" style="121" customWidth="1"/>
    <col min="5368" max="5368" width="6" style="121" customWidth="1"/>
    <col min="5369" max="5372" width="2.85546875" style="121" customWidth="1"/>
    <col min="5373" max="5373" width="5.5703125" style="121" customWidth="1"/>
    <col min="5374" max="5377" width="2.85546875" style="121" customWidth="1"/>
    <col min="5378" max="5378" width="7.5703125" style="121" customWidth="1"/>
    <col min="5379" max="5382" width="2.85546875" style="121" customWidth="1"/>
    <col min="5383" max="5383" width="7.42578125" style="121" customWidth="1"/>
    <col min="5384" max="5385" width="0" style="121" hidden="1" customWidth="1"/>
    <col min="5386" max="5609" width="9.140625" style="121"/>
    <col min="5610" max="5610" width="4.28515625" style="121" customWidth="1"/>
    <col min="5611" max="5611" width="25" style="121" customWidth="1"/>
    <col min="5612" max="5612" width="5.7109375" style="121" customWidth="1"/>
    <col min="5613" max="5613" width="10.140625" style="121" customWidth="1"/>
    <col min="5614" max="5614" width="17.140625" style="121" customWidth="1"/>
    <col min="5615" max="5618" width="2.85546875" style="121" customWidth="1"/>
    <col min="5619" max="5619" width="6.5703125" style="121" customWidth="1"/>
    <col min="5620" max="5623" width="2.85546875" style="121" customWidth="1"/>
    <col min="5624" max="5624" width="6" style="121" customWidth="1"/>
    <col min="5625" max="5628" width="2.85546875" style="121" customWidth="1"/>
    <col min="5629" max="5629" width="5.5703125" style="121" customWidth="1"/>
    <col min="5630" max="5633" width="2.85546875" style="121" customWidth="1"/>
    <col min="5634" max="5634" width="7.5703125" style="121" customWidth="1"/>
    <col min="5635" max="5638" width="2.85546875" style="121" customWidth="1"/>
    <col min="5639" max="5639" width="7.42578125" style="121" customWidth="1"/>
    <col min="5640" max="5641" width="0" style="121" hidden="1" customWidth="1"/>
    <col min="5642" max="5865" width="9.140625" style="121"/>
    <col min="5866" max="5866" width="4.28515625" style="121" customWidth="1"/>
    <col min="5867" max="5867" width="25" style="121" customWidth="1"/>
    <col min="5868" max="5868" width="5.7109375" style="121" customWidth="1"/>
    <col min="5869" max="5869" width="10.140625" style="121" customWidth="1"/>
    <col min="5870" max="5870" width="17.140625" style="121" customWidth="1"/>
    <col min="5871" max="5874" width="2.85546875" style="121" customWidth="1"/>
    <col min="5875" max="5875" width="6.5703125" style="121" customWidth="1"/>
    <col min="5876" max="5879" width="2.85546875" style="121" customWidth="1"/>
    <col min="5880" max="5880" width="6" style="121" customWidth="1"/>
    <col min="5881" max="5884" width="2.85546875" style="121" customWidth="1"/>
    <col min="5885" max="5885" width="5.5703125" style="121" customWidth="1"/>
    <col min="5886" max="5889" width="2.85546875" style="121" customWidth="1"/>
    <col min="5890" max="5890" width="7.5703125" style="121" customWidth="1"/>
    <col min="5891" max="5894" width="2.85546875" style="121" customWidth="1"/>
    <col min="5895" max="5895" width="7.42578125" style="121" customWidth="1"/>
    <col min="5896" max="5897" width="0" style="121" hidden="1" customWidth="1"/>
    <col min="5898" max="6121" width="9.140625" style="121"/>
    <col min="6122" max="6122" width="4.28515625" style="121" customWidth="1"/>
    <col min="6123" max="6123" width="25" style="121" customWidth="1"/>
    <col min="6124" max="6124" width="5.7109375" style="121" customWidth="1"/>
    <col min="6125" max="6125" width="10.140625" style="121" customWidth="1"/>
    <col min="6126" max="6126" width="17.140625" style="121" customWidth="1"/>
    <col min="6127" max="6130" width="2.85546875" style="121" customWidth="1"/>
    <col min="6131" max="6131" width="6.5703125" style="121" customWidth="1"/>
    <col min="6132" max="6135" width="2.85546875" style="121" customWidth="1"/>
    <col min="6136" max="6136" width="6" style="121" customWidth="1"/>
    <col min="6137" max="6140" width="2.85546875" style="121" customWidth="1"/>
    <col min="6141" max="6141" width="5.5703125" style="121" customWidth="1"/>
    <col min="6142" max="6145" width="2.85546875" style="121" customWidth="1"/>
    <col min="6146" max="6146" width="7.5703125" style="121" customWidth="1"/>
    <col min="6147" max="6150" width="2.85546875" style="121" customWidth="1"/>
    <col min="6151" max="6151" width="7.42578125" style="121" customWidth="1"/>
    <col min="6152" max="6153" width="0" style="121" hidden="1" customWidth="1"/>
    <col min="6154" max="6377" width="9.140625" style="121"/>
    <col min="6378" max="6378" width="4.28515625" style="121" customWidth="1"/>
    <col min="6379" max="6379" width="25" style="121" customWidth="1"/>
    <col min="6380" max="6380" width="5.7109375" style="121" customWidth="1"/>
    <col min="6381" max="6381" width="10.140625" style="121" customWidth="1"/>
    <col min="6382" max="6382" width="17.140625" style="121" customWidth="1"/>
    <col min="6383" max="6386" width="2.85546875" style="121" customWidth="1"/>
    <col min="6387" max="6387" width="6.5703125" style="121" customWidth="1"/>
    <col min="6388" max="6391" width="2.85546875" style="121" customWidth="1"/>
    <col min="6392" max="6392" width="6" style="121" customWidth="1"/>
    <col min="6393" max="6396" width="2.85546875" style="121" customWidth="1"/>
    <col min="6397" max="6397" width="5.5703125" style="121" customWidth="1"/>
    <col min="6398" max="6401" width="2.85546875" style="121" customWidth="1"/>
    <col min="6402" max="6402" width="7.5703125" style="121" customWidth="1"/>
    <col min="6403" max="6406" width="2.85546875" style="121" customWidth="1"/>
    <col min="6407" max="6407" width="7.42578125" style="121" customWidth="1"/>
    <col min="6408" max="6409" width="0" style="121" hidden="1" customWidth="1"/>
    <col min="6410" max="6633" width="9.140625" style="121"/>
    <col min="6634" max="6634" width="4.28515625" style="121" customWidth="1"/>
    <col min="6635" max="6635" width="25" style="121" customWidth="1"/>
    <col min="6636" max="6636" width="5.7109375" style="121" customWidth="1"/>
    <col min="6637" max="6637" width="10.140625" style="121" customWidth="1"/>
    <col min="6638" max="6638" width="17.140625" style="121" customWidth="1"/>
    <col min="6639" max="6642" width="2.85546875" style="121" customWidth="1"/>
    <col min="6643" max="6643" width="6.5703125" style="121" customWidth="1"/>
    <col min="6644" max="6647" width="2.85546875" style="121" customWidth="1"/>
    <col min="6648" max="6648" width="6" style="121" customWidth="1"/>
    <col min="6649" max="6652" width="2.85546875" style="121" customWidth="1"/>
    <col min="6653" max="6653" width="5.5703125" style="121" customWidth="1"/>
    <col min="6654" max="6657" width="2.85546875" style="121" customWidth="1"/>
    <col min="6658" max="6658" width="7.5703125" style="121" customWidth="1"/>
    <col min="6659" max="6662" width="2.85546875" style="121" customWidth="1"/>
    <col min="6663" max="6663" width="7.42578125" style="121" customWidth="1"/>
    <col min="6664" max="6665" width="0" style="121" hidden="1" customWidth="1"/>
    <col min="6666" max="6889" width="9.140625" style="121"/>
    <col min="6890" max="6890" width="4.28515625" style="121" customWidth="1"/>
    <col min="6891" max="6891" width="25" style="121" customWidth="1"/>
    <col min="6892" max="6892" width="5.7109375" style="121" customWidth="1"/>
    <col min="6893" max="6893" width="10.140625" style="121" customWidth="1"/>
    <col min="6894" max="6894" width="17.140625" style="121" customWidth="1"/>
    <col min="6895" max="6898" width="2.85546875" style="121" customWidth="1"/>
    <col min="6899" max="6899" width="6.5703125" style="121" customWidth="1"/>
    <col min="6900" max="6903" width="2.85546875" style="121" customWidth="1"/>
    <col min="6904" max="6904" width="6" style="121" customWidth="1"/>
    <col min="6905" max="6908" width="2.85546875" style="121" customWidth="1"/>
    <col min="6909" max="6909" width="5.5703125" style="121" customWidth="1"/>
    <col min="6910" max="6913" width="2.85546875" style="121" customWidth="1"/>
    <col min="6914" max="6914" width="7.5703125" style="121" customWidth="1"/>
    <col min="6915" max="6918" width="2.85546875" style="121" customWidth="1"/>
    <col min="6919" max="6919" width="7.42578125" style="121" customWidth="1"/>
    <col min="6920" max="6921" width="0" style="121" hidden="1" customWidth="1"/>
    <col min="6922" max="7145" width="9.140625" style="121"/>
    <col min="7146" max="7146" width="4.28515625" style="121" customWidth="1"/>
    <col min="7147" max="7147" width="25" style="121" customWidth="1"/>
    <col min="7148" max="7148" width="5.7109375" style="121" customWidth="1"/>
    <col min="7149" max="7149" width="10.140625" style="121" customWidth="1"/>
    <col min="7150" max="7150" width="17.140625" style="121" customWidth="1"/>
    <col min="7151" max="7154" width="2.85546875" style="121" customWidth="1"/>
    <col min="7155" max="7155" width="6.5703125" style="121" customWidth="1"/>
    <col min="7156" max="7159" width="2.85546875" style="121" customWidth="1"/>
    <col min="7160" max="7160" width="6" style="121" customWidth="1"/>
    <col min="7161" max="7164" width="2.85546875" style="121" customWidth="1"/>
    <col min="7165" max="7165" width="5.5703125" style="121" customWidth="1"/>
    <col min="7166" max="7169" width="2.85546875" style="121" customWidth="1"/>
    <col min="7170" max="7170" width="7.5703125" style="121" customWidth="1"/>
    <col min="7171" max="7174" width="2.85546875" style="121" customWidth="1"/>
    <col min="7175" max="7175" width="7.42578125" style="121" customWidth="1"/>
    <col min="7176" max="7177" width="0" style="121" hidden="1" customWidth="1"/>
    <col min="7178" max="7401" width="9.140625" style="121"/>
    <col min="7402" max="7402" width="4.28515625" style="121" customWidth="1"/>
    <col min="7403" max="7403" width="25" style="121" customWidth="1"/>
    <col min="7404" max="7404" width="5.7109375" style="121" customWidth="1"/>
    <col min="7405" max="7405" width="10.140625" style="121" customWidth="1"/>
    <col min="7406" max="7406" width="17.140625" style="121" customWidth="1"/>
    <col min="7407" max="7410" width="2.85546875" style="121" customWidth="1"/>
    <col min="7411" max="7411" width="6.5703125" style="121" customWidth="1"/>
    <col min="7412" max="7415" width="2.85546875" style="121" customWidth="1"/>
    <col min="7416" max="7416" width="6" style="121" customWidth="1"/>
    <col min="7417" max="7420" width="2.85546875" style="121" customWidth="1"/>
    <col min="7421" max="7421" width="5.5703125" style="121" customWidth="1"/>
    <col min="7422" max="7425" width="2.85546875" style="121" customWidth="1"/>
    <col min="7426" max="7426" width="7.5703125" style="121" customWidth="1"/>
    <col min="7427" max="7430" width="2.85546875" style="121" customWidth="1"/>
    <col min="7431" max="7431" width="7.42578125" style="121" customWidth="1"/>
    <col min="7432" max="7433" width="0" style="121" hidden="1" customWidth="1"/>
    <col min="7434" max="7657" width="9.140625" style="121"/>
    <col min="7658" max="7658" width="4.28515625" style="121" customWidth="1"/>
    <col min="7659" max="7659" width="25" style="121" customWidth="1"/>
    <col min="7660" max="7660" width="5.7109375" style="121" customWidth="1"/>
    <col min="7661" max="7661" width="10.140625" style="121" customWidth="1"/>
    <col min="7662" max="7662" width="17.140625" style="121" customWidth="1"/>
    <col min="7663" max="7666" width="2.85546875" style="121" customWidth="1"/>
    <col min="7667" max="7667" width="6.5703125" style="121" customWidth="1"/>
    <col min="7668" max="7671" width="2.85546875" style="121" customWidth="1"/>
    <col min="7672" max="7672" width="6" style="121" customWidth="1"/>
    <col min="7673" max="7676" width="2.85546875" style="121" customWidth="1"/>
    <col min="7677" max="7677" width="5.5703125" style="121" customWidth="1"/>
    <col min="7678" max="7681" width="2.85546875" style="121" customWidth="1"/>
    <col min="7682" max="7682" width="7.5703125" style="121" customWidth="1"/>
    <col min="7683" max="7686" width="2.85546875" style="121" customWidth="1"/>
    <col min="7687" max="7687" width="7.42578125" style="121" customWidth="1"/>
    <col min="7688" max="7689" width="0" style="121" hidden="1" customWidth="1"/>
    <col min="7690" max="7913" width="9.140625" style="121"/>
    <col min="7914" max="7914" width="4.28515625" style="121" customWidth="1"/>
    <col min="7915" max="7915" width="25" style="121" customWidth="1"/>
    <col min="7916" max="7916" width="5.7109375" style="121" customWidth="1"/>
    <col min="7917" max="7917" width="10.140625" style="121" customWidth="1"/>
    <col min="7918" max="7918" width="17.140625" style="121" customWidth="1"/>
    <col min="7919" max="7922" width="2.85546875" style="121" customWidth="1"/>
    <col min="7923" max="7923" width="6.5703125" style="121" customWidth="1"/>
    <col min="7924" max="7927" width="2.85546875" style="121" customWidth="1"/>
    <col min="7928" max="7928" width="6" style="121" customWidth="1"/>
    <col min="7929" max="7932" width="2.85546875" style="121" customWidth="1"/>
    <col min="7933" max="7933" width="5.5703125" style="121" customWidth="1"/>
    <col min="7934" max="7937" width="2.85546875" style="121" customWidth="1"/>
    <col min="7938" max="7938" width="7.5703125" style="121" customWidth="1"/>
    <col min="7939" max="7942" width="2.85546875" style="121" customWidth="1"/>
    <col min="7943" max="7943" width="7.42578125" style="121" customWidth="1"/>
    <col min="7944" max="7945" width="0" style="121" hidden="1" customWidth="1"/>
    <col min="7946" max="8169" width="9.140625" style="121"/>
    <col min="8170" max="8170" width="4.28515625" style="121" customWidth="1"/>
    <col min="8171" max="8171" width="25" style="121" customWidth="1"/>
    <col min="8172" max="8172" width="5.7109375" style="121" customWidth="1"/>
    <col min="8173" max="8173" width="10.140625" style="121" customWidth="1"/>
    <col min="8174" max="8174" width="17.140625" style="121" customWidth="1"/>
    <col min="8175" max="8178" width="2.85546875" style="121" customWidth="1"/>
    <col min="8179" max="8179" width="6.5703125" style="121" customWidth="1"/>
    <col min="8180" max="8183" width="2.85546875" style="121" customWidth="1"/>
    <col min="8184" max="8184" width="6" style="121" customWidth="1"/>
    <col min="8185" max="8188" width="2.85546875" style="121" customWidth="1"/>
    <col min="8189" max="8189" width="5.5703125" style="121" customWidth="1"/>
    <col min="8190" max="8193" width="2.85546875" style="121" customWidth="1"/>
    <col min="8194" max="8194" width="7.5703125" style="121" customWidth="1"/>
    <col min="8195" max="8198" width="2.85546875" style="121" customWidth="1"/>
    <col min="8199" max="8199" width="7.42578125" style="121" customWidth="1"/>
    <col min="8200" max="8201" width="0" style="121" hidden="1" customWidth="1"/>
    <col min="8202" max="8425" width="9.140625" style="121"/>
    <col min="8426" max="8426" width="4.28515625" style="121" customWidth="1"/>
    <col min="8427" max="8427" width="25" style="121" customWidth="1"/>
    <col min="8428" max="8428" width="5.7109375" style="121" customWidth="1"/>
    <col min="8429" max="8429" width="10.140625" style="121" customWidth="1"/>
    <col min="8430" max="8430" width="17.140625" style="121" customWidth="1"/>
    <col min="8431" max="8434" width="2.85546875" style="121" customWidth="1"/>
    <col min="8435" max="8435" width="6.5703125" style="121" customWidth="1"/>
    <col min="8436" max="8439" width="2.85546875" style="121" customWidth="1"/>
    <col min="8440" max="8440" width="6" style="121" customWidth="1"/>
    <col min="8441" max="8444" width="2.85546875" style="121" customWidth="1"/>
    <col min="8445" max="8445" width="5.5703125" style="121" customWidth="1"/>
    <col min="8446" max="8449" width="2.85546875" style="121" customWidth="1"/>
    <col min="8450" max="8450" width="7.5703125" style="121" customWidth="1"/>
    <col min="8451" max="8454" width="2.85546875" style="121" customWidth="1"/>
    <col min="8455" max="8455" width="7.42578125" style="121" customWidth="1"/>
    <col min="8456" max="8457" width="0" style="121" hidden="1" customWidth="1"/>
    <col min="8458" max="8681" width="9.140625" style="121"/>
    <col min="8682" max="8682" width="4.28515625" style="121" customWidth="1"/>
    <col min="8683" max="8683" width="25" style="121" customWidth="1"/>
    <col min="8684" max="8684" width="5.7109375" style="121" customWidth="1"/>
    <col min="8685" max="8685" width="10.140625" style="121" customWidth="1"/>
    <col min="8686" max="8686" width="17.140625" style="121" customWidth="1"/>
    <col min="8687" max="8690" width="2.85546875" style="121" customWidth="1"/>
    <col min="8691" max="8691" width="6.5703125" style="121" customWidth="1"/>
    <col min="8692" max="8695" width="2.85546875" style="121" customWidth="1"/>
    <col min="8696" max="8696" width="6" style="121" customWidth="1"/>
    <col min="8697" max="8700" width="2.85546875" style="121" customWidth="1"/>
    <col min="8701" max="8701" width="5.5703125" style="121" customWidth="1"/>
    <col min="8702" max="8705" width="2.85546875" style="121" customWidth="1"/>
    <col min="8706" max="8706" width="7.5703125" style="121" customWidth="1"/>
    <col min="8707" max="8710" width="2.85546875" style="121" customWidth="1"/>
    <col min="8711" max="8711" width="7.42578125" style="121" customWidth="1"/>
    <col min="8712" max="8713" width="0" style="121" hidden="1" customWidth="1"/>
    <col min="8714" max="8937" width="9.140625" style="121"/>
    <col min="8938" max="8938" width="4.28515625" style="121" customWidth="1"/>
    <col min="8939" max="8939" width="25" style="121" customWidth="1"/>
    <col min="8940" max="8940" width="5.7109375" style="121" customWidth="1"/>
    <col min="8941" max="8941" width="10.140625" style="121" customWidth="1"/>
    <col min="8942" max="8942" width="17.140625" style="121" customWidth="1"/>
    <col min="8943" max="8946" width="2.85546875" style="121" customWidth="1"/>
    <col min="8947" max="8947" width="6.5703125" style="121" customWidth="1"/>
    <col min="8948" max="8951" width="2.85546875" style="121" customWidth="1"/>
    <col min="8952" max="8952" width="6" style="121" customWidth="1"/>
    <col min="8953" max="8956" width="2.85546875" style="121" customWidth="1"/>
    <col min="8957" max="8957" width="5.5703125" style="121" customWidth="1"/>
    <col min="8958" max="8961" width="2.85546875" style="121" customWidth="1"/>
    <col min="8962" max="8962" width="7.5703125" style="121" customWidth="1"/>
    <col min="8963" max="8966" width="2.85546875" style="121" customWidth="1"/>
    <col min="8967" max="8967" width="7.42578125" style="121" customWidth="1"/>
    <col min="8968" max="8969" width="0" style="121" hidden="1" customWidth="1"/>
    <col min="8970" max="9193" width="9.140625" style="121"/>
    <col min="9194" max="9194" width="4.28515625" style="121" customWidth="1"/>
    <col min="9195" max="9195" width="25" style="121" customWidth="1"/>
    <col min="9196" max="9196" width="5.7109375" style="121" customWidth="1"/>
    <col min="9197" max="9197" width="10.140625" style="121" customWidth="1"/>
    <col min="9198" max="9198" width="17.140625" style="121" customWidth="1"/>
    <col min="9199" max="9202" width="2.85546875" style="121" customWidth="1"/>
    <col min="9203" max="9203" width="6.5703125" style="121" customWidth="1"/>
    <col min="9204" max="9207" width="2.85546875" style="121" customWidth="1"/>
    <col min="9208" max="9208" width="6" style="121" customWidth="1"/>
    <col min="9209" max="9212" width="2.85546875" style="121" customWidth="1"/>
    <col min="9213" max="9213" width="5.5703125" style="121" customWidth="1"/>
    <col min="9214" max="9217" width="2.85546875" style="121" customWidth="1"/>
    <col min="9218" max="9218" width="7.5703125" style="121" customWidth="1"/>
    <col min="9219" max="9222" width="2.85546875" style="121" customWidth="1"/>
    <col min="9223" max="9223" width="7.42578125" style="121" customWidth="1"/>
    <col min="9224" max="9225" width="0" style="121" hidden="1" customWidth="1"/>
    <col min="9226" max="9449" width="9.140625" style="121"/>
    <col min="9450" max="9450" width="4.28515625" style="121" customWidth="1"/>
    <col min="9451" max="9451" width="25" style="121" customWidth="1"/>
    <col min="9452" max="9452" width="5.7109375" style="121" customWidth="1"/>
    <col min="9453" max="9453" width="10.140625" style="121" customWidth="1"/>
    <col min="9454" max="9454" width="17.140625" style="121" customWidth="1"/>
    <col min="9455" max="9458" width="2.85546875" style="121" customWidth="1"/>
    <col min="9459" max="9459" width="6.5703125" style="121" customWidth="1"/>
    <col min="9460" max="9463" width="2.85546875" style="121" customWidth="1"/>
    <col min="9464" max="9464" width="6" style="121" customWidth="1"/>
    <col min="9465" max="9468" width="2.85546875" style="121" customWidth="1"/>
    <col min="9469" max="9469" width="5.5703125" style="121" customWidth="1"/>
    <col min="9470" max="9473" width="2.85546875" style="121" customWidth="1"/>
    <col min="9474" max="9474" width="7.5703125" style="121" customWidth="1"/>
    <col min="9475" max="9478" width="2.85546875" style="121" customWidth="1"/>
    <col min="9479" max="9479" width="7.42578125" style="121" customWidth="1"/>
    <col min="9480" max="9481" width="0" style="121" hidden="1" customWidth="1"/>
    <col min="9482" max="9705" width="9.140625" style="121"/>
    <col min="9706" max="9706" width="4.28515625" style="121" customWidth="1"/>
    <col min="9707" max="9707" width="25" style="121" customWidth="1"/>
    <col min="9708" max="9708" width="5.7109375" style="121" customWidth="1"/>
    <col min="9709" max="9709" width="10.140625" style="121" customWidth="1"/>
    <col min="9710" max="9710" width="17.140625" style="121" customWidth="1"/>
    <col min="9711" max="9714" width="2.85546875" style="121" customWidth="1"/>
    <col min="9715" max="9715" width="6.5703125" style="121" customWidth="1"/>
    <col min="9716" max="9719" width="2.85546875" style="121" customWidth="1"/>
    <col min="9720" max="9720" width="6" style="121" customWidth="1"/>
    <col min="9721" max="9724" width="2.85546875" style="121" customWidth="1"/>
    <col min="9725" max="9725" width="5.5703125" style="121" customWidth="1"/>
    <col min="9726" max="9729" width="2.85546875" style="121" customWidth="1"/>
    <col min="9730" max="9730" width="7.5703125" style="121" customWidth="1"/>
    <col min="9731" max="9734" width="2.85546875" style="121" customWidth="1"/>
    <col min="9735" max="9735" width="7.42578125" style="121" customWidth="1"/>
    <col min="9736" max="9737" width="0" style="121" hidden="1" customWidth="1"/>
    <col min="9738" max="9961" width="9.140625" style="121"/>
    <col min="9962" max="9962" width="4.28515625" style="121" customWidth="1"/>
    <col min="9963" max="9963" width="25" style="121" customWidth="1"/>
    <col min="9964" max="9964" width="5.7109375" style="121" customWidth="1"/>
    <col min="9965" max="9965" width="10.140625" style="121" customWidth="1"/>
    <col min="9966" max="9966" width="17.140625" style="121" customWidth="1"/>
    <col min="9967" max="9970" width="2.85546875" style="121" customWidth="1"/>
    <col min="9971" max="9971" width="6.5703125" style="121" customWidth="1"/>
    <col min="9972" max="9975" width="2.85546875" style="121" customWidth="1"/>
    <col min="9976" max="9976" width="6" style="121" customWidth="1"/>
    <col min="9977" max="9980" width="2.85546875" style="121" customWidth="1"/>
    <col min="9981" max="9981" width="5.5703125" style="121" customWidth="1"/>
    <col min="9982" max="9985" width="2.85546875" style="121" customWidth="1"/>
    <col min="9986" max="9986" width="7.5703125" style="121" customWidth="1"/>
    <col min="9987" max="9990" width="2.85546875" style="121" customWidth="1"/>
    <col min="9991" max="9991" width="7.42578125" style="121" customWidth="1"/>
    <col min="9992" max="9993" width="0" style="121" hidden="1" customWidth="1"/>
    <col min="9994" max="10217" width="9.140625" style="121"/>
    <col min="10218" max="10218" width="4.28515625" style="121" customWidth="1"/>
    <col min="10219" max="10219" width="25" style="121" customWidth="1"/>
    <col min="10220" max="10220" width="5.7109375" style="121" customWidth="1"/>
    <col min="10221" max="10221" width="10.140625" style="121" customWidth="1"/>
    <col min="10222" max="10222" width="17.140625" style="121" customWidth="1"/>
    <col min="10223" max="10226" width="2.85546875" style="121" customWidth="1"/>
    <col min="10227" max="10227" width="6.5703125" style="121" customWidth="1"/>
    <col min="10228" max="10231" width="2.85546875" style="121" customWidth="1"/>
    <col min="10232" max="10232" width="6" style="121" customWidth="1"/>
    <col min="10233" max="10236" width="2.85546875" style="121" customWidth="1"/>
    <col min="10237" max="10237" width="5.5703125" style="121" customWidth="1"/>
    <col min="10238" max="10241" width="2.85546875" style="121" customWidth="1"/>
    <col min="10242" max="10242" width="7.5703125" style="121" customWidth="1"/>
    <col min="10243" max="10246" width="2.85546875" style="121" customWidth="1"/>
    <col min="10247" max="10247" width="7.42578125" style="121" customWidth="1"/>
    <col min="10248" max="10249" width="0" style="121" hidden="1" customWidth="1"/>
    <col min="10250" max="10473" width="9.140625" style="121"/>
    <col min="10474" max="10474" width="4.28515625" style="121" customWidth="1"/>
    <col min="10475" max="10475" width="25" style="121" customWidth="1"/>
    <col min="10476" max="10476" width="5.7109375" style="121" customWidth="1"/>
    <col min="10477" max="10477" width="10.140625" style="121" customWidth="1"/>
    <col min="10478" max="10478" width="17.140625" style="121" customWidth="1"/>
    <col min="10479" max="10482" width="2.85546875" style="121" customWidth="1"/>
    <col min="10483" max="10483" width="6.5703125" style="121" customWidth="1"/>
    <col min="10484" max="10487" width="2.85546875" style="121" customWidth="1"/>
    <col min="10488" max="10488" width="6" style="121" customWidth="1"/>
    <col min="10489" max="10492" width="2.85546875" style="121" customWidth="1"/>
    <col min="10493" max="10493" width="5.5703125" style="121" customWidth="1"/>
    <col min="10494" max="10497" width="2.85546875" style="121" customWidth="1"/>
    <col min="10498" max="10498" width="7.5703125" style="121" customWidth="1"/>
    <col min="10499" max="10502" width="2.85546875" style="121" customWidth="1"/>
    <col min="10503" max="10503" width="7.42578125" style="121" customWidth="1"/>
    <col min="10504" max="10505" width="0" style="121" hidden="1" customWidth="1"/>
    <col min="10506" max="10729" width="9.140625" style="121"/>
    <col min="10730" max="10730" width="4.28515625" style="121" customWidth="1"/>
    <col min="10731" max="10731" width="25" style="121" customWidth="1"/>
    <col min="10732" max="10732" width="5.7109375" style="121" customWidth="1"/>
    <col min="10733" max="10733" width="10.140625" style="121" customWidth="1"/>
    <col min="10734" max="10734" width="17.140625" style="121" customWidth="1"/>
    <col min="10735" max="10738" width="2.85546875" style="121" customWidth="1"/>
    <col min="10739" max="10739" width="6.5703125" style="121" customWidth="1"/>
    <col min="10740" max="10743" width="2.85546875" style="121" customWidth="1"/>
    <col min="10744" max="10744" width="6" style="121" customWidth="1"/>
    <col min="10745" max="10748" width="2.85546875" style="121" customWidth="1"/>
    <col min="10749" max="10749" width="5.5703125" style="121" customWidth="1"/>
    <col min="10750" max="10753" width="2.85546875" style="121" customWidth="1"/>
    <col min="10754" max="10754" width="7.5703125" style="121" customWidth="1"/>
    <col min="10755" max="10758" width="2.85546875" style="121" customWidth="1"/>
    <col min="10759" max="10759" width="7.42578125" style="121" customWidth="1"/>
    <col min="10760" max="10761" width="0" style="121" hidden="1" customWidth="1"/>
    <col min="10762" max="10985" width="9.140625" style="121"/>
    <col min="10986" max="10986" width="4.28515625" style="121" customWidth="1"/>
    <col min="10987" max="10987" width="25" style="121" customWidth="1"/>
    <col min="10988" max="10988" width="5.7109375" style="121" customWidth="1"/>
    <col min="10989" max="10989" width="10.140625" style="121" customWidth="1"/>
    <col min="10990" max="10990" width="17.140625" style="121" customWidth="1"/>
    <col min="10991" max="10994" width="2.85546875" style="121" customWidth="1"/>
    <col min="10995" max="10995" width="6.5703125" style="121" customWidth="1"/>
    <col min="10996" max="10999" width="2.85546875" style="121" customWidth="1"/>
    <col min="11000" max="11000" width="6" style="121" customWidth="1"/>
    <col min="11001" max="11004" width="2.85546875" style="121" customWidth="1"/>
    <col min="11005" max="11005" width="5.5703125" style="121" customWidth="1"/>
    <col min="11006" max="11009" width="2.85546875" style="121" customWidth="1"/>
    <col min="11010" max="11010" width="7.5703125" style="121" customWidth="1"/>
    <col min="11011" max="11014" width="2.85546875" style="121" customWidth="1"/>
    <col min="11015" max="11015" width="7.42578125" style="121" customWidth="1"/>
    <col min="11016" max="11017" width="0" style="121" hidden="1" customWidth="1"/>
    <col min="11018" max="11241" width="9.140625" style="121"/>
    <col min="11242" max="11242" width="4.28515625" style="121" customWidth="1"/>
    <col min="11243" max="11243" width="25" style="121" customWidth="1"/>
    <col min="11244" max="11244" width="5.7109375" style="121" customWidth="1"/>
    <col min="11245" max="11245" width="10.140625" style="121" customWidth="1"/>
    <col min="11246" max="11246" width="17.140625" style="121" customWidth="1"/>
    <col min="11247" max="11250" width="2.85546875" style="121" customWidth="1"/>
    <col min="11251" max="11251" width="6.5703125" style="121" customWidth="1"/>
    <col min="11252" max="11255" width="2.85546875" style="121" customWidth="1"/>
    <col min="11256" max="11256" width="6" style="121" customWidth="1"/>
    <col min="11257" max="11260" width="2.85546875" style="121" customWidth="1"/>
    <col min="11261" max="11261" width="5.5703125" style="121" customWidth="1"/>
    <col min="11262" max="11265" width="2.85546875" style="121" customWidth="1"/>
    <col min="11266" max="11266" width="7.5703125" style="121" customWidth="1"/>
    <col min="11267" max="11270" width="2.85546875" style="121" customWidth="1"/>
    <col min="11271" max="11271" width="7.42578125" style="121" customWidth="1"/>
    <col min="11272" max="11273" width="0" style="121" hidden="1" customWidth="1"/>
    <col min="11274" max="11497" width="9.140625" style="121"/>
    <col min="11498" max="11498" width="4.28515625" style="121" customWidth="1"/>
    <col min="11499" max="11499" width="25" style="121" customWidth="1"/>
    <col min="11500" max="11500" width="5.7109375" style="121" customWidth="1"/>
    <col min="11501" max="11501" width="10.140625" style="121" customWidth="1"/>
    <col min="11502" max="11502" width="17.140625" style="121" customWidth="1"/>
    <col min="11503" max="11506" width="2.85546875" style="121" customWidth="1"/>
    <col min="11507" max="11507" width="6.5703125" style="121" customWidth="1"/>
    <col min="11508" max="11511" width="2.85546875" style="121" customWidth="1"/>
    <col min="11512" max="11512" width="6" style="121" customWidth="1"/>
    <col min="11513" max="11516" width="2.85546875" style="121" customWidth="1"/>
    <col min="11517" max="11517" width="5.5703125" style="121" customWidth="1"/>
    <col min="11518" max="11521" width="2.85546875" style="121" customWidth="1"/>
    <col min="11522" max="11522" width="7.5703125" style="121" customWidth="1"/>
    <col min="11523" max="11526" width="2.85546875" style="121" customWidth="1"/>
    <col min="11527" max="11527" width="7.42578125" style="121" customWidth="1"/>
    <col min="11528" max="11529" width="0" style="121" hidden="1" customWidth="1"/>
    <col min="11530" max="11753" width="9.140625" style="121"/>
    <col min="11754" max="11754" width="4.28515625" style="121" customWidth="1"/>
    <col min="11755" max="11755" width="25" style="121" customWidth="1"/>
    <col min="11756" max="11756" width="5.7109375" style="121" customWidth="1"/>
    <col min="11757" max="11757" width="10.140625" style="121" customWidth="1"/>
    <col min="11758" max="11758" width="17.140625" style="121" customWidth="1"/>
    <col min="11759" max="11762" width="2.85546875" style="121" customWidth="1"/>
    <col min="11763" max="11763" width="6.5703125" style="121" customWidth="1"/>
    <col min="11764" max="11767" width="2.85546875" style="121" customWidth="1"/>
    <col min="11768" max="11768" width="6" style="121" customWidth="1"/>
    <col min="11769" max="11772" width="2.85546875" style="121" customWidth="1"/>
    <col min="11773" max="11773" width="5.5703125" style="121" customWidth="1"/>
    <col min="11774" max="11777" width="2.85546875" style="121" customWidth="1"/>
    <col min="11778" max="11778" width="7.5703125" style="121" customWidth="1"/>
    <col min="11779" max="11782" width="2.85546875" style="121" customWidth="1"/>
    <col min="11783" max="11783" width="7.42578125" style="121" customWidth="1"/>
    <col min="11784" max="11785" width="0" style="121" hidden="1" customWidth="1"/>
    <col min="11786" max="12009" width="9.140625" style="121"/>
    <col min="12010" max="12010" width="4.28515625" style="121" customWidth="1"/>
    <col min="12011" max="12011" width="25" style="121" customWidth="1"/>
    <col min="12012" max="12012" width="5.7109375" style="121" customWidth="1"/>
    <col min="12013" max="12013" width="10.140625" style="121" customWidth="1"/>
    <col min="12014" max="12014" width="17.140625" style="121" customWidth="1"/>
    <col min="12015" max="12018" width="2.85546875" style="121" customWidth="1"/>
    <col min="12019" max="12019" width="6.5703125" style="121" customWidth="1"/>
    <col min="12020" max="12023" width="2.85546875" style="121" customWidth="1"/>
    <col min="12024" max="12024" width="6" style="121" customWidth="1"/>
    <col min="12025" max="12028" width="2.85546875" style="121" customWidth="1"/>
    <col min="12029" max="12029" width="5.5703125" style="121" customWidth="1"/>
    <col min="12030" max="12033" width="2.85546875" style="121" customWidth="1"/>
    <col min="12034" max="12034" width="7.5703125" style="121" customWidth="1"/>
    <col min="12035" max="12038" width="2.85546875" style="121" customWidth="1"/>
    <col min="12039" max="12039" width="7.42578125" style="121" customWidth="1"/>
    <col min="12040" max="12041" width="0" style="121" hidden="1" customWidth="1"/>
    <col min="12042" max="12265" width="9.140625" style="121"/>
    <col min="12266" max="12266" width="4.28515625" style="121" customWidth="1"/>
    <col min="12267" max="12267" width="25" style="121" customWidth="1"/>
    <col min="12268" max="12268" width="5.7109375" style="121" customWidth="1"/>
    <col min="12269" max="12269" width="10.140625" style="121" customWidth="1"/>
    <col min="12270" max="12270" width="17.140625" style="121" customWidth="1"/>
    <col min="12271" max="12274" width="2.85546875" style="121" customWidth="1"/>
    <col min="12275" max="12275" width="6.5703125" style="121" customWidth="1"/>
    <col min="12276" max="12279" width="2.85546875" style="121" customWidth="1"/>
    <col min="12280" max="12280" width="6" style="121" customWidth="1"/>
    <col min="12281" max="12284" width="2.85546875" style="121" customWidth="1"/>
    <col min="12285" max="12285" width="5.5703125" style="121" customWidth="1"/>
    <col min="12286" max="12289" width="2.85546875" style="121" customWidth="1"/>
    <col min="12290" max="12290" width="7.5703125" style="121" customWidth="1"/>
    <col min="12291" max="12294" width="2.85546875" style="121" customWidth="1"/>
    <col min="12295" max="12295" width="7.42578125" style="121" customWidth="1"/>
    <col min="12296" max="12297" width="0" style="121" hidden="1" customWidth="1"/>
    <col min="12298" max="12521" width="9.140625" style="121"/>
    <col min="12522" max="12522" width="4.28515625" style="121" customWidth="1"/>
    <col min="12523" max="12523" width="25" style="121" customWidth="1"/>
    <col min="12524" max="12524" width="5.7109375" style="121" customWidth="1"/>
    <col min="12525" max="12525" width="10.140625" style="121" customWidth="1"/>
    <col min="12526" max="12526" width="17.140625" style="121" customWidth="1"/>
    <col min="12527" max="12530" width="2.85546875" style="121" customWidth="1"/>
    <col min="12531" max="12531" width="6.5703125" style="121" customWidth="1"/>
    <col min="12532" max="12535" width="2.85546875" style="121" customWidth="1"/>
    <col min="12536" max="12536" width="6" style="121" customWidth="1"/>
    <col min="12537" max="12540" width="2.85546875" style="121" customWidth="1"/>
    <col min="12541" max="12541" width="5.5703125" style="121" customWidth="1"/>
    <col min="12542" max="12545" width="2.85546875" style="121" customWidth="1"/>
    <col min="12546" max="12546" width="7.5703125" style="121" customWidth="1"/>
    <col min="12547" max="12550" width="2.85546875" style="121" customWidth="1"/>
    <col min="12551" max="12551" width="7.42578125" style="121" customWidth="1"/>
    <col min="12552" max="12553" width="0" style="121" hidden="1" customWidth="1"/>
    <col min="12554" max="12777" width="9.140625" style="121"/>
    <col min="12778" max="12778" width="4.28515625" style="121" customWidth="1"/>
    <col min="12779" max="12779" width="25" style="121" customWidth="1"/>
    <col min="12780" max="12780" width="5.7109375" style="121" customWidth="1"/>
    <col min="12781" max="12781" width="10.140625" style="121" customWidth="1"/>
    <col min="12782" max="12782" width="17.140625" style="121" customWidth="1"/>
    <col min="12783" max="12786" width="2.85546875" style="121" customWidth="1"/>
    <col min="12787" max="12787" width="6.5703125" style="121" customWidth="1"/>
    <col min="12788" max="12791" width="2.85546875" style="121" customWidth="1"/>
    <col min="12792" max="12792" width="6" style="121" customWidth="1"/>
    <col min="12793" max="12796" width="2.85546875" style="121" customWidth="1"/>
    <col min="12797" max="12797" width="5.5703125" style="121" customWidth="1"/>
    <col min="12798" max="12801" width="2.85546875" style="121" customWidth="1"/>
    <col min="12802" max="12802" width="7.5703125" style="121" customWidth="1"/>
    <col min="12803" max="12806" width="2.85546875" style="121" customWidth="1"/>
    <col min="12807" max="12807" width="7.42578125" style="121" customWidth="1"/>
    <col min="12808" max="12809" width="0" style="121" hidden="1" customWidth="1"/>
    <col min="12810" max="13033" width="9.140625" style="121"/>
    <col min="13034" max="13034" width="4.28515625" style="121" customWidth="1"/>
    <col min="13035" max="13035" width="25" style="121" customWidth="1"/>
    <col min="13036" max="13036" width="5.7109375" style="121" customWidth="1"/>
    <col min="13037" max="13037" width="10.140625" style="121" customWidth="1"/>
    <col min="13038" max="13038" width="17.140625" style="121" customWidth="1"/>
    <col min="13039" max="13042" width="2.85546875" style="121" customWidth="1"/>
    <col min="13043" max="13043" width="6.5703125" style="121" customWidth="1"/>
    <col min="13044" max="13047" width="2.85546875" style="121" customWidth="1"/>
    <col min="13048" max="13048" width="6" style="121" customWidth="1"/>
    <col min="13049" max="13052" width="2.85546875" style="121" customWidth="1"/>
    <col min="13053" max="13053" width="5.5703125" style="121" customWidth="1"/>
    <col min="13054" max="13057" width="2.85546875" style="121" customWidth="1"/>
    <col min="13058" max="13058" width="7.5703125" style="121" customWidth="1"/>
    <col min="13059" max="13062" width="2.85546875" style="121" customWidth="1"/>
    <col min="13063" max="13063" width="7.42578125" style="121" customWidth="1"/>
    <col min="13064" max="13065" width="0" style="121" hidden="1" customWidth="1"/>
    <col min="13066" max="13289" width="9.140625" style="121"/>
    <col min="13290" max="13290" width="4.28515625" style="121" customWidth="1"/>
    <col min="13291" max="13291" width="25" style="121" customWidth="1"/>
    <col min="13292" max="13292" width="5.7109375" style="121" customWidth="1"/>
    <col min="13293" max="13293" width="10.140625" style="121" customWidth="1"/>
    <col min="13294" max="13294" width="17.140625" style="121" customWidth="1"/>
    <col min="13295" max="13298" width="2.85546875" style="121" customWidth="1"/>
    <col min="13299" max="13299" width="6.5703125" style="121" customWidth="1"/>
    <col min="13300" max="13303" width="2.85546875" style="121" customWidth="1"/>
    <col min="13304" max="13304" width="6" style="121" customWidth="1"/>
    <col min="13305" max="13308" width="2.85546875" style="121" customWidth="1"/>
    <col min="13309" max="13309" width="5.5703125" style="121" customWidth="1"/>
    <col min="13310" max="13313" width="2.85546875" style="121" customWidth="1"/>
    <col min="13314" max="13314" width="7.5703125" style="121" customWidth="1"/>
    <col min="13315" max="13318" width="2.85546875" style="121" customWidth="1"/>
    <col min="13319" max="13319" width="7.42578125" style="121" customWidth="1"/>
    <col min="13320" max="13321" width="0" style="121" hidden="1" customWidth="1"/>
    <col min="13322" max="13545" width="9.140625" style="121"/>
    <col min="13546" max="13546" width="4.28515625" style="121" customWidth="1"/>
    <col min="13547" max="13547" width="25" style="121" customWidth="1"/>
    <col min="13548" max="13548" width="5.7109375" style="121" customWidth="1"/>
    <col min="13549" max="13549" width="10.140625" style="121" customWidth="1"/>
    <col min="13550" max="13550" width="17.140625" style="121" customWidth="1"/>
    <col min="13551" max="13554" width="2.85546875" style="121" customWidth="1"/>
    <col min="13555" max="13555" width="6.5703125" style="121" customWidth="1"/>
    <col min="13556" max="13559" width="2.85546875" style="121" customWidth="1"/>
    <col min="13560" max="13560" width="6" style="121" customWidth="1"/>
    <col min="13561" max="13564" width="2.85546875" style="121" customWidth="1"/>
    <col min="13565" max="13565" width="5.5703125" style="121" customWidth="1"/>
    <col min="13566" max="13569" width="2.85546875" style="121" customWidth="1"/>
    <col min="13570" max="13570" width="7.5703125" style="121" customWidth="1"/>
    <col min="13571" max="13574" width="2.85546875" style="121" customWidth="1"/>
    <col min="13575" max="13575" width="7.42578125" style="121" customWidth="1"/>
    <col min="13576" max="13577" width="0" style="121" hidden="1" customWidth="1"/>
    <col min="13578" max="13801" width="9.140625" style="121"/>
    <col min="13802" max="13802" width="4.28515625" style="121" customWidth="1"/>
    <col min="13803" max="13803" width="25" style="121" customWidth="1"/>
    <col min="13804" max="13804" width="5.7109375" style="121" customWidth="1"/>
    <col min="13805" max="13805" width="10.140625" style="121" customWidth="1"/>
    <col min="13806" max="13806" width="17.140625" style="121" customWidth="1"/>
    <col min="13807" max="13810" width="2.85546875" style="121" customWidth="1"/>
    <col min="13811" max="13811" width="6.5703125" style="121" customWidth="1"/>
    <col min="13812" max="13815" width="2.85546875" style="121" customWidth="1"/>
    <col min="13816" max="13816" width="6" style="121" customWidth="1"/>
    <col min="13817" max="13820" width="2.85546875" style="121" customWidth="1"/>
    <col min="13821" max="13821" width="5.5703125" style="121" customWidth="1"/>
    <col min="13822" max="13825" width="2.85546875" style="121" customWidth="1"/>
    <col min="13826" max="13826" width="7.5703125" style="121" customWidth="1"/>
    <col min="13827" max="13830" width="2.85546875" style="121" customWidth="1"/>
    <col min="13831" max="13831" width="7.42578125" style="121" customWidth="1"/>
    <col min="13832" max="13833" width="0" style="121" hidden="1" customWidth="1"/>
    <col min="13834" max="14057" width="9.140625" style="121"/>
    <col min="14058" max="14058" width="4.28515625" style="121" customWidth="1"/>
    <col min="14059" max="14059" width="25" style="121" customWidth="1"/>
    <col min="14060" max="14060" width="5.7109375" style="121" customWidth="1"/>
    <col min="14061" max="14061" width="10.140625" style="121" customWidth="1"/>
    <col min="14062" max="14062" width="17.140625" style="121" customWidth="1"/>
    <col min="14063" max="14066" width="2.85546875" style="121" customWidth="1"/>
    <col min="14067" max="14067" width="6.5703125" style="121" customWidth="1"/>
    <col min="14068" max="14071" width="2.85546875" style="121" customWidth="1"/>
    <col min="14072" max="14072" width="6" style="121" customWidth="1"/>
    <col min="14073" max="14076" width="2.85546875" style="121" customWidth="1"/>
    <col min="14077" max="14077" width="5.5703125" style="121" customWidth="1"/>
    <col min="14078" max="14081" width="2.85546875" style="121" customWidth="1"/>
    <col min="14082" max="14082" width="7.5703125" style="121" customWidth="1"/>
    <col min="14083" max="14086" width="2.85546875" style="121" customWidth="1"/>
    <col min="14087" max="14087" width="7.42578125" style="121" customWidth="1"/>
    <col min="14088" max="14089" width="0" style="121" hidden="1" customWidth="1"/>
    <col min="14090" max="14313" width="9.140625" style="121"/>
    <col min="14314" max="14314" width="4.28515625" style="121" customWidth="1"/>
    <col min="14315" max="14315" width="25" style="121" customWidth="1"/>
    <col min="14316" max="14316" width="5.7109375" style="121" customWidth="1"/>
    <col min="14317" max="14317" width="10.140625" style="121" customWidth="1"/>
    <col min="14318" max="14318" width="17.140625" style="121" customWidth="1"/>
    <col min="14319" max="14322" width="2.85546875" style="121" customWidth="1"/>
    <col min="14323" max="14323" width="6.5703125" style="121" customWidth="1"/>
    <col min="14324" max="14327" width="2.85546875" style="121" customWidth="1"/>
    <col min="14328" max="14328" width="6" style="121" customWidth="1"/>
    <col min="14329" max="14332" width="2.85546875" style="121" customWidth="1"/>
    <col min="14333" max="14333" width="5.5703125" style="121" customWidth="1"/>
    <col min="14334" max="14337" width="2.85546875" style="121" customWidth="1"/>
    <col min="14338" max="14338" width="7.5703125" style="121" customWidth="1"/>
    <col min="14339" max="14342" width="2.85546875" style="121" customWidth="1"/>
    <col min="14343" max="14343" width="7.42578125" style="121" customWidth="1"/>
    <col min="14344" max="14345" width="0" style="121" hidden="1" customWidth="1"/>
    <col min="14346" max="14569" width="9.140625" style="121"/>
    <col min="14570" max="14570" width="4.28515625" style="121" customWidth="1"/>
    <col min="14571" max="14571" width="25" style="121" customWidth="1"/>
    <col min="14572" max="14572" width="5.7109375" style="121" customWidth="1"/>
    <col min="14573" max="14573" width="10.140625" style="121" customWidth="1"/>
    <col min="14574" max="14574" width="17.140625" style="121" customWidth="1"/>
    <col min="14575" max="14578" width="2.85546875" style="121" customWidth="1"/>
    <col min="14579" max="14579" width="6.5703125" style="121" customWidth="1"/>
    <col min="14580" max="14583" width="2.85546875" style="121" customWidth="1"/>
    <col min="14584" max="14584" width="6" style="121" customWidth="1"/>
    <col min="14585" max="14588" width="2.85546875" style="121" customWidth="1"/>
    <col min="14589" max="14589" width="5.5703125" style="121" customWidth="1"/>
    <col min="14590" max="14593" width="2.85546875" style="121" customWidth="1"/>
    <col min="14594" max="14594" width="7.5703125" style="121" customWidth="1"/>
    <col min="14595" max="14598" width="2.85546875" style="121" customWidth="1"/>
    <col min="14599" max="14599" width="7.42578125" style="121" customWidth="1"/>
    <col min="14600" max="14601" width="0" style="121" hidden="1" customWidth="1"/>
    <col min="14602" max="14825" width="9.140625" style="121"/>
    <col min="14826" max="14826" width="4.28515625" style="121" customWidth="1"/>
    <col min="14827" max="14827" width="25" style="121" customWidth="1"/>
    <col min="14828" max="14828" width="5.7109375" style="121" customWidth="1"/>
    <col min="14829" max="14829" width="10.140625" style="121" customWidth="1"/>
    <col min="14830" max="14830" width="17.140625" style="121" customWidth="1"/>
    <col min="14831" max="14834" width="2.85546875" style="121" customWidth="1"/>
    <col min="14835" max="14835" width="6.5703125" style="121" customWidth="1"/>
    <col min="14836" max="14839" width="2.85546875" style="121" customWidth="1"/>
    <col min="14840" max="14840" width="6" style="121" customWidth="1"/>
    <col min="14841" max="14844" width="2.85546875" style="121" customWidth="1"/>
    <col min="14845" max="14845" width="5.5703125" style="121" customWidth="1"/>
    <col min="14846" max="14849" width="2.85546875" style="121" customWidth="1"/>
    <col min="14850" max="14850" width="7.5703125" style="121" customWidth="1"/>
    <col min="14851" max="14854" width="2.85546875" style="121" customWidth="1"/>
    <col min="14855" max="14855" width="7.42578125" style="121" customWidth="1"/>
    <col min="14856" max="14857" width="0" style="121" hidden="1" customWidth="1"/>
    <col min="14858" max="15081" width="9.140625" style="121"/>
    <col min="15082" max="15082" width="4.28515625" style="121" customWidth="1"/>
    <col min="15083" max="15083" width="25" style="121" customWidth="1"/>
    <col min="15084" max="15084" width="5.7109375" style="121" customWidth="1"/>
    <col min="15085" max="15085" width="10.140625" style="121" customWidth="1"/>
    <col min="15086" max="15086" width="17.140625" style="121" customWidth="1"/>
    <col min="15087" max="15090" width="2.85546875" style="121" customWidth="1"/>
    <col min="15091" max="15091" width="6.5703125" style="121" customWidth="1"/>
    <col min="15092" max="15095" width="2.85546875" style="121" customWidth="1"/>
    <col min="15096" max="15096" width="6" style="121" customWidth="1"/>
    <col min="15097" max="15100" width="2.85546875" style="121" customWidth="1"/>
    <col min="15101" max="15101" width="5.5703125" style="121" customWidth="1"/>
    <col min="15102" max="15105" width="2.85546875" style="121" customWidth="1"/>
    <col min="15106" max="15106" width="7.5703125" style="121" customWidth="1"/>
    <col min="15107" max="15110" width="2.85546875" style="121" customWidth="1"/>
    <col min="15111" max="15111" width="7.42578125" style="121" customWidth="1"/>
    <col min="15112" max="15113" width="0" style="121" hidden="1" customWidth="1"/>
    <col min="15114" max="15337" width="9.140625" style="121"/>
    <col min="15338" max="15338" width="4.28515625" style="121" customWidth="1"/>
    <col min="15339" max="15339" width="25" style="121" customWidth="1"/>
    <col min="15340" max="15340" width="5.7109375" style="121" customWidth="1"/>
    <col min="15341" max="15341" width="10.140625" style="121" customWidth="1"/>
    <col min="15342" max="15342" width="17.140625" style="121" customWidth="1"/>
    <col min="15343" max="15346" width="2.85546875" style="121" customWidth="1"/>
    <col min="15347" max="15347" width="6.5703125" style="121" customWidth="1"/>
    <col min="15348" max="15351" width="2.85546875" style="121" customWidth="1"/>
    <col min="15352" max="15352" width="6" style="121" customWidth="1"/>
    <col min="15353" max="15356" width="2.85546875" style="121" customWidth="1"/>
    <col min="15357" max="15357" width="5.5703125" style="121" customWidth="1"/>
    <col min="15358" max="15361" width="2.85546875" style="121" customWidth="1"/>
    <col min="15362" max="15362" width="7.5703125" style="121" customWidth="1"/>
    <col min="15363" max="15366" width="2.85546875" style="121" customWidth="1"/>
    <col min="15367" max="15367" width="7.42578125" style="121" customWidth="1"/>
    <col min="15368" max="15369" width="0" style="121" hidden="1" customWidth="1"/>
    <col min="15370" max="15593" width="9.140625" style="121"/>
    <col min="15594" max="15594" width="4.28515625" style="121" customWidth="1"/>
    <col min="15595" max="15595" width="25" style="121" customWidth="1"/>
    <col min="15596" max="15596" width="5.7109375" style="121" customWidth="1"/>
    <col min="15597" max="15597" width="10.140625" style="121" customWidth="1"/>
    <col min="15598" max="15598" width="17.140625" style="121" customWidth="1"/>
    <col min="15599" max="15602" width="2.85546875" style="121" customWidth="1"/>
    <col min="15603" max="15603" width="6.5703125" style="121" customWidth="1"/>
    <col min="15604" max="15607" width="2.85546875" style="121" customWidth="1"/>
    <col min="15608" max="15608" width="6" style="121" customWidth="1"/>
    <col min="15609" max="15612" width="2.85546875" style="121" customWidth="1"/>
    <col min="15613" max="15613" width="5.5703125" style="121" customWidth="1"/>
    <col min="15614" max="15617" width="2.85546875" style="121" customWidth="1"/>
    <col min="15618" max="15618" width="7.5703125" style="121" customWidth="1"/>
    <col min="15619" max="15622" width="2.85546875" style="121" customWidth="1"/>
    <col min="15623" max="15623" width="7.42578125" style="121" customWidth="1"/>
    <col min="15624" max="15625" width="0" style="121" hidden="1" customWidth="1"/>
    <col min="15626" max="15849" width="9.140625" style="121"/>
    <col min="15850" max="15850" width="4.28515625" style="121" customWidth="1"/>
    <col min="15851" max="15851" width="25" style="121" customWidth="1"/>
    <col min="15852" max="15852" width="5.7109375" style="121" customWidth="1"/>
    <col min="15853" max="15853" width="10.140625" style="121" customWidth="1"/>
    <col min="15854" max="15854" width="17.140625" style="121" customWidth="1"/>
    <col min="15855" max="15858" width="2.85546875" style="121" customWidth="1"/>
    <col min="15859" max="15859" width="6.5703125" style="121" customWidth="1"/>
    <col min="15860" max="15863" width="2.85546875" style="121" customWidth="1"/>
    <col min="15864" max="15864" width="6" style="121" customWidth="1"/>
    <col min="15865" max="15868" width="2.85546875" style="121" customWidth="1"/>
    <col min="15869" max="15869" width="5.5703125" style="121" customWidth="1"/>
    <col min="15870" max="15873" width="2.85546875" style="121" customWidth="1"/>
    <col min="15874" max="15874" width="7.5703125" style="121" customWidth="1"/>
    <col min="15875" max="15878" width="2.85546875" style="121" customWidth="1"/>
    <col min="15879" max="15879" width="7.42578125" style="121" customWidth="1"/>
    <col min="15880" max="15881" width="0" style="121" hidden="1" customWidth="1"/>
    <col min="15882" max="16105" width="9.140625" style="121"/>
    <col min="16106" max="16106" width="4.28515625" style="121" customWidth="1"/>
    <col min="16107" max="16107" width="25" style="121" customWidth="1"/>
    <col min="16108" max="16108" width="5.7109375" style="121" customWidth="1"/>
    <col min="16109" max="16109" width="10.140625" style="121" customWidth="1"/>
    <col min="16110" max="16110" width="17.140625" style="121" customWidth="1"/>
    <col min="16111" max="16114" width="2.85546875" style="121" customWidth="1"/>
    <col min="16115" max="16115" width="6.5703125" style="121" customWidth="1"/>
    <col min="16116" max="16119" width="2.85546875" style="121" customWidth="1"/>
    <col min="16120" max="16120" width="6" style="121" customWidth="1"/>
    <col min="16121" max="16124" width="2.85546875" style="121" customWidth="1"/>
    <col min="16125" max="16125" width="5.5703125" style="121" customWidth="1"/>
    <col min="16126" max="16129" width="2.85546875" style="121" customWidth="1"/>
    <col min="16130" max="16130" width="7.5703125" style="121" customWidth="1"/>
    <col min="16131" max="16134" width="2.85546875" style="121" customWidth="1"/>
    <col min="16135" max="16135" width="7.42578125" style="121" customWidth="1"/>
    <col min="16136" max="16137" width="0" style="121" hidden="1" customWidth="1"/>
    <col min="16138" max="16384" width="9.140625" style="121"/>
  </cols>
  <sheetData>
    <row r="1" spans="1:12" ht="30.75" x14ac:dyDescent="0.4">
      <c r="A1" s="120"/>
      <c r="B1" s="120"/>
      <c r="C1" s="122"/>
      <c r="D1" s="122"/>
      <c r="E1" s="122"/>
      <c r="F1" s="122"/>
      <c r="G1" s="122"/>
      <c r="H1" s="405"/>
      <c r="I1" s="406" t="s">
        <v>89</v>
      </c>
    </row>
    <row r="2" spans="1:12" ht="30.75" x14ac:dyDescent="0.4">
      <c r="A2" s="134"/>
      <c r="B2" s="134"/>
      <c r="C2" s="122"/>
      <c r="D2" s="122"/>
      <c r="E2" s="122"/>
      <c r="F2" s="122"/>
      <c r="G2" s="122"/>
      <c r="H2" s="405"/>
      <c r="I2" s="406" t="s">
        <v>115</v>
      </c>
    </row>
    <row r="3" spans="1:12" ht="30.75" x14ac:dyDescent="0.4">
      <c r="A3" s="135"/>
      <c r="B3" s="135"/>
      <c r="C3" s="122"/>
      <c r="D3" s="122"/>
      <c r="E3" s="122"/>
      <c r="F3" s="122"/>
      <c r="G3" s="122"/>
      <c r="H3" s="405"/>
      <c r="I3" s="406" t="s">
        <v>98</v>
      </c>
    </row>
    <row r="4" spans="1:12" ht="30.75" x14ac:dyDescent="0.4">
      <c r="A4" s="120"/>
      <c r="B4" s="120"/>
      <c r="C4" s="122"/>
      <c r="D4" s="122"/>
      <c r="E4" s="122"/>
      <c r="F4" s="122"/>
      <c r="G4" s="122"/>
      <c r="H4" s="405"/>
      <c r="I4" s="406" t="s">
        <v>99</v>
      </c>
    </row>
    <row r="5" spans="1:12" ht="30.75" x14ac:dyDescent="0.4">
      <c r="A5" s="135"/>
      <c r="B5" s="120"/>
      <c r="C5" s="122"/>
      <c r="D5" s="122"/>
      <c r="E5" s="122"/>
      <c r="F5" s="122"/>
      <c r="G5" s="122"/>
      <c r="H5" s="405"/>
      <c r="I5" s="406" t="s">
        <v>100</v>
      </c>
    </row>
    <row r="6" spans="1:12" x14ac:dyDescent="0.4">
      <c r="A6" s="136"/>
      <c r="B6" s="136"/>
      <c r="C6" s="136"/>
      <c r="D6" s="136"/>
      <c r="E6" s="136"/>
      <c r="F6" s="136"/>
      <c r="G6" s="136"/>
      <c r="H6" s="136"/>
      <c r="I6" s="136"/>
    </row>
    <row r="7" spans="1:12" ht="36" customHeight="1" x14ac:dyDescent="0.4">
      <c r="A7" s="674" t="s">
        <v>140</v>
      </c>
      <c r="B7" s="674"/>
      <c r="C7" s="674"/>
      <c r="D7" s="674"/>
      <c r="E7" s="674"/>
      <c r="F7" s="674"/>
      <c r="G7" s="674"/>
      <c r="H7" s="674"/>
      <c r="I7" s="674"/>
    </row>
    <row r="8" spans="1:12" ht="36" customHeight="1" x14ac:dyDescent="0.4">
      <c r="A8" s="674" t="s">
        <v>84</v>
      </c>
      <c r="B8" s="674"/>
      <c r="C8" s="674"/>
      <c r="D8" s="674"/>
      <c r="E8" s="674"/>
      <c r="F8" s="674"/>
      <c r="G8" s="674"/>
      <c r="H8" s="674"/>
      <c r="I8" s="674"/>
    </row>
    <row r="9" spans="1:12" ht="220.5" customHeight="1" x14ac:dyDescent="0.4">
      <c r="A9" s="675" t="s">
        <v>141</v>
      </c>
      <c r="B9" s="675"/>
      <c r="C9" s="675"/>
      <c r="D9" s="675"/>
      <c r="E9" s="675"/>
      <c r="F9" s="675"/>
      <c r="G9" s="675"/>
      <c r="H9" s="675"/>
      <c r="I9" s="675"/>
    </row>
    <row r="10" spans="1:12" ht="30" x14ac:dyDescent="0.4">
      <c r="A10" s="322"/>
      <c r="B10" s="674" t="s">
        <v>142</v>
      </c>
      <c r="C10" s="674"/>
      <c r="D10" s="674"/>
      <c r="E10" s="674"/>
      <c r="F10" s="674"/>
      <c r="G10" s="674"/>
      <c r="H10" s="674"/>
      <c r="I10" s="674"/>
    </row>
    <row r="11" spans="1:12" ht="45" customHeight="1" thickBot="1" x14ac:dyDescent="0.45">
      <c r="A11" s="322"/>
      <c r="B11" s="682" t="s">
        <v>112</v>
      </c>
      <c r="C11" s="682"/>
      <c r="D11" s="682"/>
      <c r="E11" s="682"/>
      <c r="F11" s="682"/>
      <c r="G11" s="682"/>
      <c r="H11" s="682"/>
      <c r="I11" s="682"/>
    </row>
    <row r="12" spans="1:12" ht="26.25" customHeight="1" x14ac:dyDescent="0.4">
      <c r="A12" s="680" t="s">
        <v>49</v>
      </c>
      <c r="B12" s="714" t="s">
        <v>62</v>
      </c>
      <c r="C12" s="714" t="s">
        <v>63</v>
      </c>
      <c r="D12" s="708" t="s">
        <v>64</v>
      </c>
      <c r="E12" s="693" t="s">
        <v>65</v>
      </c>
      <c r="F12" s="694"/>
      <c r="G12" s="694"/>
      <c r="H12" s="694"/>
      <c r="I12" s="695"/>
    </row>
    <row r="13" spans="1:12" ht="13.5" customHeight="1" thickBot="1" x14ac:dyDescent="0.45">
      <c r="A13" s="681"/>
      <c r="B13" s="715"/>
      <c r="C13" s="715"/>
      <c r="D13" s="709"/>
      <c r="E13" s="696"/>
      <c r="F13" s="697"/>
      <c r="G13" s="697"/>
      <c r="H13" s="697"/>
      <c r="I13" s="698"/>
    </row>
    <row r="14" spans="1:12" ht="89.25" customHeight="1" thickBot="1" x14ac:dyDescent="0.45">
      <c r="A14" s="681"/>
      <c r="B14" s="715"/>
      <c r="C14" s="715"/>
      <c r="D14" s="710"/>
      <c r="E14" s="300" t="s">
        <v>106</v>
      </c>
      <c r="F14" s="370" t="s">
        <v>136</v>
      </c>
      <c r="G14" s="370" t="s">
        <v>107</v>
      </c>
      <c r="H14" s="370" t="s">
        <v>90</v>
      </c>
      <c r="I14" s="449" t="s">
        <v>78</v>
      </c>
    </row>
    <row r="15" spans="1:12" ht="30.75" customHeight="1" thickBot="1" x14ac:dyDescent="0.45">
      <c r="A15" s="681"/>
      <c r="B15" s="716"/>
      <c r="C15" s="716"/>
      <c r="D15" s="711"/>
      <c r="E15" s="407" t="s">
        <v>5</v>
      </c>
      <c r="F15" s="408" t="s">
        <v>95</v>
      </c>
      <c r="G15" s="408" t="s">
        <v>94</v>
      </c>
      <c r="H15" s="408" t="s">
        <v>8</v>
      </c>
      <c r="I15" s="409" t="s">
        <v>9</v>
      </c>
    </row>
    <row r="16" spans="1:12" ht="33" customHeight="1" thickBot="1" x14ac:dyDescent="0.45">
      <c r="A16" s="172"/>
      <c r="B16" s="137"/>
      <c r="C16" s="137"/>
      <c r="D16" s="137"/>
      <c r="E16" s="699" t="s">
        <v>66</v>
      </c>
      <c r="F16" s="700"/>
      <c r="G16" s="700"/>
      <c r="H16" s="700"/>
      <c r="I16" s="701"/>
      <c r="L16" s="114"/>
    </row>
    <row r="17" spans="1:12" ht="42.75" customHeight="1" x14ac:dyDescent="0.4">
      <c r="A17" s="686">
        <v>1</v>
      </c>
      <c r="B17" s="656" t="s">
        <v>158</v>
      </c>
      <c r="C17" s="676" t="s">
        <v>159</v>
      </c>
      <c r="D17" s="712" t="s">
        <v>129</v>
      </c>
      <c r="E17" s="688" t="s">
        <v>207</v>
      </c>
      <c r="F17" s="689"/>
      <c r="G17" s="689"/>
      <c r="H17" s="689"/>
      <c r="I17" s="690"/>
      <c r="L17" s="114"/>
    </row>
    <row r="18" spans="1:12" ht="39.75" customHeight="1" thickBot="1" x14ac:dyDescent="0.45">
      <c r="A18" s="687"/>
      <c r="B18" s="658"/>
      <c r="C18" s="677"/>
      <c r="D18" s="713"/>
      <c r="E18" s="634" t="s">
        <v>208</v>
      </c>
      <c r="F18" s="635" t="s">
        <v>212</v>
      </c>
      <c r="G18" s="635" t="s">
        <v>211</v>
      </c>
      <c r="H18" s="635" t="s">
        <v>209</v>
      </c>
      <c r="I18" s="636" t="s">
        <v>210</v>
      </c>
      <c r="L18" s="114"/>
    </row>
    <row r="19" spans="1:12" ht="40.5" customHeight="1" x14ac:dyDescent="0.4">
      <c r="A19" s="654">
        <v>2</v>
      </c>
      <c r="B19" s="656" t="s">
        <v>160</v>
      </c>
      <c r="C19" s="676" t="s">
        <v>130</v>
      </c>
      <c r="D19" s="678" t="s">
        <v>129</v>
      </c>
      <c r="E19" s="705" t="s">
        <v>199</v>
      </c>
      <c r="F19" s="706"/>
      <c r="G19" s="706"/>
      <c r="H19" s="706"/>
      <c r="I19" s="707"/>
      <c r="J19" s="138"/>
      <c r="L19" s="114"/>
    </row>
    <row r="20" spans="1:12" ht="40.5" customHeight="1" thickBot="1" x14ac:dyDescent="0.45">
      <c r="A20" s="655"/>
      <c r="B20" s="658"/>
      <c r="C20" s="677"/>
      <c r="D20" s="679"/>
      <c r="E20" s="634" t="s">
        <v>201</v>
      </c>
      <c r="F20" s="637" t="s">
        <v>201</v>
      </c>
      <c r="G20" s="637" t="s">
        <v>201</v>
      </c>
      <c r="H20" s="635" t="s">
        <v>200</v>
      </c>
      <c r="I20" s="636" t="s">
        <v>201</v>
      </c>
      <c r="J20" s="138"/>
      <c r="L20" s="114"/>
    </row>
    <row r="21" spans="1:12" ht="44.25" customHeight="1" x14ac:dyDescent="0.4">
      <c r="A21" s="653">
        <v>3</v>
      </c>
      <c r="B21" s="656" t="s">
        <v>161</v>
      </c>
      <c r="C21" s="676" t="s">
        <v>162</v>
      </c>
      <c r="D21" s="678" t="s">
        <v>128</v>
      </c>
      <c r="E21" s="702" t="s">
        <v>229</v>
      </c>
      <c r="F21" s="703"/>
      <c r="G21" s="703"/>
      <c r="H21" s="703"/>
      <c r="I21" s="704"/>
      <c r="J21" s="138"/>
      <c r="L21" s="114"/>
    </row>
    <row r="22" spans="1:12" ht="44.25" customHeight="1" thickBot="1" x14ac:dyDescent="0.45">
      <c r="A22" s="655"/>
      <c r="B22" s="658"/>
      <c r="C22" s="677"/>
      <c r="D22" s="679"/>
      <c r="E22" s="352" t="s">
        <v>230</v>
      </c>
      <c r="F22" s="463" t="s">
        <v>230</v>
      </c>
      <c r="G22" s="463" t="s">
        <v>230</v>
      </c>
      <c r="H22" s="464" t="s">
        <v>230</v>
      </c>
      <c r="I22" s="465" t="s">
        <v>230</v>
      </c>
      <c r="J22" s="138"/>
      <c r="L22" s="114"/>
    </row>
    <row r="23" spans="1:12" ht="46.5" customHeight="1" x14ac:dyDescent="0.4">
      <c r="A23" s="653">
        <v>4</v>
      </c>
      <c r="B23" s="656" t="s">
        <v>170</v>
      </c>
      <c r="C23" s="676" t="s">
        <v>171</v>
      </c>
      <c r="D23" s="678" t="s">
        <v>128</v>
      </c>
      <c r="E23" s="683" t="s">
        <v>197</v>
      </c>
      <c r="F23" s="684"/>
      <c r="G23" s="684"/>
      <c r="H23" s="684"/>
      <c r="I23" s="685"/>
      <c r="J23" s="138"/>
      <c r="L23" s="114"/>
    </row>
    <row r="24" spans="1:12" ht="69" customHeight="1" thickBot="1" x14ac:dyDescent="0.45">
      <c r="A24" s="655"/>
      <c r="B24" s="658"/>
      <c r="C24" s="677"/>
      <c r="D24" s="679"/>
      <c r="E24" s="352" t="s">
        <v>198</v>
      </c>
      <c r="F24" s="392" t="s">
        <v>280</v>
      </c>
      <c r="G24" s="392" t="s">
        <v>227</v>
      </c>
      <c r="H24" s="464" t="s">
        <v>228</v>
      </c>
      <c r="I24" s="465" t="s">
        <v>283</v>
      </c>
      <c r="J24" s="138"/>
      <c r="L24" s="114"/>
    </row>
    <row r="25" spans="1:12" ht="48" customHeight="1" x14ac:dyDescent="0.4">
      <c r="A25" s="653">
        <v>5</v>
      </c>
      <c r="B25" s="656" t="s">
        <v>172</v>
      </c>
      <c r="C25" s="676" t="s">
        <v>173</v>
      </c>
      <c r="D25" s="691" t="s">
        <v>128</v>
      </c>
      <c r="E25" s="688" t="s">
        <v>202</v>
      </c>
      <c r="F25" s="689"/>
      <c r="G25" s="689"/>
      <c r="H25" s="689"/>
      <c r="I25" s="690"/>
      <c r="J25" s="138"/>
      <c r="L25" s="114"/>
    </row>
    <row r="26" spans="1:12" ht="74.25" customHeight="1" thickBot="1" x14ac:dyDescent="0.45">
      <c r="A26" s="655"/>
      <c r="B26" s="658"/>
      <c r="C26" s="677"/>
      <c r="D26" s="692"/>
      <c r="E26" s="352" t="s">
        <v>203</v>
      </c>
      <c r="F26" s="392" t="s">
        <v>203</v>
      </c>
      <c r="G26" s="392" t="s">
        <v>204</v>
      </c>
      <c r="H26" s="464" t="s">
        <v>299</v>
      </c>
      <c r="I26" s="465" t="s">
        <v>203</v>
      </c>
      <c r="J26" s="138"/>
      <c r="L26" s="114"/>
    </row>
    <row r="27" spans="1:12" ht="48" customHeight="1" x14ac:dyDescent="0.4">
      <c r="A27" s="653">
        <v>6</v>
      </c>
      <c r="B27" s="656" t="s">
        <v>178</v>
      </c>
      <c r="C27" s="676" t="s">
        <v>173</v>
      </c>
      <c r="D27" s="691" t="s">
        <v>128</v>
      </c>
      <c r="E27" s="688" t="s">
        <v>226</v>
      </c>
      <c r="F27" s="689"/>
      <c r="G27" s="689"/>
      <c r="H27" s="689"/>
      <c r="I27" s="690"/>
      <c r="J27" s="138"/>
      <c r="L27" s="114"/>
    </row>
    <row r="28" spans="1:12" ht="63" customHeight="1" thickBot="1" x14ac:dyDescent="0.45">
      <c r="A28" s="655"/>
      <c r="B28" s="658"/>
      <c r="C28" s="677"/>
      <c r="D28" s="692"/>
      <c r="E28" s="352" t="s">
        <v>222</v>
      </c>
      <c r="F28" s="392" t="s">
        <v>223</v>
      </c>
      <c r="G28" s="392" t="s">
        <v>224</v>
      </c>
      <c r="H28" s="464" t="s">
        <v>225</v>
      </c>
      <c r="I28" s="465" t="s">
        <v>225</v>
      </c>
      <c r="J28" s="138"/>
      <c r="L28" s="114"/>
    </row>
    <row r="29" spans="1:12" ht="66.75" customHeight="1" x14ac:dyDescent="0.4">
      <c r="A29" s="653">
        <v>7</v>
      </c>
      <c r="B29" s="656" t="s">
        <v>181</v>
      </c>
      <c r="C29" s="676" t="s">
        <v>180</v>
      </c>
      <c r="D29" s="691" t="s">
        <v>139</v>
      </c>
      <c r="E29" s="688" t="s">
        <v>229</v>
      </c>
      <c r="F29" s="689"/>
      <c r="G29" s="689"/>
      <c r="H29" s="689"/>
      <c r="I29" s="690"/>
      <c r="J29" s="138"/>
      <c r="L29" s="114"/>
    </row>
    <row r="30" spans="1:12" ht="66.75" customHeight="1" thickBot="1" x14ac:dyDescent="0.45">
      <c r="A30" s="655"/>
      <c r="B30" s="658"/>
      <c r="C30" s="677"/>
      <c r="D30" s="692"/>
      <c r="E30" s="352" t="s">
        <v>231</v>
      </c>
      <c r="F30" s="392" t="s">
        <v>231</v>
      </c>
      <c r="G30" s="392" t="s">
        <v>231</v>
      </c>
      <c r="H30" s="464" t="s">
        <v>232</v>
      </c>
      <c r="I30" s="465" t="s">
        <v>232</v>
      </c>
      <c r="J30" s="138"/>
      <c r="L30" s="114"/>
    </row>
    <row r="31" spans="1:12" ht="40.5" customHeight="1" x14ac:dyDescent="0.4">
      <c r="A31" s="653">
        <v>8</v>
      </c>
      <c r="B31" s="656" t="s">
        <v>188</v>
      </c>
      <c r="C31" s="676" t="s">
        <v>131</v>
      </c>
      <c r="D31" s="691" t="s">
        <v>128</v>
      </c>
      <c r="E31" s="683" t="s">
        <v>220</v>
      </c>
      <c r="F31" s="684"/>
      <c r="G31" s="684"/>
      <c r="H31" s="684"/>
      <c r="I31" s="685"/>
      <c r="J31" s="138"/>
      <c r="L31" s="114"/>
    </row>
    <row r="32" spans="1:12" ht="40.5" customHeight="1" thickBot="1" x14ac:dyDescent="0.45">
      <c r="A32" s="655"/>
      <c r="B32" s="658"/>
      <c r="C32" s="677"/>
      <c r="D32" s="692"/>
      <c r="E32" s="577" t="s">
        <v>221</v>
      </c>
      <c r="F32" s="638" t="s">
        <v>221</v>
      </c>
      <c r="G32" s="392" t="s">
        <v>273</v>
      </c>
      <c r="H32" s="639" t="s">
        <v>221</v>
      </c>
      <c r="I32" s="640" t="s">
        <v>221</v>
      </c>
      <c r="J32" s="139"/>
      <c r="L32" s="114"/>
    </row>
    <row r="33" spans="1:12" ht="38.25" customHeight="1" x14ac:dyDescent="0.4">
      <c r="A33" s="665">
        <v>9</v>
      </c>
      <c r="B33" s="656" t="s">
        <v>75</v>
      </c>
      <c r="C33" s="668" t="s">
        <v>169</v>
      </c>
      <c r="D33" s="671" t="s">
        <v>128</v>
      </c>
      <c r="E33" s="353" t="s">
        <v>73</v>
      </c>
      <c r="F33" s="354" t="s">
        <v>74</v>
      </c>
      <c r="G33" s="354" t="s">
        <v>76</v>
      </c>
      <c r="H33" s="355" t="s">
        <v>90</v>
      </c>
      <c r="I33" s="356" t="s">
        <v>78</v>
      </c>
      <c r="J33" s="139"/>
      <c r="L33" s="114"/>
    </row>
    <row r="34" spans="1:12" ht="27.75" x14ac:dyDescent="0.4">
      <c r="A34" s="666"/>
      <c r="B34" s="657"/>
      <c r="C34" s="669"/>
      <c r="D34" s="672"/>
      <c r="E34" s="641" t="s">
        <v>123</v>
      </c>
      <c r="F34" s="642" t="s">
        <v>118</v>
      </c>
      <c r="G34" s="642" t="s">
        <v>117</v>
      </c>
      <c r="H34" s="643" t="s">
        <v>217</v>
      </c>
      <c r="I34" s="644" t="s">
        <v>116</v>
      </c>
      <c r="J34" s="139"/>
      <c r="L34" s="114"/>
    </row>
    <row r="35" spans="1:12" ht="55.5" x14ac:dyDescent="0.4">
      <c r="A35" s="666"/>
      <c r="B35" s="657"/>
      <c r="C35" s="669"/>
      <c r="D35" s="672"/>
      <c r="E35" s="645" t="s">
        <v>314</v>
      </c>
      <c r="F35" s="642" t="s">
        <v>119</v>
      </c>
      <c r="G35" s="642" t="s">
        <v>125</v>
      </c>
      <c r="H35" s="643" t="s">
        <v>218</v>
      </c>
      <c r="I35" s="644" t="s">
        <v>191</v>
      </c>
      <c r="J35" s="139"/>
      <c r="L35" s="114"/>
    </row>
    <row r="36" spans="1:12" ht="54" x14ac:dyDescent="0.4">
      <c r="A36" s="666"/>
      <c r="B36" s="657"/>
      <c r="C36" s="669"/>
      <c r="D36" s="672"/>
      <c r="E36" s="357" t="s">
        <v>77</v>
      </c>
      <c r="F36" s="366" t="s">
        <v>92</v>
      </c>
      <c r="G36" s="366" t="s">
        <v>109</v>
      </c>
      <c r="H36" s="270"/>
      <c r="I36" s="358"/>
      <c r="J36" s="139"/>
      <c r="L36" s="114"/>
    </row>
    <row r="37" spans="1:12" ht="27.75" x14ac:dyDescent="0.4">
      <c r="A37" s="666"/>
      <c r="B37" s="657"/>
      <c r="C37" s="669"/>
      <c r="D37" s="672"/>
      <c r="E37" s="645" t="s">
        <v>137</v>
      </c>
      <c r="F37" s="642" t="s">
        <v>93</v>
      </c>
      <c r="G37" s="642" t="s">
        <v>213</v>
      </c>
      <c r="H37" s="270"/>
      <c r="I37" s="358"/>
      <c r="J37" s="139"/>
      <c r="L37" s="114"/>
    </row>
    <row r="38" spans="1:12" ht="27.75" x14ac:dyDescent="0.4">
      <c r="A38" s="666"/>
      <c r="B38" s="657"/>
      <c r="C38" s="669"/>
      <c r="D38" s="672"/>
      <c r="E38" s="645" t="s">
        <v>138</v>
      </c>
      <c r="F38" s="642" t="s">
        <v>127</v>
      </c>
      <c r="G38" s="642" t="s">
        <v>214</v>
      </c>
      <c r="H38" s="270"/>
      <c r="I38" s="358"/>
      <c r="J38" s="139"/>
      <c r="L38" s="114"/>
    </row>
    <row r="39" spans="1:12" ht="37.5" customHeight="1" x14ac:dyDescent="0.4">
      <c r="A39" s="666"/>
      <c r="B39" s="657"/>
      <c r="C39" s="669"/>
      <c r="D39" s="672"/>
      <c r="E39" s="476"/>
      <c r="F39" s="447" t="s">
        <v>108</v>
      </c>
      <c r="G39" s="368"/>
      <c r="H39" s="270"/>
      <c r="I39" s="358"/>
      <c r="J39" s="139"/>
      <c r="L39" s="114"/>
    </row>
    <row r="40" spans="1:12" ht="28.5" thickBot="1" x14ac:dyDescent="0.45">
      <c r="A40" s="667"/>
      <c r="B40" s="658"/>
      <c r="C40" s="670"/>
      <c r="D40" s="673"/>
      <c r="E40" s="577"/>
      <c r="F40" s="463" t="s">
        <v>192</v>
      </c>
      <c r="G40" s="392"/>
      <c r="H40" s="393"/>
      <c r="I40" s="394"/>
      <c r="J40" s="139"/>
      <c r="L40" s="114"/>
    </row>
    <row r="41" spans="1:12" ht="38.25" customHeight="1" x14ac:dyDescent="0.4">
      <c r="A41" s="665">
        <v>10</v>
      </c>
      <c r="B41" s="656" t="s">
        <v>179</v>
      </c>
      <c r="C41" s="668" t="s">
        <v>180</v>
      </c>
      <c r="D41" s="671" t="s">
        <v>139</v>
      </c>
      <c r="E41" s="353" t="s">
        <v>73</v>
      </c>
      <c r="F41" s="354" t="s">
        <v>74</v>
      </c>
      <c r="G41" s="354" t="s">
        <v>76</v>
      </c>
      <c r="H41" s="355" t="s">
        <v>90</v>
      </c>
      <c r="I41" s="356" t="s">
        <v>78</v>
      </c>
      <c r="J41" s="138"/>
      <c r="L41" s="114"/>
    </row>
    <row r="42" spans="1:12" ht="27.75" x14ac:dyDescent="0.4">
      <c r="A42" s="666"/>
      <c r="B42" s="657"/>
      <c r="C42" s="669"/>
      <c r="D42" s="672"/>
      <c r="E42" s="641" t="s">
        <v>123</v>
      </c>
      <c r="F42" s="642" t="s">
        <v>118</v>
      </c>
      <c r="G42" s="642" t="s">
        <v>117</v>
      </c>
      <c r="H42" s="643" t="s">
        <v>219</v>
      </c>
      <c r="I42" s="644" t="s">
        <v>116</v>
      </c>
      <c r="J42" s="138"/>
      <c r="L42" s="114"/>
    </row>
    <row r="43" spans="1:12" ht="55.5" x14ac:dyDescent="0.4">
      <c r="A43" s="666"/>
      <c r="B43" s="657"/>
      <c r="C43" s="669"/>
      <c r="D43" s="672"/>
      <c r="E43" s="645" t="s">
        <v>314</v>
      </c>
      <c r="F43" s="642" t="s">
        <v>119</v>
      </c>
      <c r="G43" s="642" t="s">
        <v>125</v>
      </c>
      <c r="H43" s="642" t="s">
        <v>218</v>
      </c>
      <c r="I43" s="644" t="s">
        <v>191</v>
      </c>
      <c r="J43" s="138"/>
      <c r="L43" s="114"/>
    </row>
    <row r="44" spans="1:12" ht="54" x14ac:dyDescent="0.4">
      <c r="A44" s="666"/>
      <c r="B44" s="657"/>
      <c r="C44" s="669"/>
      <c r="D44" s="672"/>
      <c r="E44" s="357" t="s">
        <v>77</v>
      </c>
      <c r="F44" s="366" t="s">
        <v>92</v>
      </c>
      <c r="G44" s="366" t="s">
        <v>109</v>
      </c>
      <c r="H44" s="270"/>
      <c r="I44" s="358"/>
      <c r="J44" s="138"/>
      <c r="L44" s="114"/>
    </row>
    <row r="45" spans="1:12" ht="27.75" x14ac:dyDescent="0.4">
      <c r="A45" s="666"/>
      <c r="B45" s="657"/>
      <c r="C45" s="669"/>
      <c r="D45" s="672"/>
      <c r="E45" s="645" t="s">
        <v>205</v>
      </c>
      <c r="F45" s="642" t="s">
        <v>195</v>
      </c>
      <c r="G45" s="642" t="s">
        <v>97</v>
      </c>
      <c r="H45" s="270"/>
      <c r="I45" s="358"/>
      <c r="J45" s="138"/>
      <c r="L45" s="114"/>
    </row>
    <row r="46" spans="1:12" ht="69.75" customHeight="1" x14ac:dyDescent="0.4">
      <c r="A46" s="666"/>
      <c r="B46" s="657"/>
      <c r="C46" s="669"/>
      <c r="D46" s="672"/>
      <c r="E46" s="645" t="s">
        <v>206</v>
      </c>
      <c r="F46" s="642" t="s">
        <v>196</v>
      </c>
      <c r="G46" s="642" t="s">
        <v>216</v>
      </c>
      <c r="H46" s="270"/>
      <c r="I46" s="358"/>
      <c r="J46" s="138"/>
      <c r="L46" s="114"/>
    </row>
    <row r="47" spans="1:12" ht="42.75" customHeight="1" x14ac:dyDescent="0.4">
      <c r="A47" s="666"/>
      <c r="B47" s="657"/>
      <c r="C47" s="669"/>
      <c r="D47" s="672"/>
      <c r="E47" s="476"/>
      <c r="F47" s="447" t="s">
        <v>108</v>
      </c>
      <c r="G47" s="368"/>
      <c r="H47" s="270"/>
      <c r="I47" s="358"/>
      <c r="J47" s="138"/>
      <c r="L47" s="114"/>
    </row>
    <row r="48" spans="1:12" ht="43.5" customHeight="1" thickBot="1" x14ac:dyDescent="0.45">
      <c r="A48" s="667"/>
      <c r="B48" s="658"/>
      <c r="C48" s="670"/>
      <c r="D48" s="673"/>
      <c r="E48" s="577"/>
      <c r="F48" s="463" t="s">
        <v>194</v>
      </c>
      <c r="G48" s="392"/>
      <c r="H48" s="393"/>
      <c r="I48" s="394"/>
      <c r="J48" s="138"/>
      <c r="L48" s="114"/>
    </row>
    <row r="49" spans="1:12" ht="44.25" customHeight="1" x14ac:dyDescent="0.4">
      <c r="A49" s="653">
        <v>11</v>
      </c>
      <c r="B49" s="656" t="s">
        <v>88</v>
      </c>
      <c r="C49" s="659" t="s">
        <v>132</v>
      </c>
      <c r="D49" s="662" t="s">
        <v>139</v>
      </c>
      <c r="E49" s="359" t="s">
        <v>73</v>
      </c>
      <c r="F49" s="354" t="s">
        <v>74</v>
      </c>
      <c r="G49" s="354" t="s">
        <v>76</v>
      </c>
      <c r="H49" s="355" t="s">
        <v>90</v>
      </c>
      <c r="I49" s="356" t="s">
        <v>78</v>
      </c>
      <c r="J49" s="138"/>
      <c r="L49" s="114"/>
    </row>
    <row r="50" spans="1:12" ht="72.75" customHeight="1" x14ac:dyDescent="0.4">
      <c r="A50" s="654"/>
      <c r="B50" s="657"/>
      <c r="C50" s="660"/>
      <c r="D50" s="663"/>
      <c r="E50" s="645" t="s">
        <v>290</v>
      </c>
      <c r="F50" s="642" t="s">
        <v>120</v>
      </c>
      <c r="G50" s="642" t="s">
        <v>121</v>
      </c>
      <c r="H50" s="643" t="s">
        <v>218</v>
      </c>
      <c r="I50" s="644" t="s">
        <v>191</v>
      </c>
      <c r="J50" s="138"/>
      <c r="L50" s="114"/>
    </row>
    <row r="51" spans="1:12" ht="54" customHeight="1" x14ac:dyDescent="0.4">
      <c r="A51" s="654"/>
      <c r="B51" s="657"/>
      <c r="C51" s="660"/>
      <c r="D51" s="663"/>
      <c r="E51" s="357" t="s">
        <v>77</v>
      </c>
      <c r="F51" s="366" t="s">
        <v>92</v>
      </c>
      <c r="G51" s="366" t="s">
        <v>109</v>
      </c>
      <c r="H51" s="271"/>
      <c r="I51" s="360"/>
      <c r="J51" s="138"/>
      <c r="L51" s="114"/>
    </row>
    <row r="52" spans="1:12" ht="56.25" customHeight="1" x14ac:dyDescent="0.4">
      <c r="A52" s="654"/>
      <c r="B52" s="657"/>
      <c r="C52" s="660"/>
      <c r="D52" s="663"/>
      <c r="E52" s="645" t="s">
        <v>138</v>
      </c>
      <c r="F52" s="642" t="s">
        <v>124</v>
      </c>
      <c r="G52" s="642" t="s">
        <v>215</v>
      </c>
      <c r="H52" s="271"/>
      <c r="I52" s="360"/>
      <c r="J52" s="138"/>
      <c r="L52" s="114"/>
    </row>
    <row r="53" spans="1:12" ht="54" customHeight="1" x14ac:dyDescent="0.4">
      <c r="A53" s="654"/>
      <c r="B53" s="657"/>
      <c r="C53" s="660"/>
      <c r="D53" s="663"/>
      <c r="E53" s="475"/>
      <c r="F53" s="447" t="s">
        <v>108</v>
      </c>
      <c r="G53" s="368"/>
      <c r="H53" s="271"/>
      <c r="I53" s="360"/>
      <c r="J53" s="138"/>
      <c r="L53" s="114"/>
    </row>
    <row r="54" spans="1:12" ht="39" customHeight="1" thickBot="1" x14ac:dyDescent="0.45">
      <c r="A54" s="655"/>
      <c r="B54" s="658"/>
      <c r="C54" s="661"/>
      <c r="D54" s="664"/>
      <c r="E54" s="573"/>
      <c r="F54" s="463" t="s">
        <v>193</v>
      </c>
      <c r="G54" s="574"/>
      <c r="H54" s="575"/>
      <c r="I54" s="576"/>
      <c r="J54" s="138"/>
      <c r="L54" s="114"/>
    </row>
    <row r="55" spans="1:12" s="221" customFormat="1" ht="38.25" customHeight="1" x14ac:dyDescent="0.45">
      <c r="A55" s="309"/>
      <c r="B55" s="220" t="s">
        <v>67</v>
      </c>
      <c r="C55" s="310"/>
      <c r="D55" s="650"/>
      <c r="E55" s="220"/>
      <c r="F55" s="311"/>
      <c r="G55" s="311"/>
      <c r="H55" s="311"/>
      <c r="I55" s="220"/>
    </row>
    <row r="56" spans="1:12" s="221" customFormat="1" ht="38.25" customHeight="1" x14ac:dyDescent="0.45">
      <c r="A56" s="292"/>
      <c r="B56" s="292" t="s">
        <v>68</v>
      </c>
      <c r="C56" s="222"/>
      <c r="D56" s="222" t="s">
        <v>69</v>
      </c>
      <c r="E56" s="222"/>
      <c r="F56" s="292" t="s">
        <v>79</v>
      </c>
      <c r="G56" s="292" t="s">
        <v>86</v>
      </c>
      <c r="H56" s="292"/>
      <c r="I56" s="312"/>
    </row>
    <row r="57" spans="1:12" s="221" customFormat="1" ht="38.25" customHeight="1" x14ac:dyDescent="0.45">
      <c r="A57" s="292"/>
      <c r="B57" s="222" t="s">
        <v>85</v>
      </c>
      <c r="C57" s="649"/>
      <c r="D57" s="649"/>
      <c r="E57" s="649"/>
      <c r="F57" s="649"/>
      <c r="G57" s="222" t="s">
        <v>83</v>
      </c>
      <c r="H57" s="649"/>
      <c r="I57" s="649"/>
    </row>
    <row r="58" spans="1:12" s="221" customFormat="1" ht="38.25" customHeight="1" x14ac:dyDescent="0.45">
      <c r="A58" s="292"/>
      <c r="B58" s="222" t="s">
        <v>265</v>
      </c>
      <c r="C58" s="649"/>
      <c r="D58" s="649"/>
      <c r="E58" s="649"/>
      <c r="F58" s="649"/>
      <c r="G58" s="222"/>
      <c r="H58" s="649"/>
      <c r="I58" s="649"/>
    </row>
    <row r="59" spans="1:12" s="221" customFormat="1" ht="38.25" customHeight="1" x14ac:dyDescent="0.45">
      <c r="A59" s="313"/>
      <c r="B59" s="313" t="s">
        <v>70</v>
      </c>
      <c r="C59" s="313"/>
      <c r="D59" s="313"/>
      <c r="E59" s="313"/>
      <c r="F59" s="313"/>
      <c r="G59" s="313"/>
      <c r="H59" s="313"/>
      <c r="I59" s="314"/>
    </row>
    <row r="60" spans="1:12" s="221" customFormat="1" ht="38.25" customHeight="1" x14ac:dyDescent="0.45">
      <c r="A60" s="292" t="s">
        <v>71</v>
      </c>
      <c r="B60" s="315"/>
      <c r="C60" s="315"/>
      <c r="D60" s="315"/>
      <c r="E60" s="315"/>
      <c r="F60" s="315"/>
      <c r="G60" s="315"/>
      <c r="H60" s="315"/>
      <c r="I60" s="315"/>
    </row>
    <row r="61" spans="1:12" s="221" customFormat="1" ht="38.25" customHeight="1" x14ac:dyDescent="0.45">
      <c r="A61" s="292"/>
      <c r="B61" s="292"/>
      <c r="C61" s="292"/>
      <c r="D61" s="292"/>
      <c r="E61" s="292"/>
      <c r="F61" s="292"/>
      <c r="G61" s="315"/>
      <c r="H61" s="315"/>
      <c r="I61" s="315"/>
    </row>
  </sheetData>
  <mergeCells count="63">
    <mergeCell ref="D25:D26"/>
    <mergeCell ref="E19:I19"/>
    <mergeCell ref="D12:D15"/>
    <mergeCell ref="D17:D18"/>
    <mergeCell ref="B12:B15"/>
    <mergeCell ref="C12:C15"/>
    <mergeCell ref="C17:C18"/>
    <mergeCell ref="A29:A30"/>
    <mergeCell ref="E12:I13"/>
    <mergeCell ref="A27:A28"/>
    <mergeCell ref="A19:A20"/>
    <mergeCell ref="D19:D20"/>
    <mergeCell ref="B27:B28"/>
    <mergeCell ref="D21:D22"/>
    <mergeCell ref="A25:A26"/>
    <mergeCell ref="A23:A24"/>
    <mergeCell ref="E25:I25"/>
    <mergeCell ref="E16:I16"/>
    <mergeCell ref="B25:B26"/>
    <mergeCell ref="C25:C26"/>
    <mergeCell ref="E17:I17"/>
    <mergeCell ref="E21:I21"/>
    <mergeCell ref="B17:B18"/>
    <mergeCell ref="E31:I31"/>
    <mergeCell ref="E27:I27"/>
    <mergeCell ref="B29:B30"/>
    <mergeCell ref="C29:C30"/>
    <mergeCell ref="D29:D30"/>
    <mergeCell ref="E29:I29"/>
    <mergeCell ref="B31:B32"/>
    <mergeCell ref="C31:C32"/>
    <mergeCell ref="C27:C28"/>
    <mergeCell ref="D27:D28"/>
    <mergeCell ref="D31:D32"/>
    <mergeCell ref="A7:I7"/>
    <mergeCell ref="A8:I8"/>
    <mergeCell ref="A9:I9"/>
    <mergeCell ref="A21:A22"/>
    <mergeCell ref="B23:B24"/>
    <mergeCell ref="C23:C24"/>
    <mergeCell ref="D23:D24"/>
    <mergeCell ref="B10:I10"/>
    <mergeCell ref="A12:A15"/>
    <mergeCell ref="B11:I11"/>
    <mergeCell ref="B19:B20"/>
    <mergeCell ref="C19:C20"/>
    <mergeCell ref="E23:I23"/>
    <mergeCell ref="A17:A18"/>
    <mergeCell ref="B21:B22"/>
    <mergeCell ref="C21:C22"/>
    <mergeCell ref="A49:A54"/>
    <mergeCell ref="B49:B54"/>
    <mergeCell ref="C49:C54"/>
    <mergeCell ref="D49:D54"/>
    <mergeCell ref="A31:A32"/>
    <mergeCell ref="A41:A48"/>
    <mergeCell ref="B41:B48"/>
    <mergeCell ref="C41:C48"/>
    <mergeCell ref="D41:D48"/>
    <mergeCell ref="A33:A40"/>
    <mergeCell ref="B33:B40"/>
    <mergeCell ref="C33:C40"/>
    <mergeCell ref="D33:D40"/>
  </mergeCells>
  <pageMargins left="0" right="0" top="0" bottom="0" header="0" footer="0"/>
  <pageSetup paperSize="9" scale="2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6"/>
  <sheetViews>
    <sheetView view="pageBreakPreview" zoomScale="90" zoomScaleSheetLayoutView="90" workbookViewId="0">
      <selection activeCell="C7" sqref="C7"/>
    </sheetView>
  </sheetViews>
  <sheetFormatPr defaultColWidth="9.140625" defaultRowHeight="15" x14ac:dyDescent="0.25"/>
  <cols>
    <col min="1" max="1" width="9.140625" style="9"/>
    <col min="2" max="2" width="84" style="9" customWidth="1"/>
    <col min="3" max="3" width="29.28515625" style="9" customWidth="1"/>
    <col min="4" max="4" width="15" style="9" customWidth="1"/>
    <col min="5" max="16384" width="9.140625" style="9"/>
  </cols>
  <sheetData>
    <row r="1" spans="1:24" ht="24" customHeight="1" x14ac:dyDescent="0.25">
      <c r="A1" s="718" t="s">
        <v>143</v>
      </c>
      <c r="B1" s="718"/>
      <c r="C1" s="718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24" customHeight="1" x14ac:dyDescent="0.25">
      <c r="A2" s="719" t="s">
        <v>87</v>
      </c>
      <c r="B2" s="719"/>
      <c r="C2" s="71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21.5" customHeight="1" x14ac:dyDescent="0.25">
      <c r="A3" s="720" t="s">
        <v>144</v>
      </c>
      <c r="B3" s="720"/>
      <c r="C3" s="720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6.5" customHeight="1" x14ac:dyDescent="0.25">
      <c r="A4" s="719" t="s">
        <v>142</v>
      </c>
      <c r="B4" s="719"/>
      <c r="C4" s="719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5.75" customHeight="1" thickBot="1" x14ac:dyDescent="0.3">
      <c r="A5" s="721" t="s">
        <v>112</v>
      </c>
      <c r="B5" s="721"/>
      <c r="C5" s="721"/>
      <c r="D5" s="10"/>
      <c r="E5" s="10"/>
    </row>
    <row r="6" spans="1:24" ht="15.75" thickBot="1" x14ac:dyDescent="0.3">
      <c r="A6" s="15" t="s">
        <v>49</v>
      </c>
      <c r="B6" s="15" t="s">
        <v>61</v>
      </c>
      <c r="C6" s="16" t="s">
        <v>48</v>
      </c>
      <c r="D6" s="10"/>
      <c r="E6" s="10"/>
    </row>
    <row r="7" spans="1:24" s="118" customFormat="1" ht="45" customHeight="1" x14ac:dyDescent="0.25">
      <c r="A7" s="150">
        <v>1</v>
      </c>
      <c r="B7" s="151" t="s">
        <v>145</v>
      </c>
      <c r="C7" s="533" t="s">
        <v>233</v>
      </c>
      <c r="D7" s="115"/>
      <c r="E7" s="119"/>
    </row>
    <row r="8" spans="1:24" s="118" customFormat="1" ht="63" x14ac:dyDescent="0.25">
      <c r="A8" s="189">
        <v>2</v>
      </c>
      <c r="B8" s="143" t="s">
        <v>146</v>
      </c>
      <c r="C8" s="188" t="s">
        <v>234</v>
      </c>
      <c r="D8" s="115"/>
      <c r="E8" s="119"/>
    </row>
    <row r="9" spans="1:24" s="118" customFormat="1" ht="48" customHeight="1" x14ac:dyDescent="0.25">
      <c r="A9" s="152">
        <v>3</v>
      </c>
      <c r="B9" s="143" t="s">
        <v>147</v>
      </c>
      <c r="C9" s="153" t="s">
        <v>148</v>
      </c>
      <c r="D9" s="115"/>
      <c r="E9" s="119"/>
    </row>
    <row r="10" spans="1:24" s="118" customFormat="1" ht="48.75" customHeight="1" x14ac:dyDescent="0.25">
      <c r="A10" s="152">
        <v>4</v>
      </c>
      <c r="B10" s="143" t="s">
        <v>149</v>
      </c>
      <c r="C10" s="188" t="s">
        <v>101</v>
      </c>
      <c r="D10" s="115"/>
      <c r="E10" s="119"/>
    </row>
    <row r="11" spans="1:24" s="118" customFormat="1" ht="63" x14ac:dyDescent="0.25">
      <c r="A11" s="152">
        <v>5</v>
      </c>
      <c r="B11" s="351" t="s">
        <v>150</v>
      </c>
      <c r="C11" s="188" t="s">
        <v>133</v>
      </c>
      <c r="D11" s="116"/>
      <c r="E11" s="119"/>
    </row>
    <row r="12" spans="1:24" s="118" customFormat="1" ht="48" customHeight="1" x14ac:dyDescent="0.25">
      <c r="A12" s="152">
        <v>6</v>
      </c>
      <c r="B12" s="143" t="s">
        <v>151</v>
      </c>
      <c r="C12" s="188" t="s">
        <v>126</v>
      </c>
      <c r="D12" s="117"/>
      <c r="E12" s="119"/>
    </row>
    <row r="13" spans="1:24" s="118" customFormat="1" ht="47.25" x14ac:dyDescent="0.25">
      <c r="A13" s="152">
        <v>7</v>
      </c>
      <c r="B13" s="143" t="s">
        <v>152</v>
      </c>
      <c r="C13" s="154" t="s">
        <v>122</v>
      </c>
      <c r="D13" s="117"/>
      <c r="E13" s="119"/>
    </row>
    <row r="14" spans="1:24" s="118" customFormat="1" ht="48" customHeight="1" x14ac:dyDescent="0.25">
      <c r="A14" s="152">
        <v>8</v>
      </c>
      <c r="B14" s="143" t="s">
        <v>153</v>
      </c>
      <c r="C14" s="188" t="s">
        <v>91</v>
      </c>
      <c r="D14" s="117"/>
      <c r="E14" s="119"/>
    </row>
    <row r="15" spans="1:24" s="118" customFormat="1" ht="49.5" customHeight="1" thickBot="1" x14ac:dyDescent="0.3">
      <c r="A15" s="519">
        <v>9</v>
      </c>
      <c r="B15" s="387" t="s">
        <v>154</v>
      </c>
      <c r="C15" s="448" t="s">
        <v>111</v>
      </c>
      <c r="D15" s="117"/>
      <c r="E15" s="119"/>
    </row>
    <row r="16" spans="1:24" ht="15.75" x14ac:dyDescent="0.25">
      <c r="A16" s="6" t="s">
        <v>56</v>
      </c>
      <c r="B16" s="7"/>
      <c r="C16" s="8"/>
      <c r="D16" s="12"/>
      <c r="E16" s="10"/>
    </row>
    <row r="17" spans="1:5" ht="15.75" x14ac:dyDescent="0.25">
      <c r="A17" s="6" t="s">
        <v>83</v>
      </c>
      <c r="B17" s="7"/>
      <c r="C17" s="8"/>
      <c r="D17" s="12"/>
      <c r="E17" s="10"/>
    </row>
    <row r="18" spans="1:5" ht="15.75" x14ac:dyDescent="0.25">
      <c r="A18" s="717" t="s">
        <v>57</v>
      </c>
      <c r="B18" s="717"/>
      <c r="C18" s="14"/>
      <c r="D18" s="13"/>
      <c r="E18" s="10"/>
    </row>
    <row r="19" spans="1:5" x14ac:dyDescent="0.25">
      <c r="A19" s="10" t="s">
        <v>72</v>
      </c>
      <c r="B19" s="11"/>
      <c r="C19" s="13"/>
      <c r="D19" s="13"/>
      <c r="E19" s="10"/>
    </row>
    <row r="20" spans="1:5" ht="30" customHeight="1" x14ac:dyDescent="0.25">
      <c r="A20" s="10"/>
      <c r="B20" s="11"/>
      <c r="C20" s="12"/>
      <c r="D20" s="13"/>
      <c r="E20" s="10"/>
    </row>
    <row r="21" spans="1:5" ht="30" customHeight="1" x14ac:dyDescent="0.25">
      <c r="A21" s="10"/>
      <c r="B21" s="11"/>
      <c r="C21" s="13"/>
      <c r="D21" s="13"/>
      <c r="E21" s="10"/>
    </row>
    <row r="22" spans="1:5" ht="30" customHeight="1" x14ac:dyDescent="0.25">
      <c r="A22" s="10"/>
      <c r="B22" s="11"/>
      <c r="C22" s="13"/>
      <c r="D22" s="13"/>
      <c r="E22" s="10"/>
    </row>
    <row r="23" spans="1:5" ht="30" customHeight="1" x14ac:dyDescent="0.25">
      <c r="B23" s="11"/>
      <c r="C23" s="13"/>
      <c r="D23" s="13"/>
      <c r="E23" s="10"/>
    </row>
    <row r="24" spans="1:5" ht="30" customHeight="1" x14ac:dyDescent="0.25">
      <c r="B24" s="11"/>
      <c r="C24" s="13"/>
      <c r="D24" s="13"/>
      <c r="E24" s="10"/>
    </row>
    <row r="25" spans="1:5" ht="30" customHeight="1" x14ac:dyDescent="0.25">
      <c r="B25" s="11"/>
      <c r="C25" s="12"/>
      <c r="D25" s="12"/>
      <c r="E25" s="10"/>
    </row>
    <row r="26" spans="1:5" ht="30" customHeight="1" x14ac:dyDescent="0.25">
      <c r="B26" s="11"/>
      <c r="C26" s="13"/>
      <c r="D26" s="13"/>
      <c r="E26" s="10"/>
    </row>
    <row r="27" spans="1:5" ht="30" customHeight="1" x14ac:dyDescent="0.25">
      <c r="B27" s="11"/>
      <c r="C27" s="13"/>
      <c r="D27" s="13"/>
      <c r="E27" s="10"/>
    </row>
    <row r="28" spans="1:5" ht="30" customHeight="1" x14ac:dyDescent="0.25">
      <c r="B28" s="11"/>
      <c r="C28" s="13"/>
      <c r="D28" s="13"/>
      <c r="E28" s="10"/>
    </row>
    <row r="29" spans="1:5" ht="30" customHeight="1" x14ac:dyDescent="0.25">
      <c r="B29" s="11"/>
      <c r="C29" s="13"/>
      <c r="D29" s="13"/>
      <c r="E29" s="10"/>
    </row>
    <row r="30" spans="1:5" ht="30" customHeight="1" x14ac:dyDescent="0.25">
      <c r="B30" s="11"/>
      <c r="C30" s="13"/>
      <c r="D30" s="13"/>
      <c r="E30" s="10"/>
    </row>
    <row r="31" spans="1:5" ht="30" customHeight="1" x14ac:dyDescent="0.25">
      <c r="B31" s="11"/>
      <c r="C31" s="13"/>
      <c r="D31" s="13"/>
      <c r="E31" s="10"/>
    </row>
    <row r="32" spans="1:5" ht="30" customHeight="1" x14ac:dyDescent="0.25">
      <c r="B32" s="11"/>
      <c r="C32" s="13"/>
      <c r="D32" s="13"/>
      <c r="E32" s="10"/>
    </row>
    <row r="33" spans="2:5" ht="30" customHeight="1" x14ac:dyDescent="0.25">
      <c r="B33" s="11"/>
      <c r="C33" s="13"/>
      <c r="D33" s="13"/>
      <c r="E33" s="10"/>
    </row>
    <row r="34" spans="2:5" ht="30" customHeight="1" x14ac:dyDescent="0.25">
      <c r="B34" s="11"/>
      <c r="C34" s="13"/>
      <c r="D34" s="13"/>
      <c r="E34" s="10"/>
    </row>
    <row r="35" spans="2:5" ht="30" customHeight="1" x14ac:dyDescent="0.25">
      <c r="B35" s="11"/>
      <c r="C35" s="13"/>
      <c r="D35" s="13"/>
      <c r="E35" s="10"/>
    </row>
    <row r="36" spans="2:5" ht="30" customHeight="1" x14ac:dyDescent="0.25">
      <c r="B36" s="11"/>
      <c r="C36" s="13"/>
      <c r="D36" s="13"/>
      <c r="E36" s="10"/>
    </row>
    <row r="37" spans="2:5" ht="30" customHeight="1" x14ac:dyDescent="0.25">
      <c r="B37" s="11"/>
      <c r="C37" s="13"/>
      <c r="D37" s="13"/>
      <c r="E37" s="10"/>
    </row>
    <row r="38" spans="2:5" ht="30" customHeight="1" x14ac:dyDescent="0.25">
      <c r="B38" s="11"/>
      <c r="C38" s="12"/>
      <c r="D38" s="12"/>
      <c r="E38" s="10"/>
    </row>
    <row r="39" spans="2:5" ht="30" customHeight="1" x14ac:dyDescent="0.25">
      <c r="B39" s="11"/>
      <c r="C39" s="12"/>
      <c r="D39" s="12"/>
      <c r="E39" s="10"/>
    </row>
    <row r="40" spans="2:5" ht="30" customHeight="1" x14ac:dyDescent="0.25">
      <c r="B40" s="11"/>
      <c r="C40" s="12"/>
      <c r="D40" s="12"/>
      <c r="E40" s="10"/>
    </row>
    <row r="41" spans="2:5" ht="30" customHeight="1" x14ac:dyDescent="0.25">
      <c r="B41" s="11"/>
      <c r="C41" s="13"/>
      <c r="D41" s="13"/>
      <c r="E41" s="10"/>
    </row>
    <row r="42" spans="2:5" ht="30" customHeight="1" x14ac:dyDescent="0.25">
      <c r="B42" s="11"/>
      <c r="C42" s="13"/>
      <c r="D42" s="13"/>
      <c r="E42" s="10"/>
    </row>
    <row r="43" spans="2:5" ht="30" customHeight="1" x14ac:dyDescent="0.25">
      <c r="B43" s="11"/>
      <c r="C43" s="13"/>
      <c r="D43" s="13"/>
      <c r="E43" s="10"/>
    </row>
    <row r="44" spans="2:5" ht="30" customHeight="1" x14ac:dyDescent="0.25">
      <c r="B44" s="11"/>
      <c r="C44" s="13"/>
      <c r="D44" s="13"/>
      <c r="E44" s="10"/>
    </row>
    <row r="45" spans="2:5" ht="30" customHeight="1" x14ac:dyDescent="0.25">
      <c r="B45" s="11"/>
      <c r="C45" s="13"/>
      <c r="D45" s="13"/>
      <c r="E45" s="10"/>
    </row>
    <row r="46" spans="2:5" ht="30" customHeight="1" x14ac:dyDescent="0.25">
      <c r="B46" s="11"/>
      <c r="C46" s="13"/>
      <c r="D46" s="13"/>
      <c r="E46" s="10"/>
    </row>
  </sheetData>
  <mergeCells count="6">
    <mergeCell ref="A18:B18"/>
    <mergeCell ref="A1:C1"/>
    <mergeCell ref="A2:C2"/>
    <mergeCell ref="A3:C3"/>
    <mergeCell ref="A4:C4"/>
    <mergeCell ref="A5:C5"/>
  </mergeCells>
  <pageMargins left="0.59055118110236227" right="0.31496062992125984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77"/>
  <sheetViews>
    <sheetView view="pageBreakPreview" topLeftCell="A4" zoomScale="60" zoomScaleNormal="90" zoomScalePageLayoutView="40" workbookViewId="0">
      <selection activeCell="E21" sqref="E21"/>
    </sheetView>
  </sheetViews>
  <sheetFormatPr defaultRowHeight="15" x14ac:dyDescent="0.25"/>
  <cols>
    <col min="1" max="1" width="4.42578125" customWidth="1"/>
    <col min="2" max="2" width="1.5703125" customWidth="1"/>
    <col min="3" max="3" width="17.28515625" customWidth="1"/>
    <col min="4" max="4" width="43.140625" customWidth="1"/>
    <col min="5" max="5" width="48.42578125" customWidth="1"/>
    <col min="6" max="8" width="43.140625" customWidth="1"/>
  </cols>
  <sheetData>
    <row r="1" spans="1:8" ht="25.5" customHeight="1" x14ac:dyDescent="0.3">
      <c r="A1" s="34"/>
      <c r="B1" s="34"/>
      <c r="C1" s="34"/>
      <c r="D1" s="34"/>
      <c r="E1" s="34"/>
      <c r="F1" s="304" t="s">
        <v>140</v>
      </c>
      <c r="G1" s="34"/>
      <c r="H1" s="34"/>
    </row>
    <row r="2" spans="1:8" ht="25.5" customHeight="1" x14ac:dyDescent="0.3">
      <c r="A2" s="34"/>
      <c r="B2" s="34"/>
      <c r="C2" s="34"/>
      <c r="D2" s="34"/>
      <c r="E2" s="34"/>
      <c r="F2" s="140" t="s">
        <v>87</v>
      </c>
      <c r="G2" s="34"/>
      <c r="H2" s="34"/>
    </row>
    <row r="3" spans="1:8" ht="181.5" customHeight="1" x14ac:dyDescent="0.25">
      <c r="A3" s="732" t="s">
        <v>135</v>
      </c>
      <c r="B3" s="732"/>
      <c r="C3" s="732"/>
      <c r="D3" s="732"/>
      <c r="E3" s="732"/>
      <c r="F3" s="732"/>
      <c r="G3" s="732"/>
      <c r="H3" s="732"/>
    </row>
    <row r="4" spans="1:8" ht="25.5" customHeight="1" x14ac:dyDescent="0.25">
      <c r="A4" s="727" t="s">
        <v>142</v>
      </c>
      <c r="B4" s="727"/>
      <c r="C4" s="727"/>
      <c r="D4" s="727"/>
      <c r="E4" s="727"/>
      <c r="F4" s="727"/>
      <c r="G4" s="727"/>
      <c r="H4" s="727"/>
    </row>
    <row r="5" spans="1:8" ht="18" customHeight="1" x14ac:dyDescent="0.25">
      <c r="A5" s="741" t="s">
        <v>112</v>
      </c>
      <c r="B5" s="741"/>
      <c r="C5" s="741"/>
      <c r="D5" s="741"/>
      <c r="E5" s="741"/>
      <c r="F5" s="741"/>
      <c r="G5" s="741"/>
      <c r="H5" s="741"/>
    </row>
    <row r="6" spans="1:8" ht="17.25" customHeight="1" thickBot="1" x14ac:dyDescent="0.3">
      <c r="A6" s="728" t="s">
        <v>155</v>
      </c>
      <c r="B6" s="728"/>
      <c r="C6" s="728"/>
      <c r="D6" s="728"/>
      <c r="E6" s="728"/>
      <c r="F6" s="728"/>
      <c r="G6" s="728"/>
      <c r="H6" s="728"/>
    </row>
    <row r="7" spans="1:8" ht="21.75" customHeight="1" thickBot="1" x14ac:dyDescent="0.3">
      <c r="A7" s="733" t="s">
        <v>54</v>
      </c>
      <c r="B7" s="733" t="s">
        <v>14</v>
      </c>
      <c r="C7" s="735" t="s">
        <v>55</v>
      </c>
      <c r="D7" s="244" t="s">
        <v>5</v>
      </c>
      <c r="E7" s="245" t="s">
        <v>6</v>
      </c>
      <c r="F7" s="245" t="s">
        <v>7</v>
      </c>
      <c r="G7" s="245" t="s">
        <v>8</v>
      </c>
      <c r="H7" s="246" t="s">
        <v>9</v>
      </c>
    </row>
    <row r="8" spans="1:8" ht="63.75" customHeight="1" thickBot="1" x14ac:dyDescent="0.3">
      <c r="A8" s="734"/>
      <c r="B8" s="734"/>
      <c r="C8" s="736"/>
      <c r="D8" s="371" t="s">
        <v>106</v>
      </c>
      <c r="E8" s="372" t="s">
        <v>136</v>
      </c>
      <c r="F8" s="372" t="s">
        <v>107</v>
      </c>
      <c r="G8" s="372" t="s">
        <v>90</v>
      </c>
      <c r="H8" s="373" t="s">
        <v>78</v>
      </c>
    </row>
    <row r="9" spans="1:8" ht="39.75" customHeight="1" x14ac:dyDescent="0.25">
      <c r="A9" s="737" t="s">
        <v>0</v>
      </c>
      <c r="B9" s="738"/>
      <c r="C9" s="49" t="s">
        <v>10</v>
      </c>
      <c r="D9" s="128"/>
      <c r="E9" s="86"/>
      <c r="F9" s="86"/>
      <c r="G9" s="86"/>
      <c r="H9" s="87"/>
    </row>
    <row r="10" spans="1:8" ht="39.75" customHeight="1" x14ac:dyDescent="0.25">
      <c r="A10" s="730"/>
      <c r="B10" s="739"/>
      <c r="C10" s="50" t="s">
        <v>11</v>
      </c>
      <c r="D10" s="129"/>
      <c r="E10" s="82"/>
      <c r="F10" s="82"/>
      <c r="G10" s="83"/>
      <c r="H10" s="88"/>
    </row>
    <row r="11" spans="1:8" ht="39.75" customHeight="1" x14ac:dyDescent="0.25">
      <c r="A11" s="730"/>
      <c r="B11" s="739"/>
      <c r="C11" s="50" t="s">
        <v>12</v>
      </c>
      <c r="D11" s="129"/>
      <c r="E11" s="82"/>
      <c r="F11" s="82"/>
      <c r="G11" s="82"/>
      <c r="H11" s="88"/>
    </row>
    <row r="12" spans="1:8" ht="39.75" customHeight="1" x14ac:dyDescent="0.25">
      <c r="A12" s="730"/>
      <c r="B12" s="739"/>
      <c r="C12" s="50" t="s">
        <v>13</v>
      </c>
      <c r="D12" s="129"/>
      <c r="E12" s="82"/>
      <c r="F12" s="83"/>
      <c r="G12" s="84"/>
      <c r="H12" s="88"/>
    </row>
    <row r="13" spans="1:8" ht="39.75" customHeight="1" x14ac:dyDescent="0.25">
      <c r="A13" s="730"/>
      <c r="B13" s="739"/>
      <c r="C13" s="123" t="s">
        <v>15</v>
      </c>
      <c r="D13" s="130"/>
      <c r="E13" s="82"/>
      <c r="F13" s="82"/>
      <c r="G13" s="84"/>
      <c r="H13" s="376"/>
    </row>
    <row r="14" spans="1:8" ht="39.75" customHeight="1" thickBot="1" x14ac:dyDescent="0.3">
      <c r="A14" s="731"/>
      <c r="B14" s="740"/>
      <c r="C14" s="124" t="s">
        <v>60</v>
      </c>
      <c r="D14" s="156"/>
      <c r="E14" s="157" t="s">
        <v>296</v>
      </c>
      <c r="F14" s="251"/>
      <c r="G14" s="157"/>
      <c r="H14" s="159"/>
    </row>
    <row r="15" spans="1:8" ht="39.75" customHeight="1" x14ac:dyDescent="0.25">
      <c r="A15" s="722" t="s">
        <v>1</v>
      </c>
      <c r="B15" s="724"/>
      <c r="C15" s="125" t="s">
        <v>10</v>
      </c>
      <c r="D15" s="128"/>
      <c r="E15" s="86"/>
      <c r="F15" s="86"/>
      <c r="G15" s="86"/>
      <c r="H15" s="87"/>
    </row>
    <row r="16" spans="1:8" ht="39.75" customHeight="1" x14ac:dyDescent="0.25">
      <c r="A16" s="722"/>
      <c r="B16" s="722"/>
      <c r="C16" s="50" t="s">
        <v>11</v>
      </c>
      <c r="D16" s="129"/>
      <c r="E16" s="259"/>
      <c r="F16" s="82"/>
      <c r="G16" s="82"/>
      <c r="H16" s="95"/>
    </row>
    <row r="17" spans="1:13" ht="39.75" customHeight="1" x14ac:dyDescent="0.25">
      <c r="A17" s="722"/>
      <c r="B17" s="722"/>
      <c r="C17" s="50" t="s">
        <v>12</v>
      </c>
      <c r="D17" s="131"/>
      <c r="E17" s="84"/>
      <c r="F17" s="82" t="s">
        <v>289</v>
      </c>
      <c r="G17" s="82"/>
      <c r="H17" s="95"/>
    </row>
    <row r="18" spans="1:13" ht="39.75" customHeight="1" x14ac:dyDescent="0.25">
      <c r="A18" s="722"/>
      <c r="B18" s="722"/>
      <c r="C18" s="50" t="s">
        <v>13</v>
      </c>
      <c r="D18" s="129"/>
      <c r="E18" s="84"/>
      <c r="F18" s="82"/>
      <c r="G18" s="82"/>
      <c r="H18" s="88"/>
    </row>
    <row r="19" spans="1:13" ht="39.75" customHeight="1" x14ac:dyDescent="0.25">
      <c r="A19" s="722"/>
      <c r="B19" s="722"/>
      <c r="C19" s="126" t="s">
        <v>15</v>
      </c>
      <c r="D19" s="301"/>
      <c r="E19" s="84"/>
      <c r="F19" s="85"/>
      <c r="G19" s="82"/>
      <c r="H19" s="95"/>
    </row>
    <row r="20" spans="1:13" ht="39.75" customHeight="1" x14ac:dyDescent="0.25">
      <c r="A20" s="722"/>
      <c r="B20" s="722"/>
      <c r="C20" s="126" t="s">
        <v>60</v>
      </c>
      <c r="D20" s="513" t="s">
        <v>291</v>
      </c>
      <c r="E20" s="157"/>
      <c r="F20" s="158"/>
      <c r="G20" s="514"/>
      <c r="H20" s="515"/>
    </row>
    <row r="21" spans="1:13" ht="45" customHeight="1" thickBot="1" x14ac:dyDescent="0.3">
      <c r="A21" s="722"/>
      <c r="B21" s="722"/>
      <c r="C21" s="126" t="s">
        <v>96</v>
      </c>
      <c r="D21" s="380"/>
      <c r="E21" s="90" t="s">
        <v>298</v>
      </c>
      <c r="F21" s="97"/>
      <c r="G21" s="251"/>
      <c r="H21" s="161"/>
      <c r="K21" s="3"/>
    </row>
    <row r="22" spans="1:13" ht="39.75" customHeight="1" x14ac:dyDescent="0.25">
      <c r="A22" s="729" t="s">
        <v>2</v>
      </c>
      <c r="B22" s="725"/>
      <c r="C22" s="49" t="s">
        <v>10</v>
      </c>
      <c r="D22" s="249"/>
      <c r="E22" s="250"/>
      <c r="F22" s="164"/>
      <c r="G22" s="164"/>
      <c r="H22" s="165"/>
    </row>
    <row r="23" spans="1:13" ht="39.75" customHeight="1" x14ac:dyDescent="0.25">
      <c r="A23" s="730"/>
      <c r="B23" s="726"/>
      <c r="C23" s="50" t="s">
        <v>11</v>
      </c>
      <c r="D23" s="129"/>
      <c r="E23" s="82"/>
      <c r="F23" s="164"/>
      <c r="G23" s="82"/>
      <c r="H23" s="95"/>
    </row>
    <row r="24" spans="1:13" ht="39.75" customHeight="1" x14ac:dyDescent="0.25">
      <c r="A24" s="730"/>
      <c r="B24" s="726"/>
      <c r="C24" s="50" t="s">
        <v>12</v>
      </c>
      <c r="D24" s="129"/>
      <c r="E24" s="82"/>
      <c r="F24" s="82"/>
      <c r="G24" s="82"/>
      <c r="H24" s="95"/>
      <c r="K24" s="3"/>
    </row>
    <row r="25" spans="1:13" ht="39.75" customHeight="1" x14ac:dyDescent="0.25">
      <c r="A25" s="730"/>
      <c r="B25" s="726"/>
      <c r="C25" s="50" t="s">
        <v>13</v>
      </c>
      <c r="D25" s="131"/>
      <c r="E25" s="83"/>
      <c r="F25" s="83"/>
      <c r="G25" s="82"/>
      <c r="H25" s="95"/>
    </row>
    <row r="26" spans="1:13" ht="39.75" customHeight="1" x14ac:dyDescent="0.25">
      <c r="A26" s="730"/>
      <c r="B26" s="726"/>
      <c r="C26" s="123" t="s">
        <v>15</v>
      </c>
      <c r="D26" s="301"/>
      <c r="E26" s="259"/>
      <c r="F26" s="85"/>
      <c r="G26" s="84"/>
      <c r="H26" s="89" t="s">
        <v>287</v>
      </c>
    </row>
    <row r="27" spans="1:13" ht="39.75" customHeight="1" thickBot="1" x14ac:dyDescent="0.3">
      <c r="A27" s="731"/>
      <c r="B27" s="170"/>
      <c r="C27" s="51" t="s">
        <v>96</v>
      </c>
      <c r="D27" s="199"/>
      <c r="E27" s="90"/>
      <c r="F27" s="251"/>
      <c r="G27" s="97"/>
      <c r="H27" s="161"/>
    </row>
    <row r="28" spans="1:13" ht="39.75" customHeight="1" x14ac:dyDescent="0.25">
      <c r="A28" s="729" t="s">
        <v>3</v>
      </c>
      <c r="B28" s="724"/>
      <c r="C28" s="125" t="s">
        <v>10</v>
      </c>
      <c r="D28" s="163"/>
      <c r="E28" s="259"/>
      <c r="F28" s="164"/>
      <c r="G28" s="164"/>
      <c r="H28" s="165"/>
      <c r="M28" s="24"/>
    </row>
    <row r="29" spans="1:13" ht="39.75" customHeight="1" x14ac:dyDescent="0.25">
      <c r="A29" s="730"/>
      <c r="B29" s="722"/>
      <c r="C29" s="50" t="s">
        <v>11</v>
      </c>
      <c r="D29" s="129"/>
      <c r="E29" s="82"/>
      <c r="F29" s="83"/>
      <c r="G29" s="82"/>
      <c r="H29" s="95"/>
    </row>
    <row r="30" spans="1:13" ht="39.75" customHeight="1" x14ac:dyDescent="0.25">
      <c r="A30" s="730"/>
      <c r="B30" s="722"/>
      <c r="C30" s="50" t="s">
        <v>12</v>
      </c>
      <c r="D30" s="130"/>
      <c r="E30" s="85"/>
      <c r="F30" s="85"/>
      <c r="G30" s="85"/>
      <c r="H30" s="89"/>
    </row>
    <row r="31" spans="1:13" ht="39.75" customHeight="1" x14ac:dyDescent="0.25">
      <c r="A31" s="730"/>
      <c r="B31" s="722"/>
      <c r="C31" s="50" t="s">
        <v>13</v>
      </c>
      <c r="D31" s="129"/>
      <c r="E31" s="85"/>
      <c r="F31" s="85"/>
      <c r="G31" s="85"/>
      <c r="H31" s="89"/>
    </row>
    <row r="32" spans="1:13" ht="39.75" customHeight="1" x14ac:dyDescent="0.25">
      <c r="A32" s="730"/>
      <c r="B32" s="722"/>
      <c r="C32" s="123" t="s">
        <v>15</v>
      </c>
      <c r="D32" s="160" t="s">
        <v>288</v>
      </c>
      <c r="E32" s="84"/>
      <c r="F32" s="94"/>
      <c r="G32" s="94"/>
      <c r="H32" s="96"/>
    </row>
    <row r="33" spans="1:8" ht="39.75" customHeight="1" x14ac:dyDescent="0.25">
      <c r="A33" s="730"/>
      <c r="B33" s="377"/>
      <c r="C33" s="379" t="s">
        <v>60</v>
      </c>
      <c r="D33" s="378"/>
      <c r="E33" s="157"/>
      <c r="F33" s="162"/>
      <c r="G33" s="162"/>
      <c r="H33" s="253"/>
    </row>
    <row r="34" spans="1:8" ht="39.75" customHeight="1" thickBot="1" x14ac:dyDescent="0.3">
      <c r="A34" s="731"/>
      <c r="B34" s="93"/>
      <c r="C34" s="127" t="s">
        <v>96</v>
      </c>
      <c r="D34" s="252"/>
      <c r="E34" s="157"/>
      <c r="F34" s="162"/>
      <c r="G34" s="162"/>
      <c r="H34" s="253"/>
    </row>
    <row r="35" spans="1:8" ht="39.75" customHeight="1" x14ac:dyDescent="0.25">
      <c r="A35" s="722" t="s">
        <v>4</v>
      </c>
      <c r="B35" s="724"/>
      <c r="C35" s="125" t="s">
        <v>10</v>
      </c>
      <c r="D35" s="254"/>
      <c r="E35" s="255"/>
      <c r="F35" s="255"/>
      <c r="G35" s="255"/>
      <c r="H35" s="256"/>
    </row>
    <row r="36" spans="1:8" ht="39.75" customHeight="1" x14ac:dyDescent="0.25">
      <c r="A36" s="722"/>
      <c r="B36" s="722"/>
      <c r="C36" s="50" t="s">
        <v>11</v>
      </c>
      <c r="D36" s="130"/>
      <c r="E36" s="85"/>
      <c r="F36" s="85"/>
      <c r="G36" s="85"/>
      <c r="H36" s="89"/>
    </row>
    <row r="37" spans="1:8" ht="39.75" customHeight="1" x14ac:dyDescent="0.25">
      <c r="A37" s="722"/>
      <c r="B37" s="722"/>
      <c r="C37" s="50" t="s">
        <v>12</v>
      </c>
      <c r="D37" s="129"/>
      <c r="E37" s="82"/>
      <c r="F37" s="85"/>
      <c r="G37" s="82"/>
      <c r="H37" s="95"/>
    </row>
    <row r="38" spans="1:8" ht="39.75" customHeight="1" x14ac:dyDescent="0.25">
      <c r="A38" s="722"/>
      <c r="B38" s="722"/>
      <c r="C38" s="50" t="s">
        <v>13</v>
      </c>
      <c r="D38" s="257"/>
      <c r="E38" s="84"/>
      <c r="F38" s="82"/>
      <c r="G38" s="82"/>
      <c r="H38" s="171"/>
    </row>
    <row r="39" spans="1:8" ht="39.75" customHeight="1" thickBot="1" x14ac:dyDescent="0.3">
      <c r="A39" s="722"/>
      <c r="B39" s="722"/>
      <c r="C39" s="51" t="s">
        <v>15</v>
      </c>
      <c r="D39" s="156"/>
      <c r="E39" s="259" t="s">
        <v>297</v>
      </c>
      <c r="F39" s="158"/>
      <c r="G39" s="158"/>
      <c r="H39" s="159"/>
    </row>
    <row r="40" spans="1:8" ht="39.75" customHeight="1" x14ac:dyDescent="0.25">
      <c r="A40" s="722" t="s">
        <v>47</v>
      </c>
      <c r="B40" s="724"/>
      <c r="C40" s="49" t="s">
        <v>10</v>
      </c>
      <c r="D40" s="198"/>
      <c r="E40" s="166"/>
      <c r="F40" s="166"/>
      <c r="G40" s="166"/>
      <c r="H40" s="87"/>
    </row>
    <row r="41" spans="1:8" ht="39.75" customHeight="1" x14ac:dyDescent="0.25">
      <c r="A41" s="722"/>
      <c r="B41" s="722"/>
      <c r="C41" s="50" t="s">
        <v>11</v>
      </c>
      <c r="D41" s="129"/>
      <c r="E41" s="82"/>
      <c r="F41" s="83"/>
      <c r="G41" s="82"/>
      <c r="H41" s="88"/>
    </row>
    <row r="42" spans="1:8" ht="39.75" customHeight="1" x14ac:dyDescent="0.25">
      <c r="A42" s="722"/>
      <c r="B42" s="722"/>
      <c r="C42" s="50" t="s">
        <v>12</v>
      </c>
      <c r="D42" s="131"/>
      <c r="E42" s="83"/>
      <c r="F42" s="94"/>
      <c r="G42" s="83"/>
      <c r="H42" s="260"/>
    </row>
    <row r="43" spans="1:8" ht="39.75" customHeight="1" x14ac:dyDescent="0.25">
      <c r="A43" s="722"/>
      <c r="B43" s="722"/>
      <c r="C43" s="50" t="s">
        <v>13</v>
      </c>
      <c r="D43" s="257"/>
      <c r="E43" s="82"/>
      <c r="F43" s="82"/>
      <c r="G43" s="83"/>
      <c r="H43" s="171"/>
    </row>
    <row r="44" spans="1:8" ht="39.75" customHeight="1" thickBot="1" x14ac:dyDescent="0.3">
      <c r="A44" s="723"/>
      <c r="B44" s="723"/>
      <c r="C44" s="51" t="s">
        <v>15</v>
      </c>
      <c r="D44" s="261"/>
      <c r="E44" s="97"/>
      <c r="F44" s="97"/>
      <c r="G44" s="97"/>
      <c r="H44" s="161"/>
    </row>
    <row r="45" spans="1:8" s="19" customFormat="1" ht="15.75" hidden="1" x14ac:dyDescent="0.25">
      <c r="A45" s="18"/>
      <c r="B45" s="18"/>
      <c r="C45" s="22" t="str">
        <f>'01.09'!C39</f>
        <v>*Л. Физиология человека*</v>
      </c>
      <c r="D45" s="258">
        <f>'07.09'!D40+COUNTIF(D$9:D$44,$C45)</f>
        <v>3</v>
      </c>
      <c r="E45" s="258">
        <f>'07.09'!E40+COUNTIF(E$9:E$44,$C45)</f>
        <v>3</v>
      </c>
      <c r="F45" s="258">
        <f>'07.09'!F40+COUNTIF(F$9:F$44,$C45)</f>
        <v>3</v>
      </c>
      <c r="G45" s="258">
        <f>'07.09'!G40+COUNTIF(G$9:G$44,$C45)</f>
        <v>3</v>
      </c>
      <c r="H45" s="258">
        <f>'07.09'!H40+COUNTIF(H$9:H$44,$C45)</f>
        <v>3</v>
      </c>
    </row>
    <row r="46" spans="1:8" s="19" customFormat="1" ht="15.75" hidden="1" x14ac:dyDescent="0.25">
      <c r="A46" s="18"/>
      <c r="B46" s="18"/>
      <c r="C46" s="22" t="str">
        <f>'01.09'!C40</f>
        <v>*Пр. Физиология человека*</v>
      </c>
      <c r="D46" s="23">
        <f>'07.09'!D41+COUNTIF(D$9:D$44,$C46)</f>
        <v>2</v>
      </c>
      <c r="E46" s="23">
        <f>'07.09'!E41+COUNTIF(E$9:E$44,$C46)</f>
        <v>2</v>
      </c>
      <c r="F46" s="23">
        <f>'07.09'!F41+COUNTIF(F$9:F$44,$C46)</f>
        <v>2</v>
      </c>
      <c r="G46" s="23">
        <f>'07.09'!G41+COUNTIF(G$9:G$44,$C46)</f>
        <v>2</v>
      </c>
      <c r="H46" s="23">
        <f>'07.09'!H41+COUNTIF(H$9:H$44,$C46)</f>
        <v>2</v>
      </c>
    </row>
    <row r="47" spans="1:8" s="19" customFormat="1" ht="15.75" hidden="1" x14ac:dyDescent="0.25">
      <c r="A47" s="18"/>
      <c r="B47" s="18"/>
      <c r="C47" s="20" t="str">
        <f>'01.09'!C41</f>
        <v>*Л. Элективные дисциплины по ФКиС: Фехтование*</v>
      </c>
      <c r="D47" s="21">
        <f>'07.09'!D42+COUNTIF(D$9:D$44,$C47)</f>
        <v>0</v>
      </c>
      <c r="E47" s="21">
        <f>'07.09'!E42+COUNTIF(E$9:E$44,$C47)</f>
        <v>0</v>
      </c>
      <c r="F47" s="21">
        <f>'07.09'!F42+COUNTIF(F$9:F$44,$C47)</f>
        <v>0</v>
      </c>
      <c r="G47" s="21">
        <f>'07.09'!G42+COUNTIF(G$9:G$44,$C47)</f>
        <v>0</v>
      </c>
      <c r="H47" s="21">
        <f>'07.09'!H42+COUNTIF(H$9:H$44,$C47)</f>
        <v>0</v>
      </c>
    </row>
    <row r="48" spans="1:8" s="19" customFormat="1" ht="15.75" hidden="1" x14ac:dyDescent="0.25">
      <c r="A48" s="18"/>
      <c r="B48" s="18"/>
      <c r="C48" s="20" t="str">
        <f>'01.09'!C42</f>
        <v>*Пр. Элективные дисциплины по ФКиС: Фехтование*</v>
      </c>
      <c r="D48" s="21">
        <f>'07.09'!D43+COUNTIF(D$9:D$44,$C48)</f>
        <v>0</v>
      </c>
      <c r="E48" s="21">
        <f>'07.09'!E43+COUNTIF(E$9:E$44,$C48)</f>
        <v>0</v>
      </c>
      <c r="F48" s="21">
        <f>'07.09'!F43+COUNTIF(F$9:F$44,$C48)</f>
        <v>0</v>
      </c>
      <c r="G48" s="21">
        <f>'07.09'!G43+COUNTIF(G$9:G$44,$C48)</f>
        <v>0</v>
      </c>
      <c r="H48" s="21">
        <f>'07.09'!H43+COUNTIF(H$9:H$44,$C48)</f>
        <v>0</v>
      </c>
    </row>
    <row r="49" spans="1:8" s="19" customFormat="1" ht="15.75" hidden="1" x14ac:dyDescent="0.25">
      <c r="A49" s="18"/>
      <c r="B49" s="18"/>
      <c r="C49" s="20" t="str">
        <f>'01.09'!C43</f>
        <v>*Л. Педагогика физической культуры и спорта*</v>
      </c>
      <c r="D49" s="21">
        <f>'07.09'!D44+COUNTIF(D$9:D$44,$C49)</f>
        <v>2</v>
      </c>
      <c r="E49" s="21">
        <f>'07.09'!E44+COUNTIF(E$9:E$44,$C49)</f>
        <v>2</v>
      </c>
      <c r="F49" s="21">
        <f>'07.09'!F44+COUNTIF(F$9:F$44,$C49)</f>
        <v>2</v>
      </c>
      <c r="G49" s="21">
        <f>'07.09'!G44+COUNTIF(G$9:G$44,$C49)</f>
        <v>2</v>
      </c>
      <c r="H49" s="21">
        <f>'07.09'!H44+COUNTIF(H$9:H$44,$C49)</f>
        <v>2</v>
      </c>
    </row>
    <row r="50" spans="1:8" s="19" customFormat="1" ht="15.75" hidden="1" x14ac:dyDescent="0.25">
      <c r="A50" s="18"/>
      <c r="B50" s="18"/>
      <c r="C50" s="20" t="str">
        <f>'01.09'!C44</f>
        <v>*Пр. Педагогика физической культуры и спорта*</v>
      </c>
      <c r="D50" s="21">
        <f>'07.09'!D45+COUNTIF(D$9:D$44,$C50)</f>
        <v>0</v>
      </c>
      <c r="E50" s="21">
        <f>'07.09'!E45+COUNTIF(E$9:E$44,$C50)</f>
        <v>0</v>
      </c>
      <c r="F50" s="21">
        <f>'07.09'!F45+COUNTIF(F$9:F$44,$C50)</f>
        <v>0</v>
      </c>
      <c r="G50" s="21">
        <f>'07.09'!G45+COUNTIF(G$9:G$44,$C50)</f>
        <v>0</v>
      </c>
      <c r="H50" s="21">
        <f>'07.09'!H45+COUNTIF(H$9:H$44,$C50)</f>
        <v>0</v>
      </c>
    </row>
    <row r="51" spans="1:8" s="19" customFormat="1" ht="15.75" hidden="1" x14ac:dyDescent="0.25">
      <c r="A51" s="18"/>
      <c r="B51" s="18"/>
      <c r="C51" s="20" t="str">
        <f>'01.09'!C45</f>
        <v>*Л. Теория и методика*</v>
      </c>
      <c r="D51" s="21">
        <f>'07.09'!D46+COUNTIF(D$9:D$44,$C51)</f>
        <v>1</v>
      </c>
      <c r="E51" s="21">
        <f>'07.09'!E46+COUNTIF(E$9:E$44,$C51)</f>
        <v>1</v>
      </c>
      <c r="F51" s="21">
        <f>'07.09'!F46+COUNTIF(F$9:F$44,$C51)</f>
        <v>1</v>
      </c>
      <c r="G51" s="21">
        <f>'07.09'!G46+COUNTIF(G$9:G$44,$C51)</f>
        <v>1</v>
      </c>
      <c r="H51" s="21">
        <f>'07.09'!H46+COUNTIF(H$9:H$44,$C51)</f>
        <v>1</v>
      </c>
    </row>
    <row r="52" spans="1:8" s="19" customFormat="1" ht="15.75" hidden="1" x14ac:dyDescent="0.25">
      <c r="A52" s="18"/>
      <c r="B52" s="18"/>
      <c r="C52" s="20" t="str">
        <f>'01.09'!C46</f>
        <v>*Пр. Теория и методика*</v>
      </c>
      <c r="D52" s="21">
        <f>'07.09'!D47+COUNTIF(D$9:D$44,$C52)</f>
        <v>3</v>
      </c>
      <c r="E52" s="21">
        <f>'07.09'!E47+COUNTIF(E$9:E$44,$C52)</f>
        <v>3</v>
      </c>
      <c r="F52" s="21">
        <f>'07.09'!F47+COUNTIF(F$9:F$44,$C52)</f>
        <v>3</v>
      </c>
      <c r="G52" s="21">
        <f>'07.09'!G47+COUNTIF(G$9:G$44,$C52)</f>
        <v>3</v>
      </c>
      <c r="H52" s="21">
        <f>'07.09'!H47+COUNTIF(H$9:H$44,$C52)</f>
        <v>3</v>
      </c>
    </row>
    <row r="53" spans="1:8" s="19" customFormat="1" ht="15.75" hidden="1" x14ac:dyDescent="0.25">
      <c r="A53" s="18"/>
      <c r="B53" s="18"/>
      <c r="C53" s="20" t="str">
        <f>'01.09'!C47</f>
        <v>*Л.  Теория и методика физической культуры*</v>
      </c>
      <c r="D53" s="21">
        <f>'07.09'!D48+COUNTIF(D$9:D$44,$C53)</f>
        <v>1</v>
      </c>
      <c r="E53" s="21">
        <f>'07.09'!E48+COUNTIF(E$9:E$44,$C53)</f>
        <v>1</v>
      </c>
      <c r="F53" s="21">
        <f>'07.09'!F48+COUNTIF(F$9:F$44,$C53)</f>
        <v>1</v>
      </c>
      <c r="G53" s="21">
        <f>'07.09'!G48+COUNTIF(G$9:G$44,$C53)</f>
        <v>1</v>
      </c>
      <c r="H53" s="21">
        <f>'07.09'!H48+COUNTIF(H$9:H$44,$C53)</f>
        <v>1</v>
      </c>
    </row>
    <row r="54" spans="1:8" s="19" customFormat="1" ht="15.75" hidden="1" x14ac:dyDescent="0.25">
      <c r="A54" s="18"/>
      <c r="B54" s="18"/>
      <c r="C54" s="20" t="str">
        <f>'01.09'!C48</f>
        <v>*Пр.  Теория и методика физической культуры*</v>
      </c>
      <c r="D54" s="21">
        <f>'07.09'!D49+COUNTIF(D$9:D$44,$C54)</f>
        <v>0</v>
      </c>
      <c r="E54" s="21">
        <f>'07.09'!E49+COUNTIF(E$9:E$44,$C54)</f>
        <v>0</v>
      </c>
      <c r="F54" s="21">
        <f>'07.09'!F49+COUNTIF(F$9:F$44,$C54)</f>
        <v>0</v>
      </c>
      <c r="G54" s="21">
        <f>'07.09'!G49+COUNTIF(G$9:G$44,$C54)</f>
        <v>0</v>
      </c>
      <c r="H54" s="21">
        <f>'07.09'!H49+COUNTIF(H$9:H$44,$C54)</f>
        <v>0</v>
      </c>
    </row>
    <row r="55" spans="1:8" s="19" customFormat="1" ht="15.75" hidden="1" x14ac:dyDescent="0.25">
      <c r="A55" s="18"/>
      <c r="B55" s="18"/>
      <c r="C55" s="20" t="str">
        <f>'01.09'!C49</f>
        <v>*Л. Плавание*</v>
      </c>
      <c r="D55" s="21">
        <f>'07.09'!D50+COUNTIF(D$9:D$44,$C55)</f>
        <v>2</v>
      </c>
      <c r="E55" s="21">
        <f>'07.09'!E50+COUNTIF(E$9:E$44,$C55)</f>
        <v>2</v>
      </c>
      <c r="F55" s="21">
        <f>'07.09'!F50+COUNTIF(F$9:F$44,$C55)</f>
        <v>2</v>
      </c>
      <c r="G55" s="21">
        <f>'07.09'!G50+COUNTIF(G$9:G$44,$C55)</f>
        <v>2</v>
      </c>
      <c r="H55" s="21">
        <f>'07.09'!H50+COUNTIF(H$9:H$44,$C55)</f>
        <v>2</v>
      </c>
    </row>
    <row r="56" spans="1:8" s="19" customFormat="1" ht="15.75" hidden="1" x14ac:dyDescent="0.25">
      <c r="A56" s="18"/>
      <c r="B56" s="18"/>
      <c r="C56" s="20" t="str">
        <f>'01.09'!C50</f>
        <v>*Пр. Плавание*</v>
      </c>
      <c r="D56" s="21">
        <f>'07.09'!D51+COUNTIF(D$9:D$44,$C56)</f>
        <v>2</v>
      </c>
      <c r="E56" s="21">
        <f>'07.09'!E51+COUNTIF(E$9:E$44,$C56)</f>
        <v>2</v>
      </c>
      <c r="F56" s="21">
        <f>'07.09'!F51+COUNTIF(F$9:F$44,$C56)</f>
        <v>2</v>
      </c>
      <c r="G56" s="21">
        <f>'07.09'!G51+COUNTIF(G$9:G$44,$C56)</f>
        <v>2</v>
      </c>
      <c r="H56" s="21">
        <f>'07.09'!H51+COUNTIF(H$9:H$44,$C56)</f>
        <v>2</v>
      </c>
    </row>
    <row r="57" spans="1:8" s="19" customFormat="1" ht="15.75" hidden="1" x14ac:dyDescent="0.25">
      <c r="A57" s="18"/>
      <c r="B57" s="18"/>
      <c r="C57" s="20" t="str">
        <f>'01.09'!C51</f>
        <v>*Л. Подвижные игры в спорте и образовании*</v>
      </c>
      <c r="D57" s="21">
        <f>'07.09'!D52+COUNTIF(D$9:D$44,$C57)</f>
        <v>1</v>
      </c>
      <c r="E57" s="21">
        <f>'07.09'!E52+COUNTIF(E$9:E$44,$C57)</f>
        <v>1</v>
      </c>
      <c r="F57" s="21">
        <f>'07.09'!F52+COUNTIF(F$9:F$44,$C57)</f>
        <v>1</v>
      </c>
      <c r="G57" s="21">
        <f>'07.09'!G52+COUNTIF(G$9:G$44,$C57)</f>
        <v>1</v>
      </c>
      <c r="H57" s="21">
        <f>'07.09'!H52+COUNTIF(H$9:H$44,$C57)</f>
        <v>1</v>
      </c>
    </row>
    <row r="58" spans="1:8" s="19" customFormat="1" ht="15.75" hidden="1" x14ac:dyDescent="0.25">
      <c r="A58" s="18"/>
      <c r="B58" s="18"/>
      <c r="C58" s="20" t="str">
        <f>'01.09'!C52</f>
        <v>*Пр. Подвижные игры в спорте и образовании*</v>
      </c>
      <c r="D58" s="21">
        <f>'07.09'!D53+COUNTIF(D$9:D$44,$C58)</f>
        <v>1</v>
      </c>
      <c r="E58" s="21">
        <f>'07.09'!E53+COUNTIF(E$9:E$44,$C58)</f>
        <v>1</v>
      </c>
      <c r="F58" s="21">
        <f>'07.09'!F53+COUNTIF(F$9:F$44,$C58)</f>
        <v>1</v>
      </c>
      <c r="G58" s="21">
        <f>'07.09'!G53+COUNTIF(G$9:G$44,$C58)</f>
        <v>1</v>
      </c>
      <c r="H58" s="21">
        <f>'07.09'!H53+COUNTIF(H$9:H$44,$C58)</f>
        <v>1</v>
      </c>
    </row>
    <row r="59" spans="1:8" s="19" customFormat="1" ht="15.75" hidden="1" x14ac:dyDescent="0.25">
      <c r="A59" s="18"/>
      <c r="B59" s="18"/>
      <c r="C59" s="20" t="str">
        <f>'01.09'!C53</f>
        <v>*Л. Самооборона (самбо)*</v>
      </c>
      <c r="D59" s="21">
        <f>'07.09'!D54+COUNTIF(D$9:D$44,$C59)</f>
        <v>1</v>
      </c>
      <c r="E59" s="21">
        <f>'07.09'!E54+COUNTIF(E$9:E$44,$C59)</f>
        <v>1</v>
      </c>
      <c r="F59" s="21">
        <f>'07.09'!F54+COUNTIF(F$9:F$44,$C59)</f>
        <v>1</v>
      </c>
      <c r="G59" s="21">
        <f>'07.09'!G54+COUNTIF(G$9:G$44,$C59)</f>
        <v>1</v>
      </c>
      <c r="H59" s="21">
        <f>'07.09'!H54+COUNTIF(H$9:H$44,$C59)</f>
        <v>1</v>
      </c>
    </row>
    <row r="60" spans="1:8" s="19" customFormat="1" ht="15.75" hidden="1" x14ac:dyDescent="0.25">
      <c r="A60" s="18"/>
      <c r="B60" s="18"/>
      <c r="C60" s="20" t="str">
        <f>'01.09'!C54</f>
        <v>*Пр. Самооборона (самбо)*</v>
      </c>
      <c r="D60" s="21">
        <f>'07.09'!D55+COUNTIF(D$9:D$44,$C60)</f>
        <v>1</v>
      </c>
      <c r="E60" s="21">
        <f>'07.09'!E55+COUNTIF(E$9:E$44,$C60)</f>
        <v>1</v>
      </c>
      <c r="F60" s="21">
        <f>'07.09'!F55+COUNTIF(F$9:F$44,$C60)</f>
        <v>1</v>
      </c>
      <c r="G60" s="21">
        <f>'07.09'!G55+COUNTIF(G$9:G$44,$C60)</f>
        <v>1</v>
      </c>
      <c r="H60" s="21">
        <f>'07.09'!H55+COUNTIF(H$9:H$44,$C60)</f>
        <v>1</v>
      </c>
    </row>
    <row r="61" spans="1:8" s="19" customFormat="1" ht="15.75" hidden="1" x14ac:dyDescent="0.25">
      <c r="A61" s="18"/>
      <c r="B61" s="18"/>
      <c r="C61" s="20" t="str">
        <f>'01.09'!C55</f>
        <v>*Л. Методика реализации программ*</v>
      </c>
      <c r="D61" s="21">
        <f>'07.09'!D56+COUNTIF(D$9:D$44,$C61)</f>
        <v>0</v>
      </c>
      <c r="E61" s="21">
        <f>'07.09'!E56+COUNTIF(E$9:E$44,$C61)</f>
        <v>0</v>
      </c>
      <c r="F61" s="21">
        <f>'07.09'!F56+COUNTIF(F$9:F$44,$C61)</f>
        <v>0</v>
      </c>
      <c r="G61" s="21">
        <f>'07.09'!G56+COUNTIF(G$9:G$44,$C61)</f>
        <v>0</v>
      </c>
      <c r="H61" s="21">
        <f>'07.09'!H56+COUNTIF(H$9:H$44,$C61)</f>
        <v>0</v>
      </c>
    </row>
    <row r="62" spans="1:8" s="19" customFormat="1" ht="15.75" hidden="1" x14ac:dyDescent="0.25">
      <c r="A62" s="18"/>
      <c r="B62" s="18"/>
      <c r="C62" s="20" t="str">
        <f>'01.09'!C56</f>
        <v>*Пр. Методика реализации программ*</v>
      </c>
      <c r="D62" s="21">
        <f>'07.09'!D57+COUNTIF(D$9:D$44,$C62)</f>
        <v>0</v>
      </c>
      <c r="E62" s="21">
        <f>'07.09'!E57+COUNTIF(E$9:E$44,$C62)</f>
        <v>0</v>
      </c>
      <c r="F62" s="21">
        <f>'07.09'!F57+COUNTIF(F$9:F$44,$C62)</f>
        <v>0</v>
      </c>
      <c r="G62" s="21">
        <f>'07.09'!G57+COUNTIF(G$9:G$44,$C62)</f>
        <v>0</v>
      </c>
      <c r="H62" s="21">
        <f>'07.09'!H57+COUNTIF(H$9:H$44,$C62)</f>
        <v>0</v>
      </c>
    </row>
    <row r="63" spans="1:8" s="19" customFormat="1" ht="15.75" hidden="1" x14ac:dyDescent="0.25">
      <c r="A63" s="18"/>
      <c r="B63" s="18"/>
      <c r="C63" s="20" t="str">
        <f>'01.09'!C57</f>
        <v>*Л. Методика преподавания*</v>
      </c>
      <c r="D63" s="21">
        <f>'07.09'!D58+COUNTIF(D$9:D$44,$C63)</f>
        <v>1</v>
      </c>
      <c r="E63" s="21">
        <f>'07.09'!E58+COUNTIF(E$9:E$44,$C63)</f>
        <v>1</v>
      </c>
      <c r="F63" s="21">
        <f>'07.09'!F58+COUNTIF(F$9:F$44,$C63)</f>
        <v>1</v>
      </c>
      <c r="G63" s="21">
        <f>'07.09'!G58+COUNTIF(G$9:G$44,$C63)</f>
        <v>1</v>
      </c>
      <c r="H63" s="21">
        <f>'07.09'!H58+COUNTIF(H$9:H$44,$C63)</f>
        <v>1</v>
      </c>
    </row>
    <row r="64" spans="1:8" s="19" customFormat="1" ht="15.75" hidden="1" x14ac:dyDescent="0.25">
      <c r="A64" s="18"/>
      <c r="B64" s="18"/>
      <c r="C64" s="20" t="str">
        <f>'01.09'!C58</f>
        <v>*Пр. Методика преподавания*</v>
      </c>
      <c r="D64" s="21">
        <f>'07.09'!D59+COUNTIF(D$9:D$44,$C64)</f>
        <v>0</v>
      </c>
      <c r="E64" s="21">
        <f>'07.09'!E59+COUNTIF(E$9:E$44,$C64)</f>
        <v>0</v>
      </c>
      <c r="F64" s="21">
        <f>'07.09'!F59+COUNTIF(F$9:F$44,$C64)</f>
        <v>0</v>
      </c>
      <c r="G64" s="21">
        <f>'07.09'!G59+COUNTIF(G$9:G$44,$C64)</f>
        <v>0</v>
      </c>
      <c r="H64" s="21">
        <f>'07.09'!H59+COUNTIF(H$9:H$44,$C64)</f>
        <v>0</v>
      </c>
    </row>
    <row r="65" spans="1:8" s="19" customFormat="1" ht="15.75" hidden="1" x14ac:dyDescent="0.25">
      <c r="A65" s="18"/>
      <c r="B65" s="18"/>
      <c r="C65" s="20">
        <f>'01.09'!C59</f>
        <v>0</v>
      </c>
      <c r="D65" s="21">
        <f>'07.09'!D60+COUNTIF(D$9:D$44,$C65)</f>
        <v>0</v>
      </c>
      <c r="E65" s="21">
        <f>'07.09'!E60+COUNTIF(E$9:E$44,$C65)</f>
        <v>0</v>
      </c>
      <c r="F65" s="21">
        <f>'07.09'!F60+COUNTIF(F$9:F$44,$C65)</f>
        <v>0</v>
      </c>
      <c r="G65" s="21">
        <f>'07.09'!G60+COUNTIF(G$9:G$44,$C65)</f>
        <v>0</v>
      </c>
      <c r="H65" s="21">
        <f>'07.09'!H60+COUNTIF(H$9:H$44,$C65)</f>
        <v>0</v>
      </c>
    </row>
    <row r="66" spans="1:8" s="19" customFormat="1" ht="15.75" hidden="1" x14ac:dyDescent="0.25">
      <c r="A66" s="18"/>
      <c r="B66" s="18"/>
      <c r="C66" s="20">
        <f>'01.09'!C60</f>
        <v>0</v>
      </c>
      <c r="D66" s="21">
        <f>'07.09'!D61+COUNTIF(D$9:D$44,$C66)</f>
        <v>0</v>
      </c>
      <c r="E66" s="21">
        <f>'07.09'!E61+COUNTIF(E$9:E$44,$C66)</f>
        <v>0</v>
      </c>
      <c r="F66" s="21">
        <f>'07.09'!F61+COUNTIF(F$9:F$44,$C66)</f>
        <v>0</v>
      </c>
      <c r="G66" s="21">
        <f>'07.09'!G61+COUNTIF(G$9:G$44,$C66)</f>
        <v>0</v>
      </c>
      <c r="H66" s="21">
        <f>'07.09'!H61+COUNTIF(H$9:H$44,$C66)</f>
        <v>0</v>
      </c>
    </row>
    <row r="67" spans="1:8" ht="23.25" x14ac:dyDescent="0.35">
      <c r="A67" s="2"/>
      <c r="B67" s="2"/>
      <c r="C67" s="2"/>
      <c r="D67" s="73" t="s">
        <v>80</v>
      </c>
      <c r="E67" s="2"/>
      <c r="F67" s="2"/>
      <c r="G67" s="2"/>
      <c r="H67" s="2"/>
    </row>
    <row r="68" spans="1:8" ht="23.25" x14ac:dyDescent="0.35">
      <c r="A68" s="2"/>
      <c r="B68" s="2"/>
      <c r="C68" s="2"/>
      <c r="D68" s="73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  <row r="73" spans="1:8" x14ac:dyDescent="0.25">
      <c r="A73" s="2"/>
      <c r="B73" s="2"/>
      <c r="C73" s="2"/>
      <c r="D73" s="2"/>
      <c r="E73" s="2"/>
      <c r="F73" s="2"/>
      <c r="G73" s="2"/>
      <c r="H73" s="2"/>
    </row>
    <row r="74" spans="1:8" x14ac:dyDescent="0.25">
      <c r="A74" s="2"/>
      <c r="B74" s="2"/>
      <c r="C74" s="2"/>
      <c r="D74" s="2"/>
      <c r="E74" s="2"/>
      <c r="F74" s="2"/>
      <c r="G74" s="2"/>
      <c r="H74" s="2"/>
    </row>
    <row r="75" spans="1:8" x14ac:dyDescent="0.25">
      <c r="A75" s="2"/>
      <c r="B75" s="2"/>
      <c r="C75" s="2"/>
      <c r="D75" s="2"/>
      <c r="E75" s="2"/>
      <c r="F75" s="2"/>
      <c r="G75" s="2"/>
      <c r="H75" s="2"/>
    </row>
    <row r="76" spans="1:8" x14ac:dyDescent="0.25">
      <c r="A76" s="2"/>
      <c r="B76" s="2"/>
      <c r="C76" s="2"/>
      <c r="D76" s="2"/>
      <c r="E76" s="2"/>
      <c r="F76" s="2"/>
      <c r="G76" s="2"/>
      <c r="H76" s="2"/>
    </row>
    <row r="77" spans="1:8" x14ac:dyDescent="0.25">
      <c r="A77" s="2"/>
      <c r="B77" s="2"/>
      <c r="C77" s="2"/>
      <c r="D77" s="2"/>
      <c r="E77" s="2"/>
      <c r="F77" s="2"/>
      <c r="G77" s="2"/>
      <c r="H77" s="2"/>
    </row>
  </sheetData>
  <mergeCells count="19">
    <mergeCell ref="A4:H4"/>
    <mergeCell ref="A6:H6"/>
    <mergeCell ref="A22:A27"/>
    <mergeCell ref="A28:A34"/>
    <mergeCell ref="A3:H3"/>
    <mergeCell ref="A15:A21"/>
    <mergeCell ref="B15:B21"/>
    <mergeCell ref="A7:A8"/>
    <mergeCell ref="B7:B8"/>
    <mergeCell ref="C7:C8"/>
    <mergeCell ref="A9:A14"/>
    <mergeCell ref="B9:B14"/>
    <mergeCell ref="A5:H5"/>
    <mergeCell ref="A40:A44"/>
    <mergeCell ref="B40:B44"/>
    <mergeCell ref="B22:B26"/>
    <mergeCell ref="B28:B32"/>
    <mergeCell ref="A35:A39"/>
    <mergeCell ref="B35:B39"/>
  </mergeCells>
  <pageMargins left="0.19685039370078741" right="0.19685039370078741" top="0.23622047244094491" bottom="0.23622047244094491" header="0.23622047244094491" footer="0.23622047244094491"/>
  <pageSetup paperSize="9" scale="39" fitToWidth="0" fitToHeight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K38"/>
  <sheetViews>
    <sheetView view="pageBreakPreview" topLeftCell="A7" zoomScale="40" zoomScaleNormal="40" zoomScaleSheetLayoutView="40" workbookViewId="0">
      <selection activeCell="D29" sqref="D29"/>
    </sheetView>
  </sheetViews>
  <sheetFormatPr defaultRowHeight="15" x14ac:dyDescent="0.25"/>
  <cols>
    <col min="1" max="2" width="4.42578125" customWidth="1"/>
    <col min="3" max="3" width="24.85546875" customWidth="1"/>
    <col min="4" max="8" width="53.5703125" customWidth="1"/>
  </cols>
  <sheetData>
    <row r="1" spans="1:9" ht="30" x14ac:dyDescent="0.3">
      <c r="A1" s="33"/>
      <c r="B1" s="33"/>
      <c r="C1" s="33"/>
      <c r="D1" s="33"/>
      <c r="E1" s="33"/>
      <c r="F1" s="305" t="s">
        <v>140</v>
      </c>
      <c r="G1" s="33"/>
      <c r="H1" s="33"/>
    </row>
    <row r="2" spans="1:9" ht="30" x14ac:dyDescent="0.25">
      <c r="A2" s="35"/>
      <c r="B2" s="35"/>
      <c r="C2" s="35"/>
      <c r="D2" s="35"/>
      <c r="E2" s="35"/>
      <c r="F2" s="104" t="s">
        <v>87</v>
      </c>
      <c r="G2" s="35"/>
      <c r="H2" s="35"/>
    </row>
    <row r="3" spans="1:9" ht="318" customHeight="1" x14ac:dyDescent="0.25">
      <c r="A3" s="35"/>
      <c r="B3" s="675" t="s">
        <v>144</v>
      </c>
      <c r="C3" s="675"/>
      <c r="D3" s="675"/>
      <c r="E3" s="675"/>
      <c r="F3" s="675"/>
      <c r="G3" s="675"/>
      <c r="H3" s="675"/>
    </row>
    <row r="4" spans="1:9" ht="28.5" customHeight="1" x14ac:dyDescent="0.25">
      <c r="A4" s="39"/>
      <c r="B4" s="760" t="s">
        <v>142</v>
      </c>
      <c r="C4" s="760"/>
      <c r="D4" s="760"/>
      <c r="E4" s="760"/>
      <c r="F4" s="760"/>
      <c r="G4" s="760"/>
      <c r="H4" s="760"/>
    </row>
    <row r="5" spans="1:9" ht="37.5" customHeight="1" thickBot="1" x14ac:dyDescent="0.3">
      <c r="A5" s="36"/>
      <c r="B5" s="761" t="s">
        <v>112</v>
      </c>
      <c r="C5" s="761"/>
      <c r="D5" s="761"/>
      <c r="E5" s="761"/>
      <c r="F5" s="761"/>
      <c r="G5" s="761"/>
      <c r="H5" s="761"/>
    </row>
    <row r="6" spans="1:9" ht="34.5" customHeight="1" thickBot="1" x14ac:dyDescent="0.3">
      <c r="A6" s="762" t="s">
        <v>54</v>
      </c>
      <c r="B6" s="762" t="s">
        <v>14</v>
      </c>
      <c r="C6" s="764" t="s">
        <v>55</v>
      </c>
      <c r="D6" s="241" t="s">
        <v>5</v>
      </c>
      <c r="E6" s="242" t="s">
        <v>6</v>
      </c>
      <c r="F6" s="242" t="s">
        <v>7</v>
      </c>
      <c r="G6" s="242" t="s">
        <v>8</v>
      </c>
      <c r="H6" s="243" t="s">
        <v>9</v>
      </c>
    </row>
    <row r="7" spans="1:9" ht="104.25" customHeight="1" thickBot="1" x14ac:dyDescent="0.3">
      <c r="A7" s="763"/>
      <c r="B7" s="763"/>
      <c r="C7" s="765"/>
      <c r="D7" s="300" t="s">
        <v>106</v>
      </c>
      <c r="E7" s="370" t="s">
        <v>134</v>
      </c>
      <c r="F7" s="370" t="s">
        <v>107</v>
      </c>
      <c r="G7" s="370" t="s">
        <v>90</v>
      </c>
      <c r="H7" s="449" t="s">
        <v>78</v>
      </c>
    </row>
    <row r="8" spans="1:9" ht="33" customHeight="1" x14ac:dyDescent="0.25">
      <c r="A8" s="745" t="s">
        <v>0</v>
      </c>
      <c r="B8" s="747"/>
      <c r="C8" s="79" t="s">
        <v>10</v>
      </c>
      <c r="D8" s="173"/>
      <c r="E8" s="174"/>
      <c r="F8" s="174"/>
      <c r="G8" s="174"/>
      <c r="H8" s="175"/>
    </row>
    <row r="9" spans="1:9" ht="30" customHeight="1" x14ac:dyDescent="0.25">
      <c r="A9" s="746"/>
      <c r="B9" s="746"/>
      <c r="C9" s="80" t="s">
        <v>11</v>
      </c>
      <c r="D9" s="55"/>
      <c r="E9" s="58"/>
      <c r="F9" s="58"/>
      <c r="G9" s="58"/>
      <c r="H9" s="57"/>
    </row>
    <row r="10" spans="1:9" ht="30" customHeight="1" x14ac:dyDescent="0.25">
      <c r="A10" s="746"/>
      <c r="B10" s="746"/>
      <c r="C10" s="80" t="s">
        <v>12</v>
      </c>
      <c r="D10" s="55"/>
      <c r="E10" s="58"/>
      <c r="F10" s="58"/>
      <c r="G10" s="58"/>
      <c r="H10" s="57"/>
      <c r="I10" s="3"/>
    </row>
    <row r="11" spans="1:9" ht="30" customHeight="1" x14ac:dyDescent="0.25">
      <c r="A11" s="746"/>
      <c r="B11" s="746"/>
      <c r="C11" s="80" t="s">
        <v>13</v>
      </c>
      <c r="D11" s="55"/>
      <c r="E11" s="58"/>
      <c r="F11" s="58"/>
      <c r="G11" s="58"/>
      <c r="H11" s="57"/>
    </row>
    <row r="12" spans="1:9" ht="30" customHeight="1" thickBot="1" x14ac:dyDescent="0.3">
      <c r="A12" s="746"/>
      <c r="B12" s="746"/>
      <c r="C12" s="81" t="s">
        <v>15</v>
      </c>
      <c r="D12" s="232"/>
      <c r="E12" s="233"/>
      <c r="F12" s="105"/>
      <c r="G12" s="105"/>
      <c r="H12" s="234"/>
    </row>
    <row r="13" spans="1:9" ht="30" customHeight="1" x14ac:dyDescent="0.25">
      <c r="A13" s="746" t="s">
        <v>1</v>
      </c>
      <c r="B13" s="748"/>
      <c r="C13" s="79" t="s">
        <v>10</v>
      </c>
      <c r="D13" s="52"/>
      <c r="E13" s="53"/>
      <c r="F13" s="53"/>
      <c r="G13" s="53"/>
      <c r="H13" s="54"/>
    </row>
    <row r="14" spans="1:9" ht="30" customHeight="1" x14ac:dyDescent="0.25">
      <c r="A14" s="746"/>
      <c r="B14" s="746"/>
      <c r="C14" s="80" t="s">
        <v>11</v>
      </c>
      <c r="D14" s="55"/>
      <c r="E14" s="58"/>
      <c r="F14" s="58"/>
      <c r="G14" s="58"/>
      <c r="H14" s="57"/>
    </row>
    <row r="15" spans="1:9" ht="27.75" customHeight="1" x14ac:dyDescent="0.25">
      <c r="A15" s="746"/>
      <c r="B15" s="746"/>
      <c r="C15" s="80" t="s">
        <v>12</v>
      </c>
      <c r="D15" s="296"/>
      <c r="E15" s="297"/>
      <c r="F15" s="297"/>
      <c r="G15" s="297"/>
      <c r="H15" s="298"/>
    </row>
    <row r="16" spans="1:9" ht="27.75" x14ac:dyDescent="0.25">
      <c r="A16" s="746"/>
      <c r="B16" s="746"/>
      <c r="C16" s="80" t="s">
        <v>13</v>
      </c>
      <c r="D16" s="236"/>
      <c r="E16" s="235"/>
      <c r="F16" s="235"/>
      <c r="G16" s="235"/>
      <c r="H16" s="237"/>
    </row>
    <row r="17" spans="1:11" ht="28.5" thickBot="1" x14ac:dyDescent="0.3">
      <c r="A17" s="746"/>
      <c r="B17" s="746"/>
      <c r="C17" s="81" t="s">
        <v>15</v>
      </c>
      <c r="D17" s="238"/>
      <c r="E17" s="239"/>
      <c r="F17" s="239"/>
      <c r="G17" s="239"/>
      <c r="H17" s="240"/>
      <c r="K17" s="3"/>
    </row>
    <row r="18" spans="1:11" ht="30" customHeight="1" x14ac:dyDescent="0.25">
      <c r="A18" s="746" t="s">
        <v>2</v>
      </c>
      <c r="B18" s="748"/>
      <c r="C18" s="79" t="s">
        <v>10</v>
      </c>
      <c r="D18" s="98"/>
      <c r="E18" s="77"/>
      <c r="F18" s="77"/>
      <c r="G18" s="77"/>
      <c r="H18" s="78"/>
    </row>
    <row r="19" spans="1:11" ht="30" customHeight="1" x14ac:dyDescent="0.25">
      <c r="A19" s="746"/>
      <c r="B19" s="746"/>
      <c r="C19" s="80" t="s">
        <v>11</v>
      </c>
      <c r="D19" s="55"/>
      <c r="E19" s="58"/>
      <c r="F19" s="58"/>
      <c r="G19" s="58"/>
      <c r="H19" s="57"/>
    </row>
    <row r="20" spans="1:11" ht="30" customHeight="1" x14ac:dyDescent="0.25">
      <c r="A20" s="746"/>
      <c r="B20" s="746"/>
      <c r="C20" s="80" t="s">
        <v>12</v>
      </c>
      <c r="D20" s="55"/>
      <c r="E20" s="58"/>
      <c r="F20" s="58"/>
      <c r="G20" s="58"/>
      <c r="H20" s="57"/>
      <c r="I20" s="3"/>
      <c r="K20" s="3"/>
    </row>
    <row r="21" spans="1:11" ht="30" customHeight="1" x14ac:dyDescent="0.25">
      <c r="A21" s="746"/>
      <c r="B21" s="746"/>
      <c r="C21" s="80" t="s">
        <v>13</v>
      </c>
      <c r="D21" s="55"/>
      <c r="E21" s="58"/>
      <c r="F21" s="58"/>
      <c r="G21" s="58"/>
      <c r="H21" s="57"/>
    </row>
    <row r="22" spans="1:11" ht="30" customHeight="1" thickBot="1" x14ac:dyDescent="0.3">
      <c r="A22" s="746"/>
      <c r="B22" s="746"/>
      <c r="C22" s="81" t="s">
        <v>15</v>
      </c>
      <c r="D22" s="395"/>
      <c r="E22" s="105"/>
      <c r="F22" s="396"/>
      <c r="G22" s="397"/>
      <c r="H22" s="398"/>
    </row>
    <row r="23" spans="1:11" ht="30.75" x14ac:dyDescent="0.25">
      <c r="A23" s="746" t="s">
        <v>3</v>
      </c>
      <c r="B23" s="748"/>
      <c r="C23" s="79" t="s">
        <v>10</v>
      </c>
      <c r="D23" s="752"/>
      <c r="E23" s="753"/>
      <c r="F23" s="753"/>
      <c r="G23" s="753"/>
      <c r="H23" s="754"/>
    </row>
    <row r="24" spans="1:11" ht="30.75" x14ac:dyDescent="0.25">
      <c r="A24" s="759"/>
      <c r="B24" s="746"/>
      <c r="C24" s="80" t="s">
        <v>11</v>
      </c>
      <c r="D24" s="742"/>
      <c r="E24" s="743"/>
      <c r="F24" s="743"/>
      <c r="G24" s="743"/>
      <c r="H24" s="744"/>
    </row>
    <row r="25" spans="1:11" ht="26.25" x14ac:dyDescent="0.25">
      <c r="A25" s="759"/>
      <c r="B25" s="746"/>
      <c r="C25" s="80" t="s">
        <v>12</v>
      </c>
      <c r="D25" s="55"/>
      <c r="E25" s="58"/>
      <c r="F25" s="58"/>
      <c r="G25" s="58"/>
      <c r="H25" s="57"/>
    </row>
    <row r="26" spans="1:11" ht="26.25" x14ac:dyDescent="0.25">
      <c r="A26" s="759"/>
      <c r="B26" s="746"/>
      <c r="C26" s="80" t="s">
        <v>13</v>
      </c>
      <c r="D26" s="55"/>
      <c r="E26" s="58"/>
      <c r="F26" s="58"/>
      <c r="G26" s="58"/>
      <c r="H26" s="57"/>
    </row>
    <row r="27" spans="1:11" ht="31.5" thickBot="1" x14ac:dyDescent="0.3">
      <c r="A27" s="759"/>
      <c r="B27" s="746"/>
      <c r="C27" s="81" t="s">
        <v>15</v>
      </c>
      <c r="D27" s="749"/>
      <c r="E27" s="750"/>
      <c r="F27" s="750"/>
      <c r="G27" s="750"/>
      <c r="H27" s="751"/>
    </row>
    <row r="28" spans="1:11" ht="30" customHeight="1" x14ac:dyDescent="0.25">
      <c r="A28" s="746" t="s">
        <v>4</v>
      </c>
      <c r="B28" s="748"/>
      <c r="C28" s="79" t="s">
        <v>10</v>
      </c>
      <c r="D28" s="399"/>
      <c r="E28" s="400"/>
      <c r="F28" s="400"/>
      <c r="G28" s="400"/>
      <c r="H28" s="401"/>
    </row>
    <row r="29" spans="1:11" ht="30" customHeight="1" x14ac:dyDescent="0.25">
      <c r="A29" s="746"/>
      <c r="B29" s="746"/>
      <c r="C29" s="80" t="s">
        <v>11</v>
      </c>
      <c r="D29" s="55"/>
      <c r="E29" s="58"/>
      <c r="F29" s="58"/>
      <c r="G29" s="58"/>
      <c r="H29" s="57"/>
    </row>
    <row r="30" spans="1:11" ht="30" customHeight="1" x14ac:dyDescent="0.25">
      <c r="A30" s="746"/>
      <c r="B30" s="746"/>
      <c r="C30" s="80" t="s">
        <v>12</v>
      </c>
      <c r="D30" s="55"/>
      <c r="E30" s="58"/>
      <c r="F30" s="58"/>
      <c r="G30" s="58"/>
      <c r="H30" s="57"/>
    </row>
    <row r="31" spans="1:11" ht="30" customHeight="1" x14ac:dyDescent="0.25">
      <c r="A31" s="746"/>
      <c r="B31" s="746"/>
      <c r="C31" s="80" t="s">
        <v>13</v>
      </c>
      <c r="D31" s="55"/>
      <c r="E31" s="58"/>
      <c r="F31" s="58"/>
      <c r="G31" s="58"/>
      <c r="H31" s="57"/>
    </row>
    <row r="32" spans="1:11" ht="24" thickBot="1" x14ac:dyDescent="0.3">
      <c r="A32" s="746"/>
      <c r="B32" s="746"/>
      <c r="C32" s="76" t="s">
        <v>15</v>
      </c>
      <c r="D32" s="225"/>
      <c r="E32" s="226"/>
      <c r="F32" s="226"/>
      <c r="G32" s="226"/>
      <c r="H32" s="227"/>
    </row>
    <row r="33" spans="1:8" ht="27.75" x14ac:dyDescent="0.25">
      <c r="A33" s="746" t="s">
        <v>47</v>
      </c>
      <c r="B33" s="756"/>
      <c r="C33" s="74" t="s">
        <v>10</v>
      </c>
      <c r="D33" s="451"/>
      <c r="E33" s="452"/>
      <c r="F33" s="452"/>
      <c r="G33" s="452"/>
      <c r="H33" s="453"/>
    </row>
    <row r="34" spans="1:8" ht="27.75" x14ac:dyDescent="0.25">
      <c r="A34" s="746"/>
      <c r="B34" s="757"/>
      <c r="C34" s="75" t="s">
        <v>11</v>
      </c>
      <c r="D34" s="454"/>
      <c r="E34" s="450"/>
      <c r="F34" s="450"/>
      <c r="G34" s="450"/>
      <c r="H34" s="455"/>
    </row>
    <row r="35" spans="1:8" ht="33" x14ac:dyDescent="0.25">
      <c r="A35" s="746"/>
      <c r="B35" s="757"/>
      <c r="C35" s="75" t="s">
        <v>12</v>
      </c>
      <c r="D35" s="185"/>
      <c r="E35" s="186"/>
      <c r="F35" s="186"/>
      <c r="G35" s="186"/>
      <c r="H35" s="187"/>
    </row>
    <row r="36" spans="1:8" ht="23.25" x14ac:dyDescent="0.25">
      <c r="A36" s="746"/>
      <c r="B36" s="757"/>
      <c r="C36" s="75" t="s">
        <v>13</v>
      </c>
      <c r="D36" s="168"/>
      <c r="E36" s="167"/>
      <c r="F36" s="167"/>
      <c r="G36" s="167"/>
      <c r="H36" s="169"/>
    </row>
    <row r="37" spans="1:8" ht="24" thickBot="1" x14ac:dyDescent="0.3">
      <c r="A37" s="755"/>
      <c r="B37" s="758"/>
      <c r="C37" s="76" t="s">
        <v>15</v>
      </c>
      <c r="D37" s="106"/>
      <c r="E37" s="107"/>
      <c r="F37" s="107"/>
      <c r="G37" s="107"/>
      <c r="H37" s="108"/>
    </row>
    <row r="38" spans="1:8" ht="27.75" customHeight="1" x14ac:dyDescent="0.3">
      <c r="A38" s="2"/>
      <c r="B38" s="2"/>
      <c r="C38" s="37"/>
    </row>
  </sheetData>
  <mergeCells count="21">
    <mergeCell ref="B3:H3"/>
    <mergeCell ref="B4:H4"/>
    <mergeCell ref="B5:H5"/>
    <mergeCell ref="A6:A7"/>
    <mergeCell ref="B6:B7"/>
    <mergeCell ref="C6:C7"/>
    <mergeCell ref="A33:A37"/>
    <mergeCell ref="B33:B37"/>
    <mergeCell ref="A13:A17"/>
    <mergeCell ref="B13:B17"/>
    <mergeCell ref="A18:A22"/>
    <mergeCell ref="B18:B22"/>
    <mergeCell ref="A23:A27"/>
    <mergeCell ref="B23:B27"/>
    <mergeCell ref="D24:H24"/>
    <mergeCell ref="A8:A12"/>
    <mergeCell ref="B8:B12"/>
    <mergeCell ref="A28:A32"/>
    <mergeCell ref="B28:B32"/>
    <mergeCell ref="D27:H27"/>
    <mergeCell ref="D23:H23"/>
  </mergeCells>
  <pageMargins left="0" right="0" top="0" bottom="0" header="0" footer="0"/>
  <pageSetup paperSize="9" scale="3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theme="0"/>
    <pageSetUpPr fitToPage="1"/>
  </sheetPr>
  <dimension ref="A1:M65"/>
  <sheetViews>
    <sheetView view="pageBreakPreview" topLeftCell="A10" zoomScale="40" zoomScaleNormal="40" zoomScaleSheetLayoutView="40" zoomScalePageLayoutView="40" workbookViewId="0">
      <selection activeCell="E20" sqref="E20:E21"/>
    </sheetView>
  </sheetViews>
  <sheetFormatPr defaultRowHeight="15" x14ac:dyDescent="0.25"/>
  <cols>
    <col min="1" max="1" width="5.85546875" customWidth="1"/>
    <col min="2" max="2" width="7.42578125" customWidth="1"/>
    <col min="3" max="3" width="31.5703125" customWidth="1"/>
    <col min="4" max="8" width="67" customWidth="1"/>
    <col min="10" max="10" width="49.85546875" hidden="1" customWidth="1"/>
    <col min="11" max="12" width="0" hidden="1" customWidth="1"/>
  </cols>
  <sheetData>
    <row r="1" spans="1:12" ht="36" customHeight="1" x14ac:dyDescent="0.3">
      <c r="A1" s="33"/>
      <c r="B1" s="760" t="s">
        <v>140</v>
      </c>
      <c r="C1" s="760"/>
      <c r="D1" s="760"/>
      <c r="E1" s="760"/>
      <c r="F1" s="760"/>
      <c r="G1" s="760"/>
      <c r="H1" s="760"/>
    </row>
    <row r="2" spans="1:12" ht="33.75" customHeight="1" x14ac:dyDescent="0.3">
      <c r="A2" s="34"/>
      <c r="B2" s="760" t="s">
        <v>87</v>
      </c>
      <c r="C2" s="760"/>
      <c r="D2" s="760"/>
      <c r="E2" s="760"/>
      <c r="F2" s="760"/>
      <c r="G2" s="760"/>
      <c r="H2" s="760"/>
    </row>
    <row r="3" spans="1:12" ht="252.75" customHeight="1" x14ac:dyDescent="0.25">
      <c r="A3" s="675" t="s">
        <v>156</v>
      </c>
      <c r="B3" s="675"/>
      <c r="C3" s="675"/>
      <c r="D3" s="675"/>
      <c r="E3" s="675"/>
      <c r="F3" s="675"/>
      <c r="G3" s="675"/>
      <c r="H3" s="675"/>
    </row>
    <row r="4" spans="1:12" ht="32.25" customHeight="1" x14ac:dyDescent="0.25">
      <c r="A4" s="760" t="s">
        <v>142</v>
      </c>
      <c r="B4" s="760"/>
      <c r="C4" s="760"/>
      <c r="D4" s="760"/>
      <c r="E4" s="760"/>
      <c r="F4" s="760"/>
      <c r="G4" s="760"/>
      <c r="H4" s="760"/>
    </row>
    <row r="5" spans="1:12" ht="30.75" thickBot="1" x14ac:dyDescent="0.3">
      <c r="A5" s="682" t="s">
        <v>112</v>
      </c>
      <c r="B5" s="682"/>
      <c r="C5" s="682"/>
      <c r="D5" s="682"/>
      <c r="E5" s="682"/>
      <c r="F5" s="682"/>
      <c r="G5" s="682"/>
      <c r="H5" s="682"/>
    </row>
    <row r="6" spans="1:12" ht="26.25" thickBot="1" x14ac:dyDescent="0.3">
      <c r="A6" s="766" t="s">
        <v>54</v>
      </c>
      <c r="B6" s="770" t="s">
        <v>14</v>
      </c>
      <c r="C6" s="768" t="s">
        <v>55</v>
      </c>
      <c r="D6" s="289" t="s">
        <v>5</v>
      </c>
      <c r="E6" s="290" t="s">
        <v>6</v>
      </c>
      <c r="F6" s="290" t="s">
        <v>7</v>
      </c>
      <c r="G6" s="290" t="s">
        <v>8</v>
      </c>
      <c r="H6" s="291" t="s">
        <v>9</v>
      </c>
    </row>
    <row r="7" spans="1:12" ht="87" customHeight="1" thickBot="1" x14ac:dyDescent="0.3">
      <c r="A7" s="767"/>
      <c r="B7" s="771"/>
      <c r="C7" s="769"/>
      <c r="D7" s="300" t="s">
        <v>106</v>
      </c>
      <c r="E7" s="370" t="s">
        <v>136</v>
      </c>
      <c r="F7" s="370" t="s">
        <v>107</v>
      </c>
      <c r="G7" s="370" t="s">
        <v>90</v>
      </c>
      <c r="H7" s="449" t="s">
        <v>78</v>
      </c>
    </row>
    <row r="8" spans="1:12" ht="61.5" customHeight="1" x14ac:dyDescent="0.25">
      <c r="A8" s="782" t="s">
        <v>0</v>
      </c>
      <c r="B8" s="783">
        <v>46265</v>
      </c>
      <c r="C8" s="266" t="s">
        <v>10</v>
      </c>
      <c r="D8" s="528"/>
      <c r="E8" s="525"/>
      <c r="F8" s="525"/>
      <c r="G8" s="534"/>
      <c r="H8" s="535"/>
      <c r="J8" s="1" t="s">
        <v>16</v>
      </c>
    </row>
    <row r="9" spans="1:12" ht="74.25" customHeight="1" x14ac:dyDescent="0.25">
      <c r="A9" s="775"/>
      <c r="B9" s="784"/>
      <c r="C9" s="267" t="s">
        <v>11</v>
      </c>
      <c r="D9" s="536"/>
      <c r="E9" s="537"/>
      <c r="F9" s="537"/>
      <c r="G9" s="529"/>
      <c r="H9" s="538"/>
      <c r="J9" s="1" t="s">
        <v>17</v>
      </c>
    </row>
    <row r="10" spans="1:12" ht="75" customHeight="1" x14ac:dyDescent="0.25">
      <c r="A10" s="775"/>
      <c r="B10" s="784"/>
      <c r="C10" s="267" t="s">
        <v>12</v>
      </c>
      <c r="D10" s="536"/>
      <c r="E10" s="537"/>
      <c r="F10" s="537"/>
      <c r="G10" s="529"/>
      <c r="H10" s="538"/>
      <c r="J10" s="1" t="s">
        <v>18</v>
      </c>
      <c r="K10" t="s">
        <v>20</v>
      </c>
    </row>
    <row r="11" spans="1:12" ht="75" customHeight="1" x14ac:dyDescent="0.25">
      <c r="A11" s="775"/>
      <c r="B11" s="784"/>
      <c r="C11" s="267" t="s">
        <v>13</v>
      </c>
      <c r="D11" s="536"/>
      <c r="E11" s="537"/>
      <c r="F11" s="537"/>
      <c r="G11" s="529"/>
      <c r="H11" s="538"/>
      <c r="J11" s="1" t="s">
        <v>19</v>
      </c>
      <c r="K11" t="s">
        <v>21</v>
      </c>
    </row>
    <row r="12" spans="1:12" ht="75" customHeight="1" thickBot="1" x14ac:dyDescent="0.3">
      <c r="A12" s="775"/>
      <c r="B12" s="785"/>
      <c r="C12" s="349" t="s">
        <v>15</v>
      </c>
      <c r="D12" s="578"/>
      <c r="E12" s="579"/>
      <c r="F12" s="579"/>
      <c r="G12" s="579"/>
      <c r="H12" s="580"/>
      <c r="J12" s="1" t="s">
        <v>43</v>
      </c>
      <c r="L12" t="s">
        <v>22</v>
      </c>
    </row>
    <row r="13" spans="1:12" ht="80.25" customHeight="1" x14ac:dyDescent="0.25">
      <c r="A13" s="775" t="s">
        <v>1</v>
      </c>
      <c r="B13" s="778">
        <f>B8+1</f>
        <v>46266</v>
      </c>
      <c r="C13" s="266" t="s">
        <v>10</v>
      </c>
      <c r="D13" s="469"/>
      <c r="E13" s="367"/>
      <c r="F13" s="367"/>
      <c r="G13" s="303"/>
      <c r="H13" s="321"/>
      <c r="J13" s="1" t="s">
        <v>42</v>
      </c>
      <c r="L13" t="s">
        <v>23</v>
      </c>
    </row>
    <row r="14" spans="1:12" ht="80.25" customHeight="1" x14ac:dyDescent="0.25">
      <c r="A14" s="775"/>
      <c r="B14" s="779"/>
      <c r="C14" s="267" t="s">
        <v>11</v>
      </c>
      <c r="D14" s="374" t="s">
        <v>243</v>
      </c>
      <c r="E14" s="369" t="s">
        <v>243</v>
      </c>
      <c r="F14" s="369" t="s">
        <v>243</v>
      </c>
      <c r="G14" s="279" t="s">
        <v>243</v>
      </c>
      <c r="H14" s="280" t="s">
        <v>243</v>
      </c>
      <c r="J14" s="1" t="s">
        <v>40</v>
      </c>
      <c r="L14" t="s">
        <v>24</v>
      </c>
    </row>
    <row r="15" spans="1:12" ht="80.25" customHeight="1" x14ac:dyDescent="0.25">
      <c r="A15" s="775"/>
      <c r="B15" s="779"/>
      <c r="C15" s="267" t="s">
        <v>12</v>
      </c>
      <c r="D15" s="375" t="s">
        <v>244</v>
      </c>
      <c r="E15" s="279" t="s">
        <v>244</v>
      </c>
      <c r="F15" s="279" t="s">
        <v>244</v>
      </c>
      <c r="G15" s="279" t="s">
        <v>244</v>
      </c>
      <c r="H15" s="492" t="s">
        <v>244</v>
      </c>
      <c r="I15" s="3"/>
      <c r="J15" s="1" t="s">
        <v>41</v>
      </c>
      <c r="L15" t="s">
        <v>25</v>
      </c>
    </row>
    <row r="16" spans="1:12" ht="80.25" customHeight="1" x14ac:dyDescent="0.25">
      <c r="A16" s="775"/>
      <c r="B16" s="779"/>
      <c r="C16" s="267" t="s">
        <v>13</v>
      </c>
      <c r="D16" s="375" t="s">
        <v>245</v>
      </c>
      <c r="E16" s="279" t="s">
        <v>245</v>
      </c>
      <c r="F16" s="279" t="s">
        <v>245</v>
      </c>
      <c r="G16" s="279" t="s">
        <v>245</v>
      </c>
      <c r="H16" s="492" t="s">
        <v>245</v>
      </c>
      <c r="J16" s="1" t="s">
        <v>26</v>
      </c>
      <c r="L16" t="s">
        <v>27</v>
      </c>
    </row>
    <row r="17" spans="1:13" ht="80.25" customHeight="1" thickBot="1" x14ac:dyDescent="0.3">
      <c r="A17" s="775"/>
      <c r="B17" s="780"/>
      <c r="C17" s="349" t="s">
        <v>15</v>
      </c>
      <c r="D17" s="363"/>
      <c r="E17" s="646"/>
      <c r="F17" s="330"/>
      <c r="G17" s="330"/>
      <c r="H17" s="549"/>
      <c r="J17" s="1" t="s">
        <v>28</v>
      </c>
      <c r="K17" s="3"/>
      <c r="L17" t="s">
        <v>29</v>
      </c>
    </row>
    <row r="18" spans="1:13" ht="86.25" customHeight="1" x14ac:dyDescent="0.25">
      <c r="A18" s="775" t="s">
        <v>2</v>
      </c>
      <c r="B18" s="772">
        <f>B13+1</f>
        <v>46267</v>
      </c>
      <c r="C18" s="266" t="s">
        <v>10</v>
      </c>
      <c r="D18" s="302" t="s">
        <v>242</v>
      </c>
      <c r="E18" s="303" t="s">
        <v>242</v>
      </c>
      <c r="F18" s="303" t="s">
        <v>242</v>
      </c>
      <c r="G18" s="303" t="s">
        <v>242</v>
      </c>
      <c r="H18" s="321" t="s">
        <v>242</v>
      </c>
      <c r="J18" s="1" t="s">
        <v>44</v>
      </c>
      <c r="L18" t="s">
        <v>29</v>
      </c>
    </row>
    <row r="19" spans="1:13" ht="86.25" customHeight="1" x14ac:dyDescent="0.25">
      <c r="A19" s="775"/>
      <c r="B19" s="773"/>
      <c r="C19" s="267" t="s">
        <v>11</v>
      </c>
      <c r="D19" s="278" t="s">
        <v>242</v>
      </c>
      <c r="E19" s="279" t="s">
        <v>242</v>
      </c>
      <c r="F19" s="279" t="s">
        <v>242</v>
      </c>
      <c r="G19" s="279" t="s">
        <v>242</v>
      </c>
      <c r="H19" s="280" t="s">
        <v>242</v>
      </c>
      <c r="J19" s="1" t="s">
        <v>45</v>
      </c>
      <c r="L19" t="s">
        <v>27</v>
      </c>
    </row>
    <row r="20" spans="1:13" ht="86.25" customHeight="1" x14ac:dyDescent="0.25">
      <c r="A20" s="775"/>
      <c r="B20" s="773"/>
      <c r="C20" s="267" t="s">
        <v>12</v>
      </c>
      <c r="D20" s="374"/>
      <c r="E20" s="402"/>
      <c r="F20" s="279"/>
      <c r="G20" s="279"/>
      <c r="H20" s="492" t="s">
        <v>103</v>
      </c>
      <c r="J20" s="4" t="s">
        <v>51</v>
      </c>
      <c r="K20" s="3"/>
    </row>
    <row r="21" spans="1:13" ht="86.25" customHeight="1" x14ac:dyDescent="0.25">
      <c r="A21" s="775"/>
      <c r="B21" s="773"/>
      <c r="C21" s="267" t="s">
        <v>13</v>
      </c>
      <c r="D21" s="374"/>
      <c r="E21" s="404"/>
      <c r="F21" s="279"/>
      <c r="G21" s="279"/>
      <c r="H21" s="492" t="s">
        <v>239</v>
      </c>
      <c r="I21" s="3"/>
      <c r="J21" s="32" t="s">
        <v>50</v>
      </c>
      <c r="M21" s="3"/>
    </row>
    <row r="22" spans="1:13" ht="86.25" customHeight="1" thickBot="1" x14ac:dyDescent="0.3">
      <c r="A22" s="775"/>
      <c r="B22" s="773"/>
      <c r="C22" s="349" t="s">
        <v>15</v>
      </c>
      <c r="D22" s="217"/>
      <c r="E22" s="457"/>
      <c r="F22" s="218"/>
      <c r="G22" s="218"/>
      <c r="H22" s="219"/>
      <c r="J22" s="1" t="s">
        <v>39</v>
      </c>
      <c r="M22" s="3"/>
    </row>
    <row r="23" spans="1:13" ht="86.25" customHeight="1" x14ac:dyDescent="0.25">
      <c r="A23" s="775" t="s">
        <v>3</v>
      </c>
      <c r="B23" s="772">
        <f>B18+1</f>
        <v>46268</v>
      </c>
      <c r="C23" s="266" t="s">
        <v>10</v>
      </c>
      <c r="D23" s="302" t="s">
        <v>113</v>
      </c>
      <c r="E23" s="303"/>
      <c r="F23" s="303" t="s">
        <v>114</v>
      </c>
      <c r="G23" s="303" t="s">
        <v>102</v>
      </c>
      <c r="H23" s="321"/>
      <c r="J23" s="1" t="s">
        <v>52</v>
      </c>
    </row>
    <row r="24" spans="1:13" ht="86.25" customHeight="1" x14ac:dyDescent="0.25">
      <c r="A24" s="781"/>
      <c r="B24" s="773"/>
      <c r="C24" s="267" t="s">
        <v>11</v>
      </c>
      <c r="D24" s="190" t="s">
        <v>235</v>
      </c>
      <c r="E24" s="248"/>
      <c r="F24" s="248" t="s">
        <v>237</v>
      </c>
      <c r="G24" s="248" t="s">
        <v>238</v>
      </c>
      <c r="H24" s="282"/>
      <c r="J24" s="1" t="s">
        <v>30</v>
      </c>
    </row>
    <row r="25" spans="1:13" ht="86.25" customHeight="1" x14ac:dyDescent="0.25">
      <c r="A25" s="781"/>
      <c r="B25" s="773"/>
      <c r="C25" s="267" t="s">
        <v>12</v>
      </c>
      <c r="D25" s="374" t="s">
        <v>241</v>
      </c>
      <c r="E25" s="410" t="s">
        <v>241</v>
      </c>
      <c r="F25" s="404" t="s">
        <v>241</v>
      </c>
      <c r="G25" s="402" t="s">
        <v>241</v>
      </c>
      <c r="H25" s="403" t="s">
        <v>241</v>
      </c>
      <c r="J25" s="1" t="s">
        <v>31</v>
      </c>
    </row>
    <row r="26" spans="1:13" ht="86.25" customHeight="1" x14ac:dyDescent="0.25">
      <c r="A26" s="781"/>
      <c r="B26" s="773"/>
      <c r="C26" s="267" t="s">
        <v>13</v>
      </c>
      <c r="D26" s="375" t="s">
        <v>240</v>
      </c>
      <c r="E26" s="404" t="s">
        <v>240</v>
      </c>
      <c r="F26" s="404" t="s">
        <v>240</v>
      </c>
      <c r="G26" s="402" t="s">
        <v>240</v>
      </c>
      <c r="H26" s="403" t="s">
        <v>240</v>
      </c>
      <c r="J26" s="4" t="s">
        <v>46</v>
      </c>
    </row>
    <row r="27" spans="1:13" ht="86.25" customHeight="1" thickBot="1" x14ac:dyDescent="0.3">
      <c r="A27" s="781"/>
      <c r="B27" s="773"/>
      <c r="C27" s="349" t="s">
        <v>15</v>
      </c>
      <c r="D27" s="217"/>
      <c r="E27" s="468"/>
      <c r="F27" s="457"/>
      <c r="G27" s="457"/>
      <c r="H27" s="459"/>
      <c r="J27" s="1" t="s">
        <v>32</v>
      </c>
    </row>
    <row r="28" spans="1:13" ht="86.25" customHeight="1" x14ac:dyDescent="0.25">
      <c r="A28" s="775" t="s">
        <v>4</v>
      </c>
      <c r="B28" s="772">
        <f>B23+1</f>
        <v>46269</v>
      </c>
      <c r="C28" s="266" t="s">
        <v>10</v>
      </c>
      <c r="D28" s="293"/>
      <c r="E28" s="294"/>
      <c r="F28" s="294"/>
      <c r="G28" s="532"/>
      <c r="H28" s="295"/>
      <c r="J28" s="1" t="s">
        <v>33</v>
      </c>
    </row>
    <row r="29" spans="1:13" ht="86.25" customHeight="1" x14ac:dyDescent="0.25">
      <c r="A29" s="775"/>
      <c r="B29" s="773"/>
      <c r="C29" s="267" t="s">
        <v>11</v>
      </c>
      <c r="D29" s="283"/>
      <c r="E29" s="247"/>
      <c r="F29" s="247"/>
      <c r="G29" s="474"/>
      <c r="H29" s="284"/>
      <c r="J29" s="1" t="s">
        <v>34</v>
      </c>
    </row>
    <row r="30" spans="1:13" ht="86.25" customHeight="1" x14ac:dyDescent="0.25">
      <c r="A30" s="775"/>
      <c r="B30" s="773"/>
      <c r="C30" s="267" t="s">
        <v>12</v>
      </c>
      <c r="D30" s="281"/>
      <c r="E30" s="248" t="s">
        <v>157</v>
      </c>
      <c r="F30" s="248"/>
      <c r="G30" s="248"/>
      <c r="H30" s="282"/>
      <c r="J30" s="1" t="s">
        <v>53</v>
      </c>
    </row>
    <row r="31" spans="1:13" ht="86.25" customHeight="1" x14ac:dyDescent="0.25">
      <c r="A31" s="775"/>
      <c r="B31" s="773"/>
      <c r="C31" s="267" t="s">
        <v>13</v>
      </c>
      <c r="D31" s="281"/>
      <c r="E31" s="248" t="s">
        <v>236</v>
      </c>
      <c r="F31" s="248"/>
      <c r="G31" s="319"/>
      <c r="H31" s="282"/>
      <c r="J31" s="1" t="s">
        <v>35</v>
      </c>
      <c r="K31" t="s">
        <v>37</v>
      </c>
    </row>
    <row r="32" spans="1:13" ht="86.25" customHeight="1" thickBot="1" x14ac:dyDescent="0.3">
      <c r="A32" s="777"/>
      <c r="B32" s="774"/>
      <c r="C32" s="349" t="s">
        <v>15</v>
      </c>
      <c r="D32" s="285"/>
      <c r="E32" s="286"/>
      <c r="F32" s="286"/>
      <c r="G32" s="286"/>
      <c r="H32" s="287"/>
      <c r="J32" s="1" t="s">
        <v>36</v>
      </c>
      <c r="K32" t="s">
        <v>38</v>
      </c>
    </row>
    <row r="33" spans="1:11" ht="86.25" customHeight="1" x14ac:dyDescent="0.25">
      <c r="A33" s="776" t="s">
        <v>47</v>
      </c>
      <c r="B33" s="747">
        <f>B28+1</f>
        <v>46270</v>
      </c>
      <c r="C33" s="125" t="s">
        <v>10</v>
      </c>
      <c r="D33" s="306"/>
      <c r="E33" s="307"/>
      <c r="F33" s="307"/>
      <c r="G33" s="307"/>
      <c r="H33" s="308"/>
      <c r="J33" s="1" t="s">
        <v>33</v>
      </c>
    </row>
    <row r="34" spans="1:11" ht="86.25" customHeight="1" x14ac:dyDescent="0.25">
      <c r="A34" s="757"/>
      <c r="B34" s="746"/>
      <c r="C34" s="50" t="s">
        <v>11</v>
      </c>
      <c r="D34" s="274"/>
      <c r="E34" s="272"/>
      <c r="F34" s="272"/>
      <c r="G34" s="272"/>
      <c r="H34" s="275"/>
      <c r="J34" s="1" t="s">
        <v>34</v>
      </c>
    </row>
    <row r="35" spans="1:11" ht="86.25" customHeight="1" x14ac:dyDescent="0.25">
      <c r="A35" s="757"/>
      <c r="B35" s="746"/>
      <c r="C35" s="50" t="s">
        <v>12</v>
      </c>
      <c r="D35" s="274"/>
      <c r="E35" s="272"/>
      <c r="F35" s="272"/>
      <c r="G35" s="272"/>
      <c r="H35" s="275"/>
      <c r="J35" s="1" t="s">
        <v>53</v>
      </c>
    </row>
    <row r="36" spans="1:11" ht="86.25" customHeight="1" x14ac:dyDescent="0.25">
      <c r="A36" s="757"/>
      <c r="B36" s="746"/>
      <c r="C36" s="50" t="s">
        <v>13</v>
      </c>
      <c r="D36" s="276"/>
      <c r="E36" s="273"/>
      <c r="F36" s="230"/>
      <c r="G36" s="230"/>
      <c r="H36" s="231"/>
      <c r="J36" s="1" t="s">
        <v>35</v>
      </c>
      <c r="K36" t="s">
        <v>37</v>
      </c>
    </row>
    <row r="37" spans="1:11" ht="86.25" customHeight="1" thickBot="1" x14ac:dyDescent="0.3">
      <c r="A37" s="758"/>
      <c r="B37" s="755"/>
      <c r="C37" s="51" t="s">
        <v>15</v>
      </c>
      <c r="D37" s="277"/>
      <c r="E37" s="132"/>
      <c r="F37" s="132"/>
      <c r="G37" s="132"/>
      <c r="H37" s="133"/>
      <c r="J37" s="1" t="s">
        <v>36</v>
      </c>
      <c r="K37" t="s">
        <v>38</v>
      </c>
    </row>
    <row r="38" spans="1:11" ht="20.25" customHeight="1" x14ac:dyDescent="0.3">
      <c r="A38" s="2"/>
      <c r="B38" s="2"/>
      <c r="C38" s="37"/>
    </row>
    <row r="39" spans="1:11" s="19" customFormat="1" ht="26.25" x14ac:dyDescent="0.4">
      <c r="A39" s="18"/>
      <c r="B39" s="215">
        <v>24</v>
      </c>
      <c r="C39" s="632" t="s">
        <v>163</v>
      </c>
      <c r="D39" s="228">
        <f>COUNTIF(D$8:D$37,$C39)</f>
        <v>2</v>
      </c>
      <c r="E39" s="228">
        <f t="shared" ref="D39:H48" si="0">COUNTIF(E$8:E$37,$C39)</f>
        <v>2</v>
      </c>
      <c r="F39" s="228">
        <f t="shared" si="0"/>
        <v>2</v>
      </c>
      <c r="G39" s="228">
        <f t="shared" si="0"/>
        <v>2</v>
      </c>
      <c r="H39" s="228">
        <f t="shared" si="0"/>
        <v>2</v>
      </c>
    </row>
    <row r="40" spans="1:11" s="19" customFormat="1" ht="26.25" x14ac:dyDescent="0.4">
      <c r="A40" s="18"/>
      <c r="B40" s="215">
        <v>56</v>
      </c>
      <c r="C40" s="632" t="s">
        <v>164</v>
      </c>
      <c r="D40" s="228">
        <f>COUNTIF(D$8:D$37,$C40)</f>
        <v>0</v>
      </c>
      <c r="E40" s="228">
        <f t="shared" si="0"/>
        <v>0</v>
      </c>
      <c r="F40" s="228">
        <f t="shared" si="0"/>
        <v>0</v>
      </c>
      <c r="G40" s="228">
        <f t="shared" si="0"/>
        <v>0</v>
      </c>
      <c r="H40" s="228">
        <f t="shared" si="0"/>
        <v>0</v>
      </c>
    </row>
    <row r="41" spans="1:11" s="19" customFormat="1" ht="33.75" customHeight="1" x14ac:dyDescent="0.4">
      <c r="A41" s="182"/>
      <c r="B41" s="216">
        <v>2</v>
      </c>
      <c r="C41" s="632" t="s">
        <v>189</v>
      </c>
      <c r="D41" s="228">
        <f t="shared" si="0"/>
        <v>0</v>
      </c>
      <c r="E41" s="228">
        <f t="shared" si="0"/>
        <v>0</v>
      </c>
      <c r="F41" s="228">
        <f t="shared" si="0"/>
        <v>0</v>
      </c>
      <c r="G41" s="228">
        <f t="shared" si="0"/>
        <v>0</v>
      </c>
      <c r="H41" s="228">
        <f t="shared" si="0"/>
        <v>0</v>
      </c>
    </row>
    <row r="42" spans="1:11" s="19" customFormat="1" ht="26.25" x14ac:dyDescent="0.4">
      <c r="A42" s="182"/>
      <c r="B42" s="216">
        <v>18</v>
      </c>
      <c r="C42" s="632" t="s">
        <v>190</v>
      </c>
      <c r="D42" s="228">
        <f t="shared" si="0"/>
        <v>0</v>
      </c>
      <c r="E42" s="228">
        <f t="shared" si="0"/>
        <v>0</v>
      </c>
      <c r="F42" s="228">
        <f t="shared" si="0"/>
        <v>0</v>
      </c>
      <c r="G42" s="228">
        <f t="shared" si="0"/>
        <v>0</v>
      </c>
      <c r="H42" s="228">
        <f t="shared" si="0"/>
        <v>0</v>
      </c>
    </row>
    <row r="43" spans="1:11" s="19" customFormat="1" ht="26.25" x14ac:dyDescent="0.4">
      <c r="A43" s="18"/>
      <c r="B43" s="215">
        <v>10</v>
      </c>
      <c r="C43" s="632" t="s">
        <v>165</v>
      </c>
      <c r="D43" s="228">
        <f t="shared" si="0"/>
        <v>1</v>
      </c>
      <c r="E43" s="228">
        <f t="shared" si="0"/>
        <v>1</v>
      </c>
      <c r="F43" s="228">
        <f t="shared" si="0"/>
        <v>1</v>
      </c>
      <c r="G43" s="228">
        <f t="shared" si="0"/>
        <v>1</v>
      </c>
      <c r="H43" s="228">
        <f t="shared" si="0"/>
        <v>1</v>
      </c>
    </row>
    <row r="44" spans="1:11" s="19" customFormat="1" ht="26.25" x14ac:dyDescent="0.4">
      <c r="A44" s="18"/>
      <c r="B44" s="215">
        <v>22</v>
      </c>
      <c r="C44" s="632" t="s">
        <v>166</v>
      </c>
      <c r="D44" s="228">
        <f t="shared" si="0"/>
        <v>0</v>
      </c>
      <c r="E44" s="228">
        <f t="shared" si="0"/>
        <v>0</v>
      </c>
      <c r="F44" s="228">
        <f t="shared" si="0"/>
        <v>0</v>
      </c>
      <c r="G44" s="228">
        <f t="shared" si="0"/>
        <v>0</v>
      </c>
      <c r="H44" s="228">
        <f t="shared" si="0"/>
        <v>0</v>
      </c>
    </row>
    <row r="45" spans="1:11" s="19" customFormat="1" ht="26.25" x14ac:dyDescent="0.4">
      <c r="A45" s="18"/>
      <c r="B45" s="215">
        <v>10</v>
      </c>
      <c r="C45" s="632" t="s">
        <v>58</v>
      </c>
      <c r="D45" s="228">
        <f t="shared" si="0"/>
        <v>1</v>
      </c>
      <c r="E45" s="228">
        <f t="shared" si="0"/>
        <v>1</v>
      </c>
      <c r="F45" s="228">
        <f t="shared" si="0"/>
        <v>1</v>
      </c>
      <c r="G45" s="228">
        <f t="shared" si="0"/>
        <v>1</v>
      </c>
      <c r="H45" s="228">
        <f t="shared" si="0"/>
        <v>1</v>
      </c>
    </row>
    <row r="46" spans="1:11" s="19" customFormat="1" ht="26.25" x14ac:dyDescent="0.4">
      <c r="A46" s="18"/>
      <c r="B46" s="530">
        <v>70</v>
      </c>
      <c r="C46" s="632" t="s">
        <v>59</v>
      </c>
      <c r="D46" s="228">
        <f t="shared" si="0"/>
        <v>1</v>
      </c>
      <c r="E46" s="228">
        <f t="shared" si="0"/>
        <v>1</v>
      </c>
      <c r="F46" s="228">
        <f t="shared" si="0"/>
        <v>1</v>
      </c>
      <c r="G46" s="228">
        <f t="shared" si="0"/>
        <v>1</v>
      </c>
      <c r="H46" s="228">
        <f t="shared" si="0"/>
        <v>1</v>
      </c>
    </row>
    <row r="47" spans="1:11" s="19" customFormat="1" ht="26.25" x14ac:dyDescent="0.4">
      <c r="A47" s="18"/>
      <c r="B47" s="215">
        <v>20</v>
      </c>
      <c r="C47" s="632" t="s">
        <v>167</v>
      </c>
      <c r="D47" s="228">
        <f t="shared" si="0"/>
        <v>0</v>
      </c>
      <c r="E47" s="228">
        <f t="shared" si="0"/>
        <v>0</v>
      </c>
      <c r="F47" s="228">
        <f t="shared" si="0"/>
        <v>0</v>
      </c>
      <c r="G47" s="228">
        <f t="shared" si="0"/>
        <v>0</v>
      </c>
      <c r="H47" s="228">
        <f t="shared" si="0"/>
        <v>0</v>
      </c>
    </row>
    <row r="48" spans="1:11" s="19" customFormat="1" ht="26.25" x14ac:dyDescent="0.4">
      <c r="A48" s="18"/>
      <c r="B48" s="215">
        <v>18</v>
      </c>
      <c r="C48" s="632" t="s">
        <v>168</v>
      </c>
      <c r="D48" s="228">
        <f t="shared" si="0"/>
        <v>0</v>
      </c>
      <c r="E48" s="228">
        <f t="shared" si="0"/>
        <v>0</v>
      </c>
      <c r="F48" s="228">
        <f t="shared" si="0"/>
        <v>0</v>
      </c>
      <c r="G48" s="228">
        <f t="shared" si="0"/>
        <v>0</v>
      </c>
      <c r="H48" s="228">
        <f t="shared" si="0"/>
        <v>0</v>
      </c>
    </row>
    <row r="49" spans="1:8" s="19" customFormat="1" ht="26.25" x14ac:dyDescent="0.4">
      <c r="A49" s="18"/>
      <c r="B49" s="215">
        <v>4</v>
      </c>
      <c r="C49" s="632" t="s">
        <v>174</v>
      </c>
      <c r="D49" s="228">
        <f t="shared" ref="D49:H65" si="1">COUNTIF(D$8:D$37,$C49)</f>
        <v>2</v>
      </c>
      <c r="E49" s="228">
        <f t="shared" si="1"/>
        <v>2</v>
      </c>
      <c r="F49" s="228">
        <f t="shared" si="1"/>
        <v>2</v>
      </c>
      <c r="G49" s="228">
        <f t="shared" si="1"/>
        <v>2</v>
      </c>
      <c r="H49" s="228">
        <f t="shared" si="1"/>
        <v>2</v>
      </c>
    </row>
    <row r="50" spans="1:8" s="19" customFormat="1" ht="26.25" x14ac:dyDescent="0.4">
      <c r="A50" s="18"/>
      <c r="B50" s="215">
        <v>60</v>
      </c>
      <c r="C50" s="632" t="s">
        <v>175</v>
      </c>
      <c r="D50" s="228">
        <f t="shared" si="1"/>
        <v>0</v>
      </c>
      <c r="E50" s="228">
        <f t="shared" si="1"/>
        <v>0</v>
      </c>
      <c r="F50" s="228">
        <f t="shared" si="1"/>
        <v>0</v>
      </c>
      <c r="G50" s="228">
        <f t="shared" si="1"/>
        <v>0</v>
      </c>
      <c r="H50" s="228">
        <f t="shared" si="1"/>
        <v>0</v>
      </c>
    </row>
    <row r="51" spans="1:8" s="19" customFormat="1" ht="26.25" x14ac:dyDescent="0.4">
      <c r="A51" s="18"/>
      <c r="B51" s="215">
        <v>2</v>
      </c>
      <c r="C51" s="632" t="s">
        <v>176</v>
      </c>
      <c r="D51" s="228">
        <f t="shared" si="1"/>
        <v>1</v>
      </c>
      <c r="E51" s="228">
        <f t="shared" si="1"/>
        <v>1</v>
      </c>
      <c r="F51" s="228">
        <f t="shared" si="1"/>
        <v>1</v>
      </c>
      <c r="G51" s="228">
        <f t="shared" si="1"/>
        <v>1</v>
      </c>
      <c r="H51" s="228">
        <f t="shared" si="1"/>
        <v>1</v>
      </c>
    </row>
    <row r="52" spans="1:8" s="19" customFormat="1" ht="26.25" x14ac:dyDescent="0.4">
      <c r="A52" s="18"/>
      <c r="B52" s="531">
        <v>30</v>
      </c>
      <c r="C52" s="633" t="s">
        <v>177</v>
      </c>
      <c r="D52" s="228">
        <f t="shared" si="1"/>
        <v>0</v>
      </c>
      <c r="E52" s="228">
        <f t="shared" si="1"/>
        <v>0</v>
      </c>
      <c r="F52" s="228">
        <f t="shared" si="1"/>
        <v>0</v>
      </c>
      <c r="G52" s="228">
        <f t="shared" si="1"/>
        <v>0</v>
      </c>
      <c r="H52" s="228">
        <f t="shared" si="1"/>
        <v>0</v>
      </c>
    </row>
    <row r="53" spans="1:8" s="19" customFormat="1" ht="26.25" x14ac:dyDescent="0.4">
      <c r="A53" s="18"/>
      <c r="B53" s="215">
        <v>2</v>
      </c>
      <c r="C53" s="632" t="s">
        <v>182</v>
      </c>
      <c r="D53" s="228">
        <f t="shared" si="1"/>
        <v>1</v>
      </c>
      <c r="E53" s="228">
        <f t="shared" si="1"/>
        <v>1</v>
      </c>
      <c r="F53" s="228">
        <f t="shared" si="1"/>
        <v>1</v>
      </c>
      <c r="G53" s="228">
        <f t="shared" si="1"/>
        <v>1</v>
      </c>
      <c r="H53" s="228">
        <f t="shared" si="1"/>
        <v>1</v>
      </c>
    </row>
    <row r="54" spans="1:8" s="19" customFormat="1" ht="26.25" x14ac:dyDescent="0.4">
      <c r="A54" s="18"/>
      <c r="B54" s="215">
        <v>30</v>
      </c>
      <c r="C54" s="632" t="s">
        <v>183</v>
      </c>
      <c r="D54" s="228">
        <f t="shared" si="1"/>
        <v>0</v>
      </c>
      <c r="E54" s="228">
        <f t="shared" si="1"/>
        <v>0</v>
      </c>
      <c r="F54" s="228">
        <f t="shared" si="1"/>
        <v>0</v>
      </c>
      <c r="G54" s="228">
        <f t="shared" si="1"/>
        <v>0</v>
      </c>
      <c r="H54" s="228">
        <f t="shared" si="1"/>
        <v>0</v>
      </c>
    </row>
    <row r="55" spans="1:8" s="19" customFormat="1" ht="26.25" x14ac:dyDescent="0.4">
      <c r="A55" s="18"/>
      <c r="B55" s="215">
        <v>6</v>
      </c>
      <c r="C55" s="632" t="s">
        <v>184</v>
      </c>
      <c r="D55" s="228">
        <f t="shared" si="1"/>
        <v>0</v>
      </c>
      <c r="E55" s="228">
        <f t="shared" si="1"/>
        <v>0</v>
      </c>
      <c r="F55" s="228">
        <f t="shared" si="1"/>
        <v>0</v>
      </c>
      <c r="G55" s="228">
        <f t="shared" si="1"/>
        <v>0</v>
      </c>
      <c r="H55" s="228">
        <f t="shared" si="1"/>
        <v>0</v>
      </c>
    </row>
    <row r="56" spans="1:8" s="19" customFormat="1" ht="26.25" x14ac:dyDescent="0.4">
      <c r="A56" s="18"/>
      <c r="B56" s="215">
        <v>22</v>
      </c>
      <c r="C56" s="632" t="s">
        <v>185</v>
      </c>
      <c r="D56" s="228">
        <f t="shared" si="1"/>
        <v>0</v>
      </c>
      <c r="E56" s="228">
        <f t="shared" si="1"/>
        <v>0</v>
      </c>
      <c r="F56" s="228">
        <f t="shared" si="1"/>
        <v>0</v>
      </c>
      <c r="G56" s="228">
        <f t="shared" si="1"/>
        <v>0</v>
      </c>
      <c r="H56" s="228">
        <f t="shared" si="1"/>
        <v>0</v>
      </c>
    </row>
    <row r="57" spans="1:8" s="19" customFormat="1" ht="26.25" x14ac:dyDescent="0.4">
      <c r="A57" s="18"/>
      <c r="B57" s="215">
        <v>6</v>
      </c>
      <c r="C57" s="632" t="s">
        <v>186</v>
      </c>
      <c r="D57" s="228">
        <f t="shared" si="1"/>
        <v>0</v>
      </c>
      <c r="E57" s="228">
        <f t="shared" si="1"/>
        <v>0</v>
      </c>
      <c r="F57" s="228">
        <f t="shared" si="1"/>
        <v>0</v>
      </c>
      <c r="G57" s="228">
        <f t="shared" si="1"/>
        <v>0</v>
      </c>
      <c r="H57" s="228">
        <f t="shared" si="1"/>
        <v>0</v>
      </c>
    </row>
    <row r="58" spans="1:8" s="19" customFormat="1" ht="26.25" x14ac:dyDescent="0.4">
      <c r="A58" s="18"/>
      <c r="B58" s="215">
        <v>22</v>
      </c>
      <c r="C58" s="632" t="s">
        <v>187</v>
      </c>
      <c r="D58" s="228">
        <f t="shared" si="1"/>
        <v>0</v>
      </c>
      <c r="E58" s="228">
        <f t="shared" si="1"/>
        <v>0</v>
      </c>
      <c r="F58" s="228">
        <f t="shared" si="1"/>
        <v>0</v>
      </c>
      <c r="G58" s="228">
        <f t="shared" si="1"/>
        <v>0</v>
      </c>
      <c r="H58" s="228">
        <f t="shared" si="1"/>
        <v>0</v>
      </c>
    </row>
    <row r="59" spans="1:8" s="19" customFormat="1" ht="26.25" x14ac:dyDescent="0.4">
      <c r="A59" s="18"/>
      <c r="B59" s="215"/>
      <c r="C59" s="439"/>
      <c r="D59" s="228">
        <f t="shared" si="1"/>
        <v>0</v>
      </c>
      <c r="E59" s="228">
        <f t="shared" si="1"/>
        <v>0</v>
      </c>
      <c r="F59" s="228">
        <f t="shared" si="1"/>
        <v>0</v>
      </c>
      <c r="G59" s="228">
        <f t="shared" si="1"/>
        <v>0</v>
      </c>
      <c r="H59" s="228">
        <f t="shared" si="1"/>
        <v>0</v>
      </c>
    </row>
    <row r="60" spans="1:8" s="19" customFormat="1" ht="26.25" x14ac:dyDescent="0.4">
      <c r="A60" s="18"/>
      <c r="B60" s="215"/>
      <c r="C60" s="439"/>
      <c r="D60" s="228">
        <f t="shared" si="1"/>
        <v>0</v>
      </c>
      <c r="E60" s="228">
        <f t="shared" si="1"/>
        <v>0</v>
      </c>
      <c r="F60" s="228">
        <f t="shared" si="1"/>
        <v>0</v>
      </c>
      <c r="G60" s="228">
        <f t="shared" si="1"/>
        <v>0</v>
      </c>
      <c r="H60" s="228">
        <f t="shared" si="1"/>
        <v>0</v>
      </c>
    </row>
    <row r="61" spans="1:8" ht="26.25" x14ac:dyDescent="0.4">
      <c r="A61" s="2"/>
      <c r="B61" s="215"/>
      <c r="C61" s="439"/>
      <c r="D61" s="228">
        <f t="shared" si="1"/>
        <v>0</v>
      </c>
      <c r="E61" s="228">
        <f t="shared" si="1"/>
        <v>0</v>
      </c>
      <c r="F61" s="228">
        <f t="shared" si="1"/>
        <v>0</v>
      </c>
      <c r="G61" s="228">
        <f t="shared" si="1"/>
        <v>0</v>
      </c>
      <c r="H61" s="228">
        <f t="shared" si="1"/>
        <v>0</v>
      </c>
    </row>
    <row r="62" spans="1:8" ht="26.25" x14ac:dyDescent="0.4">
      <c r="A62" s="2"/>
      <c r="B62" s="215"/>
      <c r="C62" s="439"/>
      <c r="D62" s="228">
        <f t="shared" si="1"/>
        <v>0</v>
      </c>
      <c r="E62" s="228">
        <f t="shared" si="1"/>
        <v>0</v>
      </c>
      <c r="F62" s="228">
        <f t="shared" si="1"/>
        <v>0</v>
      </c>
      <c r="G62" s="228">
        <f t="shared" si="1"/>
        <v>0</v>
      </c>
      <c r="H62" s="228">
        <f t="shared" si="1"/>
        <v>0</v>
      </c>
    </row>
    <row r="63" spans="1:8" ht="26.25" x14ac:dyDescent="0.4">
      <c r="A63" s="2"/>
      <c r="B63" s="215"/>
      <c r="C63" s="439"/>
      <c r="D63" s="228">
        <f t="shared" si="1"/>
        <v>0</v>
      </c>
      <c r="E63" s="228">
        <f t="shared" si="1"/>
        <v>0</v>
      </c>
      <c r="F63" s="228">
        <f t="shared" si="1"/>
        <v>0</v>
      </c>
      <c r="G63" s="228">
        <f t="shared" si="1"/>
        <v>0</v>
      </c>
      <c r="H63" s="228">
        <f t="shared" si="1"/>
        <v>0</v>
      </c>
    </row>
    <row r="64" spans="1:8" ht="26.25" x14ac:dyDescent="0.4">
      <c r="A64" s="2"/>
      <c r="B64" s="215"/>
      <c r="C64" s="439"/>
      <c r="D64" s="228">
        <f t="shared" si="1"/>
        <v>0</v>
      </c>
      <c r="E64" s="228">
        <f t="shared" si="1"/>
        <v>0</v>
      </c>
      <c r="F64" s="228">
        <f t="shared" si="1"/>
        <v>0</v>
      </c>
      <c r="G64" s="228">
        <f t="shared" si="1"/>
        <v>0</v>
      </c>
      <c r="H64" s="228">
        <f t="shared" si="1"/>
        <v>0</v>
      </c>
    </row>
    <row r="65" spans="3:8" ht="26.25" x14ac:dyDescent="0.4">
      <c r="C65" s="439"/>
      <c r="D65" s="228">
        <f t="shared" si="1"/>
        <v>0</v>
      </c>
      <c r="E65" s="228">
        <f t="shared" si="1"/>
        <v>0</v>
      </c>
      <c r="F65" s="228">
        <f t="shared" si="1"/>
        <v>0</v>
      </c>
      <c r="G65" s="228">
        <f t="shared" si="1"/>
        <v>0</v>
      </c>
      <c r="H65" s="228">
        <f t="shared" si="1"/>
        <v>0</v>
      </c>
    </row>
  </sheetData>
  <mergeCells count="20">
    <mergeCell ref="B13:B17"/>
    <mergeCell ref="A23:A27"/>
    <mergeCell ref="B18:B22"/>
    <mergeCell ref="B23:B27"/>
    <mergeCell ref="A8:A12"/>
    <mergeCell ref="A13:A17"/>
    <mergeCell ref="B8:B12"/>
    <mergeCell ref="B28:B32"/>
    <mergeCell ref="A18:A22"/>
    <mergeCell ref="A33:A37"/>
    <mergeCell ref="B33:B37"/>
    <mergeCell ref="A28:A32"/>
    <mergeCell ref="B1:H1"/>
    <mergeCell ref="B2:H2"/>
    <mergeCell ref="A6:A7"/>
    <mergeCell ref="A3:H3"/>
    <mergeCell ref="C6:C7"/>
    <mergeCell ref="B6:B7"/>
    <mergeCell ref="A4:H4"/>
    <mergeCell ref="A5:H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6" orientation="portrait" r:id="rId1"/>
  <rowBreaks count="1" manualBreakCount="1">
    <brk id="37" max="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K70"/>
  <sheetViews>
    <sheetView view="pageBreakPreview" zoomScale="40" zoomScaleNormal="40" zoomScaleSheetLayoutView="40" zoomScalePageLayoutView="40" workbookViewId="0">
      <selection activeCell="G9" sqref="G9"/>
    </sheetView>
  </sheetViews>
  <sheetFormatPr defaultRowHeight="15" x14ac:dyDescent="0.25"/>
  <cols>
    <col min="1" max="2" width="4.42578125" customWidth="1"/>
    <col min="3" max="3" width="20.5703125" customWidth="1"/>
    <col min="4" max="8" width="62.85546875" customWidth="1"/>
  </cols>
  <sheetData>
    <row r="1" spans="1:8" ht="32.25" customHeight="1" x14ac:dyDescent="0.3">
      <c r="A1" s="178"/>
      <c r="B1" s="760" t="s">
        <v>140</v>
      </c>
      <c r="C1" s="760"/>
      <c r="D1" s="760"/>
      <c r="E1" s="760"/>
      <c r="F1" s="760"/>
      <c r="G1" s="760"/>
      <c r="H1" s="760"/>
    </row>
    <row r="2" spans="1:8" ht="24" customHeight="1" x14ac:dyDescent="0.3">
      <c r="A2" s="179"/>
      <c r="B2" s="760" t="s">
        <v>87</v>
      </c>
      <c r="C2" s="760"/>
      <c r="D2" s="760"/>
      <c r="E2" s="760"/>
      <c r="F2" s="760"/>
      <c r="G2" s="760"/>
      <c r="H2" s="760"/>
    </row>
    <row r="3" spans="1:8" ht="30" customHeight="1" x14ac:dyDescent="0.25">
      <c r="A3" s="229"/>
      <c r="B3" s="787" t="s">
        <v>81</v>
      </c>
      <c r="C3" s="787"/>
      <c r="D3" s="787"/>
      <c r="E3" s="787"/>
      <c r="F3" s="787"/>
      <c r="G3" s="787"/>
      <c r="H3" s="787"/>
    </row>
    <row r="4" spans="1:8" ht="31.5" customHeight="1" x14ac:dyDescent="0.25">
      <c r="A4" s="180"/>
      <c r="B4" s="760" t="s">
        <v>142</v>
      </c>
      <c r="C4" s="760"/>
      <c r="D4" s="760"/>
      <c r="E4" s="760"/>
      <c r="F4" s="760"/>
      <c r="G4" s="760"/>
      <c r="H4" s="760"/>
    </row>
    <row r="5" spans="1:8" ht="36.75" customHeight="1" thickBot="1" x14ac:dyDescent="0.3">
      <c r="A5" s="682" t="s">
        <v>112</v>
      </c>
      <c r="B5" s="682"/>
      <c r="C5" s="682"/>
      <c r="D5" s="682"/>
      <c r="E5" s="682"/>
      <c r="F5" s="682"/>
      <c r="G5" s="682"/>
      <c r="H5" s="682"/>
    </row>
    <row r="6" spans="1:8" ht="33.75" customHeight="1" thickBot="1" x14ac:dyDescent="0.3">
      <c r="A6" s="790" t="s">
        <v>54</v>
      </c>
      <c r="B6" s="790" t="s">
        <v>14</v>
      </c>
      <c r="C6" s="788" t="s">
        <v>55</v>
      </c>
      <c r="D6" s="241" t="s">
        <v>5</v>
      </c>
      <c r="E6" s="242" t="s">
        <v>6</v>
      </c>
      <c r="F6" s="242" t="s">
        <v>7</v>
      </c>
      <c r="G6" s="242" t="s">
        <v>8</v>
      </c>
      <c r="H6" s="243" t="s">
        <v>9</v>
      </c>
    </row>
    <row r="7" spans="1:8" ht="87" customHeight="1" thickBot="1" x14ac:dyDescent="0.3">
      <c r="A7" s="791"/>
      <c r="B7" s="791"/>
      <c r="C7" s="789"/>
      <c r="D7" s="647" t="s">
        <v>106</v>
      </c>
      <c r="E7" s="413" t="s">
        <v>136</v>
      </c>
      <c r="F7" s="413" t="s">
        <v>107</v>
      </c>
      <c r="G7" s="413" t="s">
        <v>90</v>
      </c>
      <c r="H7" s="648" t="s">
        <v>78</v>
      </c>
    </row>
    <row r="8" spans="1:8" ht="117" customHeight="1" x14ac:dyDescent="0.25">
      <c r="A8" s="776" t="s">
        <v>0</v>
      </c>
      <c r="B8" s="792">
        <v>46272</v>
      </c>
      <c r="C8" s="49" t="s">
        <v>10</v>
      </c>
      <c r="D8" s="316" t="s">
        <v>263</v>
      </c>
      <c r="E8" s="299"/>
      <c r="F8" s="299" t="s">
        <v>237</v>
      </c>
      <c r="G8" s="361" t="s">
        <v>250</v>
      </c>
      <c r="H8" s="362" t="s">
        <v>257</v>
      </c>
    </row>
    <row r="9" spans="1:8" ht="117" customHeight="1" x14ac:dyDescent="0.25">
      <c r="A9" s="757"/>
      <c r="B9" s="757"/>
      <c r="C9" s="50" t="s">
        <v>11</v>
      </c>
      <c r="D9" s="418" t="s">
        <v>263</v>
      </c>
      <c r="E9" s="383"/>
      <c r="F9" s="383" t="s">
        <v>237</v>
      </c>
      <c r="G9" s="383" t="s">
        <v>300</v>
      </c>
      <c r="H9" s="414" t="s">
        <v>286</v>
      </c>
    </row>
    <row r="10" spans="1:8" ht="84.75" customHeight="1" x14ac:dyDescent="0.25">
      <c r="A10" s="757"/>
      <c r="B10" s="757"/>
      <c r="C10" s="50" t="s">
        <v>12</v>
      </c>
      <c r="D10" s="418"/>
      <c r="E10" s="383"/>
      <c r="F10" s="383"/>
      <c r="G10" s="460"/>
      <c r="H10" s="510"/>
    </row>
    <row r="11" spans="1:8" ht="84.75" customHeight="1" x14ac:dyDescent="0.25">
      <c r="A11" s="757"/>
      <c r="B11" s="757"/>
      <c r="C11" s="50" t="s">
        <v>13</v>
      </c>
      <c r="D11" s="418"/>
      <c r="E11" s="383"/>
      <c r="F11" s="383"/>
      <c r="G11" s="460"/>
      <c r="H11" s="510"/>
    </row>
    <row r="12" spans="1:8" ht="84.75" customHeight="1" thickBot="1" x14ac:dyDescent="0.3">
      <c r="A12" s="757"/>
      <c r="B12" s="757"/>
      <c r="C12" s="51" t="s">
        <v>15</v>
      </c>
      <c r="D12" s="363"/>
      <c r="E12" s="330"/>
      <c r="F12" s="330"/>
      <c r="G12" s="330"/>
      <c r="H12" s="350"/>
    </row>
    <row r="13" spans="1:8" ht="84.75" customHeight="1" x14ac:dyDescent="0.25">
      <c r="A13" s="757" t="s">
        <v>1</v>
      </c>
      <c r="B13" s="756">
        <f>B8+1</f>
        <v>46273</v>
      </c>
      <c r="C13" s="49" t="s">
        <v>10</v>
      </c>
      <c r="D13" s="469" t="s">
        <v>272</v>
      </c>
      <c r="E13" s="367" t="s">
        <v>272</v>
      </c>
      <c r="F13" s="367" t="s">
        <v>272</v>
      </c>
      <c r="G13" s="303" t="s">
        <v>272</v>
      </c>
      <c r="H13" s="321" t="s">
        <v>272</v>
      </c>
    </row>
    <row r="14" spans="1:8" ht="84.75" customHeight="1" x14ac:dyDescent="0.25">
      <c r="A14" s="757"/>
      <c r="B14" s="757"/>
      <c r="C14" s="50" t="s">
        <v>11</v>
      </c>
      <c r="D14" s="374" t="s">
        <v>240</v>
      </c>
      <c r="E14" s="369" t="s">
        <v>240</v>
      </c>
      <c r="F14" s="369" t="s">
        <v>240</v>
      </c>
      <c r="G14" s="279" t="s">
        <v>240</v>
      </c>
      <c r="H14" s="280" t="s">
        <v>240</v>
      </c>
    </row>
    <row r="15" spans="1:8" ht="111" customHeight="1" x14ac:dyDescent="0.25">
      <c r="A15" s="757"/>
      <c r="B15" s="757"/>
      <c r="C15" s="50" t="s">
        <v>12</v>
      </c>
      <c r="D15" s="517" t="s">
        <v>257</v>
      </c>
      <c r="E15" s="279" t="s">
        <v>285</v>
      </c>
      <c r="F15" s="279"/>
      <c r="G15" s="279" t="s">
        <v>238</v>
      </c>
      <c r="H15" s="510" t="s">
        <v>239</v>
      </c>
    </row>
    <row r="16" spans="1:8" ht="114.75" customHeight="1" x14ac:dyDescent="0.25">
      <c r="A16" s="757"/>
      <c r="B16" s="757"/>
      <c r="C16" s="50" t="s">
        <v>13</v>
      </c>
      <c r="D16" s="517"/>
      <c r="E16" s="279" t="s">
        <v>257</v>
      </c>
      <c r="F16" s="279"/>
      <c r="G16" s="279" t="s">
        <v>238</v>
      </c>
      <c r="H16" s="510" t="s">
        <v>239</v>
      </c>
    </row>
    <row r="17" spans="1:11" ht="84.75" customHeight="1" x14ac:dyDescent="0.25">
      <c r="A17" s="757"/>
      <c r="B17" s="757"/>
      <c r="C17" s="123" t="s">
        <v>15</v>
      </c>
      <c r="D17" s="524"/>
      <c r="E17" s="546"/>
      <c r="F17" s="546"/>
      <c r="G17" s="546"/>
      <c r="H17" s="518"/>
    </row>
    <row r="18" spans="1:11" ht="28.5" thickBot="1" x14ac:dyDescent="0.3">
      <c r="A18" s="757"/>
      <c r="B18" s="757"/>
      <c r="C18" s="127" t="s">
        <v>60</v>
      </c>
      <c r="D18" s="363"/>
      <c r="E18" s="430"/>
      <c r="F18" s="330"/>
      <c r="G18" s="330"/>
      <c r="H18" s="549"/>
      <c r="K18" s="3"/>
    </row>
    <row r="19" spans="1:11" ht="84.75" customHeight="1" x14ac:dyDescent="0.25">
      <c r="A19" s="757" t="s">
        <v>2</v>
      </c>
      <c r="B19" s="756">
        <f>B13+1</f>
        <v>46274</v>
      </c>
      <c r="C19" s="49" t="s">
        <v>10</v>
      </c>
      <c r="D19" s="302" t="s">
        <v>254</v>
      </c>
      <c r="E19" s="303" t="s">
        <v>281</v>
      </c>
      <c r="F19" s="303" t="s">
        <v>258</v>
      </c>
      <c r="G19" s="303"/>
      <c r="H19" s="321"/>
    </row>
    <row r="20" spans="1:11" ht="84.75" customHeight="1" x14ac:dyDescent="0.25">
      <c r="A20" s="757"/>
      <c r="B20" s="757"/>
      <c r="C20" s="50" t="s">
        <v>11</v>
      </c>
      <c r="D20" s="278" t="s">
        <v>254</v>
      </c>
      <c r="E20" s="279" t="s">
        <v>282</v>
      </c>
      <c r="F20" s="279" t="s">
        <v>249</v>
      </c>
      <c r="G20" s="279"/>
      <c r="H20" s="280"/>
    </row>
    <row r="21" spans="1:11" ht="84.75" customHeight="1" x14ac:dyDescent="0.25">
      <c r="A21" s="757"/>
      <c r="B21" s="757"/>
      <c r="C21" s="50" t="s">
        <v>12</v>
      </c>
      <c r="D21" s="374" t="s">
        <v>246</v>
      </c>
      <c r="E21" s="402"/>
      <c r="F21" s="279" t="s">
        <v>261</v>
      </c>
      <c r="G21" s="279"/>
      <c r="H21" s="510"/>
      <c r="K21" s="3"/>
    </row>
    <row r="22" spans="1:11" ht="84.75" customHeight="1" x14ac:dyDescent="0.25">
      <c r="A22" s="757"/>
      <c r="B22" s="757"/>
      <c r="C22" s="50" t="s">
        <v>13</v>
      </c>
      <c r="D22" s="374"/>
      <c r="E22" s="404"/>
      <c r="F22" s="279"/>
      <c r="G22" s="279"/>
      <c r="H22" s="510"/>
    </row>
    <row r="23" spans="1:11" ht="84.75" customHeight="1" thickBot="1" x14ac:dyDescent="0.3">
      <c r="A23" s="757"/>
      <c r="B23" s="757"/>
      <c r="C23" s="51" t="s">
        <v>15</v>
      </c>
      <c r="D23" s="217"/>
      <c r="E23" s="457"/>
      <c r="F23" s="218"/>
      <c r="G23" s="218"/>
      <c r="H23" s="219"/>
    </row>
    <row r="24" spans="1:11" ht="84.75" customHeight="1" x14ac:dyDescent="0.25">
      <c r="A24" s="757" t="s">
        <v>3</v>
      </c>
      <c r="B24" s="756">
        <f>B19+1</f>
        <v>46275</v>
      </c>
      <c r="C24" s="49" t="s">
        <v>10</v>
      </c>
      <c r="D24" s="302" t="s">
        <v>264</v>
      </c>
      <c r="E24" s="532" t="s">
        <v>248</v>
      </c>
      <c r="F24" s="299"/>
      <c r="G24" s="299"/>
      <c r="H24" s="321" t="s">
        <v>284</v>
      </c>
    </row>
    <row r="25" spans="1:11" ht="84.75" customHeight="1" x14ac:dyDescent="0.25">
      <c r="A25" s="786"/>
      <c r="B25" s="757"/>
      <c r="C25" s="50" t="s">
        <v>11</v>
      </c>
      <c r="D25" s="281" t="s">
        <v>264</v>
      </c>
      <c r="E25" s="652" t="s">
        <v>260</v>
      </c>
      <c r="F25" s="248"/>
      <c r="G25" s="248"/>
      <c r="H25" s="282" t="s">
        <v>284</v>
      </c>
    </row>
    <row r="26" spans="1:11" ht="84.75" customHeight="1" x14ac:dyDescent="0.25">
      <c r="A26" s="786"/>
      <c r="B26" s="757"/>
      <c r="C26" s="50" t="s">
        <v>12</v>
      </c>
      <c r="D26" s="374" t="s">
        <v>241</v>
      </c>
      <c r="E26" s="410" t="s">
        <v>241</v>
      </c>
      <c r="F26" s="404" t="s">
        <v>241</v>
      </c>
      <c r="G26" s="402" t="s">
        <v>241</v>
      </c>
      <c r="H26" s="403" t="s">
        <v>241</v>
      </c>
    </row>
    <row r="27" spans="1:11" ht="129.75" customHeight="1" x14ac:dyDescent="0.25">
      <c r="A27" s="786"/>
      <c r="B27" s="757"/>
      <c r="C27" s="50" t="s">
        <v>13</v>
      </c>
      <c r="D27" s="375" t="s">
        <v>253</v>
      </c>
      <c r="E27" s="404" t="s">
        <v>253</v>
      </c>
      <c r="F27" s="404" t="s">
        <v>253</v>
      </c>
      <c r="G27" s="402" t="s">
        <v>253</v>
      </c>
      <c r="H27" s="403" t="s">
        <v>253</v>
      </c>
    </row>
    <row r="28" spans="1:11" ht="84.75" customHeight="1" thickBot="1" x14ac:dyDescent="0.3">
      <c r="A28" s="786"/>
      <c r="B28" s="757"/>
      <c r="C28" s="51" t="s">
        <v>15</v>
      </c>
      <c r="D28" s="217"/>
      <c r="E28" s="468"/>
      <c r="F28" s="457"/>
      <c r="G28" s="457"/>
      <c r="H28" s="459"/>
    </row>
    <row r="29" spans="1:11" ht="84.75" customHeight="1" x14ac:dyDescent="0.25">
      <c r="A29" s="757" t="s">
        <v>4</v>
      </c>
      <c r="B29" s="756">
        <f>B24+1</f>
        <v>46276</v>
      </c>
      <c r="C29" s="49" t="s">
        <v>10</v>
      </c>
      <c r="D29" s="293" t="s">
        <v>259</v>
      </c>
      <c r="E29" s="294"/>
      <c r="F29" s="294" t="s">
        <v>255</v>
      </c>
      <c r="G29" s="532" t="s">
        <v>256</v>
      </c>
      <c r="H29" s="295"/>
    </row>
    <row r="30" spans="1:11" ht="84.75" customHeight="1" x14ac:dyDescent="0.25">
      <c r="A30" s="757"/>
      <c r="B30" s="757"/>
      <c r="C30" s="50" t="s">
        <v>11</v>
      </c>
      <c r="D30" s="283" t="s">
        <v>247</v>
      </c>
      <c r="E30" s="247"/>
      <c r="F30" s="247" t="s">
        <v>255</v>
      </c>
      <c r="G30" s="474" t="s">
        <v>256</v>
      </c>
      <c r="H30" s="284"/>
    </row>
    <row r="31" spans="1:11" ht="92.25" customHeight="1" x14ac:dyDescent="0.25">
      <c r="A31" s="757"/>
      <c r="B31" s="757"/>
      <c r="C31" s="50" t="s">
        <v>12</v>
      </c>
      <c r="D31" s="281"/>
      <c r="E31" s="248" t="s">
        <v>236</v>
      </c>
      <c r="F31" s="279" t="s">
        <v>249</v>
      </c>
      <c r="G31" s="248" t="s">
        <v>251</v>
      </c>
      <c r="H31" s="282" t="s">
        <v>262</v>
      </c>
    </row>
    <row r="32" spans="1:11" ht="92.25" customHeight="1" x14ac:dyDescent="0.25">
      <c r="A32" s="757"/>
      <c r="B32" s="757"/>
      <c r="C32" s="50" t="s">
        <v>13</v>
      </c>
      <c r="D32" s="281"/>
      <c r="E32" s="248" t="s">
        <v>236</v>
      </c>
      <c r="F32" s="248"/>
      <c r="G32" s="319" t="s">
        <v>262</v>
      </c>
      <c r="H32" s="282" t="s">
        <v>252</v>
      </c>
    </row>
    <row r="33" spans="1:8" ht="84.75" customHeight="1" thickBot="1" x14ac:dyDescent="0.3">
      <c r="A33" s="757"/>
      <c r="B33" s="757"/>
      <c r="C33" s="51" t="s">
        <v>15</v>
      </c>
      <c r="D33" s="285"/>
      <c r="E33" s="286"/>
      <c r="F33" s="286"/>
      <c r="G33" s="286"/>
      <c r="H33" s="287"/>
    </row>
    <row r="34" spans="1:8" ht="60" customHeight="1" x14ac:dyDescent="0.25">
      <c r="A34" s="757" t="s">
        <v>47</v>
      </c>
      <c r="B34" s="756">
        <f>B29+1</f>
        <v>46277</v>
      </c>
      <c r="C34" s="46" t="s">
        <v>10</v>
      </c>
      <c r="D34" s="200"/>
      <c r="E34" s="201"/>
      <c r="F34" s="364"/>
      <c r="G34" s="364"/>
      <c r="H34" s="202"/>
    </row>
    <row r="35" spans="1:8" ht="60" customHeight="1" x14ac:dyDescent="0.25">
      <c r="A35" s="757"/>
      <c r="B35" s="757"/>
      <c r="C35" s="47" t="s">
        <v>11</v>
      </c>
      <c r="D35" s="203"/>
      <c r="E35" s="365"/>
      <c r="F35" s="365"/>
      <c r="G35" s="365"/>
      <c r="H35" s="194"/>
    </row>
    <row r="36" spans="1:8" ht="60" customHeight="1" x14ac:dyDescent="0.25">
      <c r="A36" s="757"/>
      <c r="B36" s="757"/>
      <c r="C36" s="47" t="s">
        <v>12</v>
      </c>
      <c r="D36" s="193"/>
      <c r="E36" s="365"/>
      <c r="F36" s="365"/>
      <c r="G36" s="365"/>
      <c r="H36" s="194"/>
    </row>
    <row r="37" spans="1:8" ht="60" customHeight="1" x14ac:dyDescent="0.25">
      <c r="A37" s="757"/>
      <c r="B37" s="757"/>
      <c r="C37" s="47" t="s">
        <v>13</v>
      </c>
      <c r="D37" s="60"/>
      <c r="E37" s="56"/>
      <c r="F37" s="56"/>
      <c r="G37" s="56"/>
      <c r="H37" s="59"/>
    </row>
    <row r="38" spans="1:8" ht="60" customHeight="1" thickBot="1" x14ac:dyDescent="0.3">
      <c r="A38" s="758"/>
      <c r="B38" s="758"/>
      <c r="C38" s="48" t="s">
        <v>15</v>
      </c>
      <c r="D38" s="99"/>
      <c r="E38" s="100"/>
      <c r="F38" s="100"/>
      <c r="G38" s="100"/>
      <c r="H38" s="101"/>
    </row>
    <row r="39" spans="1:8" ht="32.25" customHeight="1" x14ac:dyDescent="0.45">
      <c r="A39" s="2"/>
      <c r="B39" s="2"/>
      <c r="C39" s="37"/>
      <c r="D39" s="177" t="s">
        <v>82</v>
      </c>
    </row>
    <row r="40" spans="1:8" s="19" customFormat="1" ht="20.25" x14ac:dyDescent="0.3">
      <c r="A40" s="18"/>
      <c r="B40" s="18"/>
      <c r="C40" s="61" t="str">
        <f>'01.09'!C39</f>
        <v>*Л. Физиология человека*</v>
      </c>
      <c r="D40" s="62">
        <f>'01.09'!D39+COUNTIF(D$8:D$38,$C40)</f>
        <v>3</v>
      </c>
      <c r="E40" s="62">
        <f>'01.09'!E39+COUNTIF(E$8:E$38,$C40)</f>
        <v>3</v>
      </c>
      <c r="F40" s="62">
        <f>'01.09'!F39+COUNTIF(F$8:F$38,$C40)</f>
        <v>3</v>
      </c>
      <c r="G40" s="62">
        <f>'01.09'!G39+COUNTIF(G$8:G$38,$C40)</f>
        <v>3</v>
      </c>
      <c r="H40" s="62">
        <f>'01.09'!H39+COUNTIF(H$8:H$38,$C40)</f>
        <v>3</v>
      </c>
    </row>
    <row r="41" spans="1:8" s="19" customFormat="1" ht="20.25" x14ac:dyDescent="0.3">
      <c r="A41" s="18"/>
      <c r="B41" s="18"/>
      <c r="C41" s="61" t="str">
        <f>'01.09'!C40</f>
        <v>*Пр. Физиология человека*</v>
      </c>
      <c r="D41" s="63">
        <f>'01.09'!D40+COUNTIF(D$8:D$38,$C41)</f>
        <v>2</v>
      </c>
      <c r="E41" s="63">
        <f>'01.09'!E40+COUNTIF(E$8:E$38,$C41)</f>
        <v>2</v>
      </c>
      <c r="F41" s="63">
        <f>'01.09'!F40+COUNTIF(F$8:F$38,$C41)</f>
        <v>2</v>
      </c>
      <c r="G41" s="63">
        <f>'01.09'!G40+COUNTIF(G$8:G$38,$C41)</f>
        <v>2</v>
      </c>
      <c r="H41" s="63">
        <f>'01.09'!H40+COUNTIF(H$8:H$38,$C41)</f>
        <v>2</v>
      </c>
    </row>
    <row r="42" spans="1:8" s="19" customFormat="1" ht="20.25" x14ac:dyDescent="0.3">
      <c r="A42" s="18"/>
      <c r="B42" s="18"/>
      <c r="C42" s="61" t="str">
        <f>'01.09'!C41</f>
        <v>*Л. Элективные дисциплины по ФКиС: Фехтование*</v>
      </c>
      <c r="D42" s="62">
        <f>'01.09'!D41+COUNTIF(D$8:D$38,$C42)</f>
        <v>0</v>
      </c>
      <c r="E42" s="62">
        <f>'01.09'!E41+COUNTIF(E$8:E$38,$C42)</f>
        <v>0</v>
      </c>
      <c r="F42" s="62">
        <f>'01.09'!F41+COUNTIF(F$8:F$38,$C42)</f>
        <v>0</v>
      </c>
      <c r="G42" s="62">
        <f>'01.09'!G41+COUNTIF(G$8:G$38,$C42)</f>
        <v>0</v>
      </c>
      <c r="H42" s="62">
        <f>'01.09'!H41+COUNTIF(H$8:H$38,$C42)</f>
        <v>0</v>
      </c>
    </row>
    <row r="43" spans="1:8" s="19" customFormat="1" ht="20.25" x14ac:dyDescent="0.3">
      <c r="A43" s="18"/>
      <c r="B43" s="18"/>
      <c r="C43" s="61" t="str">
        <f>'01.09'!C42</f>
        <v>*Пр. Элективные дисциплины по ФКиС: Фехтование*</v>
      </c>
      <c r="D43" s="63">
        <f>'01.09'!D42+COUNTIF(D$8:D$38,$C43)</f>
        <v>0</v>
      </c>
      <c r="E43" s="63">
        <f>'01.09'!E42+COUNTIF(E$8:E$38,$C43)</f>
        <v>0</v>
      </c>
      <c r="F43" s="63">
        <f>'01.09'!F42+COUNTIF(F$8:F$38,$C43)</f>
        <v>0</v>
      </c>
      <c r="G43" s="63">
        <f>'01.09'!G42+COUNTIF(G$8:G$38,$C43)</f>
        <v>0</v>
      </c>
      <c r="H43" s="63">
        <f>'01.09'!H42+COUNTIF(H$8:H$38,$C43)</f>
        <v>0</v>
      </c>
    </row>
    <row r="44" spans="1:8" s="19" customFormat="1" ht="20.25" x14ac:dyDescent="0.3">
      <c r="A44" s="18"/>
      <c r="B44" s="18"/>
      <c r="C44" s="61" t="str">
        <f>'01.09'!C43</f>
        <v>*Л. Педагогика физической культуры и спорта*</v>
      </c>
      <c r="D44" s="62">
        <f>'01.09'!D43+COUNTIF(D$8:D$38,$C44)</f>
        <v>2</v>
      </c>
      <c r="E44" s="62">
        <f>'01.09'!E43+COUNTIF(E$8:E$38,$C44)</f>
        <v>2</v>
      </c>
      <c r="F44" s="62">
        <f>'01.09'!F43+COUNTIF(F$8:F$38,$C44)</f>
        <v>2</v>
      </c>
      <c r="G44" s="62">
        <f>'01.09'!G43+COUNTIF(G$8:G$38,$C44)</f>
        <v>2</v>
      </c>
      <c r="H44" s="62">
        <f>'01.09'!H43+COUNTIF(H$8:H$38,$C44)</f>
        <v>2</v>
      </c>
    </row>
    <row r="45" spans="1:8" s="19" customFormat="1" ht="20.25" x14ac:dyDescent="0.3">
      <c r="A45" s="18"/>
      <c r="B45" s="18"/>
      <c r="C45" s="61" t="str">
        <f>'01.09'!C44</f>
        <v>*Пр. Педагогика физической культуры и спорта*</v>
      </c>
      <c r="D45" s="63">
        <f>'01.09'!D44+COUNTIF(D$8:D$38,$C45)</f>
        <v>0</v>
      </c>
      <c r="E45" s="63">
        <f>'01.09'!E44+COUNTIF(E$8:E$38,$C45)</f>
        <v>0</v>
      </c>
      <c r="F45" s="63">
        <f>'01.09'!F44+COUNTIF(F$8:F$38,$C45)</f>
        <v>0</v>
      </c>
      <c r="G45" s="63">
        <f>'01.09'!G44+COUNTIF(G$8:G$38,$C45)</f>
        <v>0</v>
      </c>
      <c r="H45" s="63">
        <f>'01.09'!H44+COUNTIF(H$8:H$38,$C45)</f>
        <v>0</v>
      </c>
    </row>
    <row r="46" spans="1:8" s="19" customFormat="1" ht="20.25" x14ac:dyDescent="0.3">
      <c r="A46" s="18"/>
      <c r="B46" s="18"/>
      <c r="C46" s="61" t="str">
        <f>'01.09'!C45</f>
        <v>*Л. Теория и методика*</v>
      </c>
      <c r="D46" s="62">
        <f>'01.09'!D45+COUNTIF(D$8:D$38,$C46)</f>
        <v>1</v>
      </c>
      <c r="E46" s="62">
        <f>'01.09'!E45+COUNTIF(E$8:E$38,$C46)</f>
        <v>1</v>
      </c>
      <c r="F46" s="62">
        <f>'01.09'!F45+COUNTIF(F$8:F$38,$C46)</f>
        <v>1</v>
      </c>
      <c r="G46" s="62">
        <f>'01.09'!G45+COUNTIF(G$8:G$38,$C46)</f>
        <v>1</v>
      </c>
      <c r="H46" s="62">
        <f>'01.09'!H45+COUNTIF(H$8:H$38,$C46)</f>
        <v>1</v>
      </c>
    </row>
    <row r="47" spans="1:8" s="19" customFormat="1" ht="20.25" x14ac:dyDescent="0.3">
      <c r="A47" s="18"/>
      <c r="B47" s="18"/>
      <c r="C47" s="61" t="str">
        <f>'01.09'!C46</f>
        <v>*Пр. Теория и методика*</v>
      </c>
      <c r="D47" s="63">
        <f>'01.09'!D46+COUNTIF(D$8:D$38,$C47)</f>
        <v>3</v>
      </c>
      <c r="E47" s="63">
        <f>'01.09'!E46+COUNTIF(E$8:E$38,$C47)</f>
        <v>3</v>
      </c>
      <c r="F47" s="63">
        <f>'01.09'!F46+COUNTIF(F$8:F$38,$C47)</f>
        <v>3</v>
      </c>
      <c r="G47" s="63">
        <f>'01.09'!G46+COUNTIF(G$8:G$38,$C47)</f>
        <v>3</v>
      </c>
      <c r="H47" s="63">
        <f>'01.09'!H46+COUNTIF(H$8:H$38,$C47)</f>
        <v>3</v>
      </c>
    </row>
    <row r="48" spans="1:8" s="19" customFormat="1" ht="20.25" x14ac:dyDescent="0.3">
      <c r="A48" s="18"/>
      <c r="B48" s="18"/>
      <c r="C48" s="61" t="str">
        <f>'01.09'!C47</f>
        <v>*Л.  Теория и методика физической культуры*</v>
      </c>
      <c r="D48" s="62">
        <f>'01.09'!D47+COUNTIF(D$8:D$38,$C48)</f>
        <v>1</v>
      </c>
      <c r="E48" s="62">
        <f>'01.09'!E47+COUNTIF(E$8:E$38,$C48)</f>
        <v>1</v>
      </c>
      <c r="F48" s="62">
        <f>'01.09'!F47+COUNTIF(F$8:F$38,$C48)</f>
        <v>1</v>
      </c>
      <c r="G48" s="62">
        <f>'01.09'!G47+COUNTIF(G$8:G$38,$C48)</f>
        <v>1</v>
      </c>
      <c r="H48" s="62">
        <f>'01.09'!H47+COUNTIF(H$8:H$38,$C48)</f>
        <v>1</v>
      </c>
    </row>
    <row r="49" spans="1:8" s="19" customFormat="1" ht="20.25" x14ac:dyDescent="0.3">
      <c r="A49" s="18"/>
      <c r="B49" s="18"/>
      <c r="C49" s="61" t="str">
        <f>'01.09'!C48</f>
        <v>*Пр.  Теория и методика физической культуры*</v>
      </c>
      <c r="D49" s="63">
        <f>'01.09'!D48+COUNTIF(D$8:D$38,$C49)</f>
        <v>0</v>
      </c>
      <c r="E49" s="63">
        <f>'01.09'!E48+COUNTIF(E$8:E$38,$C49)</f>
        <v>0</v>
      </c>
      <c r="F49" s="63">
        <f>'01.09'!F48+COUNTIF(F$8:F$38,$C49)</f>
        <v>0</v>
      </c>
      <c r="G49" s="63">
        <f>'01.09'!G48+COUNTIF(G$8:G$38,$C49)</f>
        <v>0</v>
      </c>
      <c r="H49" s="63">
        <f>'01.09'!H48+COUNTIF(H$8:H$38,$C49)</f>
        <v>0</v>
      </c>
    </row>
    <row r="50" spans="1:8" s="19" customFormat="1" ht="20.25" x14ac:dyDescent="0.3">
      <c r="A50" s="18"/>
      <c r="B50" s="18"/>
      <c r="C50" s="61" t="str">
        <f>'01.09'!C49</f>
        <v>*Л. Плавание*</v>
      </c>
      <c r="D50" s="62">
        <f>'01.09'!D49+COUNTIF(D$8:D$38,$C50)</f>
        <v>2</v>
      </c>
      <c r="E50" s="62">
        <f>'01.09'!E49+COUNTIF(E$8:E$38,$C50)</f>
        <v>2</v>
      </c>
      <c r="F50" s="62">
        <f>'01.09'!F49+COUNTIF(F$8:F$38,$C50)</f>
        <v>2</v>
      </c>
      <c r="G50" s="62">
        <f>'01.09'!G49+COUNTIF(G$8:G$38,$C50)</f>
        <v>2</v>
      </c>
      <c r="H50" s="62">
        <f>'01.09'!H49+COUNTIF(H$8:H$38,$C50)</f>
        <v>2</v>
      </c>
    </row>
    <row r="51" spans="1:8" s="19" customFormat="1" ht="20.25" x14ac:dyDescent="0.3">
      <c r="A51" s="18"/>
      <c r="B51" s="18"/>
      <c r="C51" s="61" t="str">
        <f>'01.09'!C50</f>
        <v>*Пр. Плавание*</v>
      </c>
      <c r="D51" s="63">
        <f>'01.09'!D50+COUNTIF(D$8:D$38,$C51)</f>
        <v>2</v>
      </c>
      <c r="E51" s="63">
        <f>'01.09'!E50+COUNTIF(E$8:E$38,$C51)</f>
        <v>2</v>
      </c>
      <c r="F51" s="63">
        <f>'01.09'!F50+COUNTIF(F$8:F$38,$C51)</f>
        <v>2</v>
      </c>
      <c r="G51" s="63">
        <f>'01.09'!G50+COUNTIF(G$8:G$38,$C51)</f>
        <v>2</v>
      </c>
      <c r="H51" s="63">
        <f>'01.09'!H50+COUNTIF(H$8:H$38,$C51)</f>
        <v>2</v>
      </c>
    </row>
    <row r="52" spans="1:8" s="19" customFormat="1" ht="20.25" x14ac:dyDescent="0.3">
      <c r="A52" s="18"/>
      <c r="B52" s="18"/>
      <c r="C52" s="61" t="str">
        <f>'01.09'!C51</f>
        <v>*Л. Подвижные игры в спорте и образовании*</v>
      </c>
      <c r="D52" s="62">
        <f>'01.09'!D51+COUNTIF(D$8:D$38,$C52)</f>
        <v>1</v>
      </c>
      <c r="E52" s="62">
        <f>'01.09'!E51+COUNTIF(E$8:E$38,$C52)</f>
        <v>1</v>
      </c>
      <c r="F52" s="62">
        <f>'01.09'!F51+COUNTIF(F$8:F$38,$C52)</f>
        <v>1</v>
      </c>
      <c r="G52" s="62">
        <f>'01.09'!G51+COUNTIF(G$8:G$38,$C52)</f>
        <v>1</v>
      </c>
      <c r="H52" s="62">
        <f>'01.09'!H51+COUNTIF(H$8:H$38,$C52)</f>
        <v>1</v>
      </c>
    </row>
    <row r="53" spans="1:8" s="19" customFormat="1" ht="20.25" x14ac:dyDescent="0.3">
      <c r="A53" s="18"/>
      <c r="B53" s="18"/>
      <c r="C53" s="61" t="str">
        <f>'01.09'!C52</f>
        <v>*Пр. Подвижные игры в спорте и образовании*</v>
      </c>
      <c r="D53" s="63">
        <f>'01.09'!D52+COUNTIF(D$8:D$38,$C53)</f>
        <v>1</v>
      </c>
      <c r="E53" s="63">
        <f>'01.09'!E52+COUNTIF(E$8:E$38,$C53)</f>
        <v>1</v>
      </c>
      <c r="F53" s="63">
        <f>'01.09'!F52+COUNTIF(F$8:F$38,$C53)</f>
        <v>1</v>
      </c>
      <c r="G53" s="63">
        <f>'01.09'!G52+COUNTIF(G$8:G$38,$C53)</f>
        <v>1</v>
      </c>
      <c r="H53" s="63">
        <f>'01.09'!H52+COUNTIF(H$8:H$38,$C53)</f>
        <v>1</v>
      </c>
    </row>
    <row r="54" spans="1:8" s="19" customFormat="1" ht="20.25" x14ac:dyDescent="0.3">
      <c r="A54" s="18"/>
      <c r="B54" s="18"/>
      <c r="C54" s="61" t="str">
        <f>'01.09'!C53</f>
        <v>*Л. Самооборона (самбо)*</v>
      </c>
      <c r="D54" s="62">
        <f>'01.09'!D53+COUNTIF(D$8:D$38,$C54)</f>
        <v>1</v>
      </c>
      <c r="E54" s="62">
        <f>'01.09'!E53+COUNTIF(E$8:E$38,$C54)</f>
        <v>1</v>
      </c>
      <c r="F54" s="62">
        <f>'01.09'!F53+COUNTIF(F$8:F$38,$C54)</f>
        <v>1</v>
      </c>
      <c r="G54" s="62">
        <f>'01.09'!G53+COUNTIF(G$8:G$38,$C54)</f>
        <v>1</v>
      </c>
      <c r="H54" s="62">
        <f>'01.09'!H53+COUNTIF(H$8:H$38,$C54)</f>
        <v>1</v>
      </c>
    </row>
    <row r="55" spans="1:8" s="19" customFormat="1" ht="20.25" x14ac:dyDescent="0.3">
      <c r="A55" s="18"/>
      <c r="B55" s="18"/>
      <c r="C55" s="61" t="str">
        <f>'01.09'!C54</f>
        <v>*Пр. Самооборона (самбо)*</v>
      </c>
      <c r="D55" s="63">
        <f>'01.09'!D54+COUNTIF(D$8:D$38,$C55)</f>
        <v>1</v>
      </c>
      <c r="E55" s="63">
        <f>'01.09'!E54+COUNTIF(E$8:E$38,$C55)</f>
        <v>1</v>
      </c>
      <c r="F55" s="63">
        <f>'01.09'!F54+COUNTIF(F$8:F$38,$C55)</f>
        <v>1</v>
      </c>
      <c r="G55" s="63">
        <f>'01.09'!G54+COUNTIF(G$8:G$38,$C55)</f>
        <v>1</v>
      </c>
      <c r="H55" s="63">
        <f>'01.09'!H54+COUNTIF(H$8:H$38,$C55)</f>
        <v>1</v>
      </c>
    </row>
    <row r="56" spans="1:8" s="19" customFormat="1" ht="20.25" x14ac:dyDescent="0.3">
      <c r="A56" s="18"/>
      <c r="B56" s="18"/>
      <c r="C56" s="61" t="str">
        <f>'01.09'!C55</f>
        <v>*Л. Методика реализации программ*</v>
      </c>
      <c r="D56" s="62">
        <f>'01.09'!D55+COUNTIF(D$8:D$38,$C56)</f>
        <v>0</v>
      </c>
      <c r="E56" s="62">
        <f>'01.09'!E55+COUNTIF(E$8:E$38,$C56)</f>
        <v>0</v>
      </c>
      <c r="F56" s="62">
        <f>'01.09'!F55+COUNTIF(F$8:F$38,$C56)</f>
        <v>0</v>
      </c>
      <c r="G56" s="62">
        <f>'01.09'!G55+COUNTIF(G$8:G$38,$C56)</f>
        <v>0</v>
      </c>
      <c r="H56" s="62">
        <f>'01.09'!H55+COUNTIF(H$8:H$38,$C56)</f>
        <v>0</v>
      </c>
    </row>
    <row r="57" spans="1:8" s="19" customFormat="1" ht="20.25" x14ac:dyDescent="0.3">
      <c r="A57" s="18"/>
      <c r="B57" s="18"/>
      <c r="C57" s="61" t="str">
        <f>'01.09'!C56</f>
        <v>*Пр. Методика реализации программ*</v>
      </c>
      <c r="D57" s="63">
        <f>'01.09'!D56+COUNTIF(D$8:D$38,$C57)</f>
        <v>0</v>
      </c>
      <c r="E57" s="63">
        <f>'01.09'!E56+COUNTIF(E$8:E$38,$C57)</f>
        <v>0</v>
      </c>
      <c r="F57" s="63">
        <f>'01.09'!F56+COUNTIF(F$8:F$38,$C57)</f>
        <v>0</v>
      </c>
      <c r="G57" s="63">
        <f>'01.09'!G56+COUNTIF(G$8:G$38,$C57)</f>
        <v>0</v>
      </c>
      <c r="H57" s="63">
        <f>'01.09'!H56+COUNTIF(H$8:H$38,$C57)</f>
        <v>0</v>
      </c>
    </row>
    <row r="58" spans="1:8" s="19" customFormat="1" ht="20.25" x14ac:dyDescent="0.3">
      <c r="A58" s="18"/>
      <c r="B58" s="18"/>
      <c r="C58" s="61" t="str">
        <f>'01.09'!C57</f>
        <v>*Л. Методика преподавания*</v>
      </c>
      <c r="D58" s="62">
        <f>'01.09'!D57+COUNTIF(D$8:D$38,$C58)</f>
        <v>1</v>
      </c>
      <c r="E58" s="62">
        <f>'01.09'!E57+COUNTIF(E$8:E$38,$C58)</f>
        <v>1</v>
      </c>
      <c r="F58" s="62">
        <f>'01.09'!F57+COUNTIF(F$8:F$38,$C58)</f>
        <v>1</v>
      </c>
      <c r="G58" s="62">
        <f>'01.09'!G57+COUNTIF(G$8:G$38,$C58)</f>
        <v>1</v>
      </c>
      <c r="H58" s="62">
        <f>'01.09'!H57+COUNTIF(H$8:H$38,$C58)</f>
        <v>1</v>
      </c>
    </row>
    <row r="59" spans="1:8" s="19" customFormat="1" ht="20.25" x14ac:dyDescent="0.3">
      <c r="A59" s="18"/>
      <c r="B59" s="18"/>
      <c r="C59" s="61" t="str">
        <f>'01.09'!C58</f>
        <v>*Пр. Методика преподавания*</v>
      </c>
      <c r="D59" s="63">
        <f>'01.09'!D58+COUNTIF(D$8:D$38,$C59)</f>
        <v>0</v>
      </c>
      <c r="E59" s="63">
        <f>'01.09'!E58+COUNTIF(E$8:E$38,$C59)</f>
        <v>0</v>
      </c>
      <c r="F59" s="63">
        <f>'01.09'!F58+COUNTIF(F$8:F$38,$C59)</f>
        <v>0</v>
      </c>
      <c r="G59" s="63">
        <f>'01.09'!G58+COUNTIF(G$8:G$38,$C59)</f>
        <v>0</v>
      </c>
      <c r="H59" s="63">
        <f>'01.09'!H58+COUNTIF(H$8:H$38,$C59)</f>
        <v>0</v>
      </c>
    </row>
    <row r="60" spans="1:8" s="19" customFormat="1" ht="20.25" x14ac:dyDescent="0.3">
      <c r="A60" s="18"/>
      <c r="B60" s="18"/>
      <c r="C60" s="61">
        <f>'01.09'!C59</f>
        <v>0</v>
      </c>
      <c r="D60" s="62">
        <f>'01.09'!D59+COUNTIF(D$8:D$38,$C60)</f>
        <v>0</v>
      </c>
      <c r="E60" s="62">
        <f>'01.09'!E59+COUNTIF(E$8:E$38,$C60)</f>
        <v>0</v>
      </c>
      <c r="F60" s="62">
        <f>'01.09'!F59+COUNTIF(F$8:F$38,$C60)</f>
        <v>0</v>
      </c>
      <c r="G60" s="62">
        <f>'01.09'!G59+COUNTIF(G$8:G$38,$C60)</f>
        <v>0</v>
      </c>
      <c r="H60" s="62">
        <f>'01.09'!H59+COUNTIF(H$8:H$38,$C60)</f>
        <v>0</v>
      </c>
    </row>
    <row r="61" spans="1:8" s="19" customFormat="1" ht="20.25" x14ac:dyDescent="0.3">
      <c r="A61" s="18"/>
      <c r="B61" s="18"/>
      <c r="C61" s="61">
        <f>'01.09'!C60</f>
        <v>0</v>
      </c>
      <c r="D61" s="63">
        <f>'01.09'!D60+COUNTIF(D$8:D$38,$C61)</f>
        <v>0</v>
      </c>
      <c r="E61" s="63">
        <f>'01.09'!E60+COUNTIF(E$8:E$38,$C61)</f>
        <v>0</v>
      </c>
      <c r="F61" s="63">
        <f>'01.09'!F60+COUNTIF(F$8:F$38,$C61)</f>
        <v>0</v>
      </c>
      <c r="G61" s="63">
        <f>'01.09'!G60+COUNTIF(G$8:G$38,$C61)</f>
        <v>0</v>
      </c>
      <c r="H61" s="63">
        <f>'01.09'!H60+COUNTIF(H$8:H$38,$C61)</f>
        <v>0</v>
      </c>
    </row>
    <row r="62" spans="1:8" ht="20.25" x14ac:dyDescent="0.3">
      <c r="A62" s="2"/>
      <c r="B62" s="2"/>
      <c r="C62" s="61">
        <f>'01.09'!C61</f>
        <v>0</v>
      </c>
      <c r="D62" s="62">
        <f>'01.09'!D61+COUNTIF(D$8:D$38,$C62)</f>
        <v>0</v>
      </c>
      <c r="E62" s="62">
        <f>'01.09'!E61+COUNTIF(E$8:E$38,$C62)</f>
        <v>0</v>
      </c>
      <c r="F62" s="62">
        <f>'01.09'!F61+COUNTIF(F$8:F$38,$C62)</f>
        <v>0</v>
      </c>
      <c r="G62" s="62">
        <f>'01.09'!G61+COUNTIF(G$8:G$38,$C62)</f>
        <v>0</v>
      </c>
      <c r="H62" s="62">
        <f>'01.09'!H61+COUNTIF(H$8:H$38,$C62)</f>
        <v>0</v>
      </c>
    </row>
    <row r="63" spans="1:8" ht="20.25" x14ac:dyDescent="0.3">
      <c r="A63" s="2"/>
      <c r="B63" s="2"/>
      <c r="C63" s="61">
        <f>'01.09'!C62</f>
        <v>0</v>
      </c>
      <c r="D63" s="63">
        <f>'01.09'!D62+COUNTIF(D$8:D$38,$C63)</f>
        <v>0</v>
      </c>
      <c r="E63" s="63">
        <f>'01.09'!E62+COUNTIF(E$8:E$38,$C63)</f>
        <v>0</v>
      </c>
      <c r="F63" s="63">
        <f>'01.09'!F62+COUNTIF(F$8:F$38,$C63)</f>
        <v>0</v>
      </c>
      <c r="G63" s="63">
        <f>'01.09'!G62+COUNTIF(G$8:G$38,$C63)</f>
        <v>0</v>
      </c>
      <c r="H63" s="63">
        <f>'01.09'!H62+COUNTIF(H$8:H$38,$C63)</f>
        <v>0</v>
      </c>
    </row>
    <row r="64" spans="1:8" ht="20.25" x14ac:dyDescent="0.3">
      <c r="A64" s="2"/>
      <c r="B64" s="2"/>
      <c r="C64" s="61">
        <f>'01.09'!C63</f>
        <v>0</v>
      </c>
      <c r="D64" s="62">
        <f>'01.09'!D63+COUNTIF(D$8:D$38,$C64)</f>
        <v>0</v>
      </c>
      <c r="E64" s="62">
        <f>'01.09'!E63+COUNTIF(E$8:E$38,$C64)</f>
        <v>0</v>
      </c>
      <c r="F64" s="62">
        <f>'01.09'!F63+COUNTIF(F$8:F$38,$C64)</f>
        <v>0</v>
      </c>
      <c r="G64" s="62">
        <f>'01.09'!G63+COUNTIF(G$8:G$38,$C64)</f>
        <v>0</v>
      </c>
      <c r="H64" s="62">
        <f>'01.09'!H63+COUNTIF(H$8:H$38,$C64)</f>
        <v>0</v>
      </c>
    </row>
    <row r="65" spans="1:8" ht="20.25" x14ac:dyDescent="0.3">
      <c r="A65" s="2"/>
      <c r="B65" s="2"/>
      <c r="C65" s="61">
        <f>'01.09'!C64</f>
        <v>0</v>
      </c>
      <c r="D65" s="63">
        <f>'01.09'!D64+COUNTIF(D$8:D$38,$C65)</f>
        <v>0</v>
      </c>
      <c r="E65" s="63">
        <f>'01.09'!E64+COUNTIF(E$8:E$38,$C65)</f>
        <v>0</v>
      </c>
      <c r="F65" s="63">
        <f>'01.09'!F64+COUNTIF(F$8:F$38,$C65)</f>
        <v>0</v>
      </c>
      <c r="G65" s="63">
        <f>'01.09'!G64+COUNTIF(G$8:G$38,$C65)</f>
        <v>0</v>
      </c>
      <c r="H65" s="63">
        <f>'01.09'!H64+COUNTIF(H$8:H$38,$C65)</f>
        <v>0</v>
      </c>
    </row>
    <row r="66" spans="1:8" ht="20.25" x14ac:dyDescent="0.3">
      <c r="A66" s="2"/>
      <c r="B66" s="2"/>
      <c r="C66" s="61">
        <f>'01.09'!C65</f>
        <v>0</v>
      </c>
      <c r="D66" s="62">
        <f>'01.09'!D65+COUNTIF(D$8:D$38,$C66)</f>
        <v>0</v>
      </c>
      <c r="E66" s="62">
        <f>'01.09'!E65+COUNTIF(E$8:E$38,$C66)</f>
        <v>0</v>
      </c>
      <c r="F66" s="62">
        <f>'01.09'!F65+COUNTIF(F$8:F$38,$C66)</f>
        <v>0</v>
      </c>
      <c r="G66" s="62">
        <f>'01.09'!G65+COUNTIF(G$8:G$38,$C66)</f>
        <v>0</v>
      </c>
      <c r="H66" s="62">
        <f>'01.09'!H65+COUNTIF(H$8:H$38,$C66)</f>
        <v>0</v>
      </c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</sheetData>
  <mergeCells count="20">
    <mergeCell ref="B1:H1"/>
    <mergeCell ref="B2:H2"/>
    <mergeCell ref="B3:H3"/>
    <mergeCell ref="B4:H4"/>
    <mergeCell ref="B19:B23"/>
    <mergeCell ref="A5:H5"/>
    <mergeCell ref="A19:A23"/>
    <mergeCell ref="C6:C7"/>
    <mergeCell ref="B6:B7"/>
    <mergeCell ref="A8:A12"/>
    <mergeCell ref="A13:A18"/>
    <mergeCell ref="A6:A7"/>
    <mergeCell ref="B8:B12"/>
    <mergeCell ref="B13:B18"/>
    <mergeCell ref="B34:B38"/>
    <mergeCell ref="A34:A38"/>
    <mergeCell ref="A24:A28"/>
    <mergeCell ref="A29:A33"/>
    <mergeCell ref="B24:B28"/>
    <mergeCell ref="B29:B33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8" fitToWidth="0" fitToHeight="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K70"/>
  <sheetViews>
    <sheetView view="pageBreakPreview" zoomScale="40" zoomScaleNormal="40" zoomScaleSheetLayoutView="40" zoomScalePageLayoutView="40" workbookViewId="0">
      <selection activeCell="G9" sqref="G9"/>
    </sheetView>
  </sheetViews>
  <sheetFormatPr defaultRowHeight="15" x14ac:dyDescent="0.25"/>
  <cols>
    <col min="1" max="2" width="4.42578125" customWidth="1"/>
    <col min="3" max="3" width="24.85546875" customWidth="1"/>
    <col min="4" max="4" width="62.5703125" customWidth="1"/>
    <col min="5" max="5" width="66.85546875" customWidth="1"/>
    <col min="6" max="6" width="62.5703125" customWidth="1"/>
    <col min="7" max="8" width="58.5703125" customWidth="1"/>
  </cols>
  <sheetData>
    <row r="1" spans="1:9" ht="30" x14ac:dyDescent="0.3">
      <c r="A1" s="178"/>
      <c r="B1" s="760" t="s">
        <v>140</v>
      </c>
      <c r="C1" s="760"/>
      <c r="D1" s="760"/>
      <c r="E1" s="760"/>
      <c r="F1" s="760"/>
      <c r="G1" s="760"/>
      <c r="H1" s="760"/>
    </row>
    <row r="2" spans="1:9" ht="30" x14ac:dyDescent="0.3">
      <c r="A2" s="179"/>
      <c r="B2" s="760" t="s">
        <v>87</v>
      </c>
      <c r="C2" s="760"/>
      <c r="D2" s="760"/>
      <c r="E2" s="760"/>
      <c r="F2" s="760"/>
      <c r="G2" s="760"/>
      <c r="H2" s="760"/>
    </row>
    <row r="3" spans="1:9" ht="30" customHeight="1" x14ac:dyDescent="0.25">
      <c r="A3" s="229"/>
      <c r="B3" s="787" t="s">
        <v>81</v>
      </c>
      <c r="C3" s="787"/>
      <c r="D3" s="787"/>
      <c r="E3" s="787"/>
      <c r="F3" s="787"/>
      <c r="G3" s="787"/>
      <c r="H3" s="787"/>
    </row>
    <row r="4" spans="1:9" ht="31.5" customHeight="1" x14ac:dyDescent="0.25">
      <c r="A4" s="180"/>
      <c r="B4" s="760" t="s">
        <v>142</v>
      </c>
      <c r="C4" s="760"/>
      <c r="D4" s="760"/>
      <c r="E4" s="760"/>
      <c r="F4" s="760"/>
      <c r="G4" s="760"/>
      <c r="H4" s="760"/>
    </row>
    <row r="5" spans="1:9" ht="32.25" customHeight="1" thickBot="1" x14ac:dyDescent="0.3">
      <c r="A5" s="682" t="s">
        <v>112</v>
      </c>
      <c r="B5" s="682"/>
      <c r="C5" s="682"/>
      <c r="D5" s="682"/>
      <c r="E5" s="682"/>
      <c r="F5" s="682"/>
      <c r="G5" s="682"/>
      <c r="H5" s="682"/>
    </row>
    <row r="6" spans="1:9" ht="34.5" customHeight="1" thickBot="1" x14ac:dyDescent="0.3">
      <c r="A6" s="762" t="s">
        <v>54</v>
      </c>
      <c r="B6" s="762" t="s">
        <v>14</v>
      </c>
      <c r="C6" s="764" t="s">
        <v>55</v>
      </c>
      <c r="D6" s="241" t="s">
        <v>5</v>
      </c>
      <c r="E6" s="242" t="s">
        <v>6</v>
      </c>
      <c r="F6" s="242" t="s">
        <v>7</v>
      </c>
      <c r="G6" s="242" t="s">
        <v>8</v>
      </c>
      <c r="H6" s="243" t="s">
        <v>9</v>
      </c>
    </row>
    <row r="7" spans="1:9" ht="84" customHeight="1" thickBot="1" x14ac:dyDescent="0.3">
      <c r="A7" s="763"/>
      <c r="B7" s="763"/>
      <c r="C7" s="765"/>
      <c r="D7" s="300" t="s">
        <v>106</v>
      </c>
      <c r="E7" s="370" t="s">
        <v>136</v>
      </c>
      <c r="F7" s="370" t="s">
        <v>107</v>
      </c>
      <c r="G7" s="370" t="s">
        <v>90</v>
      </c>
      <c r="H7" s="449" t="s">
        <v>78</v>
      </c>
    </row>
    <row r="8" spans="1:9" ht="166.5" x14ac:dyDescent="0.25">
      <c r="A8" s="745" t="s">
        <v>0</v>
      </c>
      <c r="B8" s="792">
        <v>46279</v>
      </c>
      <c r="C8" s="79" t="s">
        <v>10</v>
      </c>
      <c r="D8" s="316" t="s">
        <v>263</v>
      </c>
      <c r="E8" s="299" t="s">
        <v>267</v>
      </c>
      <c r="F8" s="299" t="s">
        <v>237</v>
      </c>
      <c r="G8" s="361" t="s">
        <v>250</v>
      </c>
      <c r="H8" s="362" t="s">
        <v>257</v>
      </c>
    </row>
    <row r="9" spans="1:9" ht="166.5" x14ac:dyDescent="0.25">
      <c r="A9" s="746"/>
      <c r="B9" s="757"/>
      <c r="C9" s="80" t="s">
        <v>11</v>
      </c>
      <c r="D9" s="418" t="s">
        <v>263</v>
      </c>
      <c r="E9" s="383" t="s">
        <v>268</v>
      </c>
      <c r="F9" s="383" t="s">
        <v>237</v>
      </c>
      <c r="G9" s="383" t="s">
        <v>300</v>
      </c>
      <c r="H9" s="414" t="s">
        <v>252</v>
      </c>
    </row>
    <row r="10" spans="1:9" ht="55.5" x14ac:dyDescent="0.25">
      <c r="A10" s="746"/>
      <c r="B10" s="757"/>
      <c r="C10" s="80" t="s">
        <v>12</v>
      </c>
      <c r="D10" s="418" t="s">
        <v>264</v>
      </c>
      <c r="E10" s="383"/>
      <c r="F10" s="383"/>
      <c r="G10" s="460"/>
      <c r="H10" s="510"/>
      <c r="I10" s="3"/>
    </row>
    <row r="11" spans="1:9" ht="55.5" x14ac:dyDescent="0.25">
      <c r="A11" s="746"/>
      <c r="B11" s="757"/>
      <c r="C11" s="80" t="s">
        <v>13</v>
      </c>
      <c r="D11" s="418" t="s">
        <v>264</v>
      </c>
      <c r="E11" s="383"/>
      <c r="F11" s="383"/>
      <c r="G11" s="460"/>
      <c r="H11" s="510"/>
    </row>
    <row r="12" spans="1:9" ht="48.75" customHeight="1" thickBot="1" x14ac:dyDescent="0.3">
      <c r="A12" s="746"/>
      <c r="B12" s="757"/>
      <c r="C12" s="81" t="s">
        <v>15</v>
      </c>
      <c r="D12" s="363"/>
      <c r="E12" s="330"/>
      <c r="F12" s="330"/>
      <c r="G12" s="330"/>
      <c r="H12" s="350"/>
    </row>
    <row r="13" spans="1:9" ht="99.75" customHeight="1" x14ac:dyDescent="0.25">
      <c r="A13" s="746" t="s">
        <v>1</v>
      </c>
      <c r="B13" s="748">
        <f>B8+1</f>
        <v>46280</v>
      </c>
      <c r="C13" s="79" t="s">
        <v>10</v>
      </c>
      <c r="D13" s="469" t="s">
        <v>272</v>
      </c>
      <c r="E13" s="367" t="s">
        <v>272</v>
      </c>
      <c r="F13" s="367" t="s">
        <v>272</v>
      </c>
      <c r="G13" s="303" t="s">
        <v>272</v>
      </c>
      <c r="H13" s="321" t="s">
        <v>272</v>
      </c>
    </row>
    <row r="14" spans="1:9" ht="81" customHeight="1" x14ac:dyDescent="0.25">
      <c r="A14" s="746"/>
      <c r="B14" s="746"/>
      <c r="C14" s="80" t="s">
        <v>11</v>
      </c>
      <c r="D14" s="374" t="s">
        <v>240</v>
      </c>
      <c r="E14" s="369" t="s">
        <v>240</v>
      </c>
      <c r="F14" s="369" t="s">
        <v>240</v>
      </c>
      <c r="G14" s="279" t="s">
        <v>240</v>
      </c>
      <c r="H14" s="280" t="s">
        <v>240</v>
      </c>
    </row>
    <row r="15" spans="1:9" ht="109.5" customHeight="1" x14ac:dyDescent="0.25">
      <c r="A15" s="746"/>
      <c r="B15" s="746"/>
      <c r="C15" s="80" t="s">
        <v>12</v>
      </c>
      <c r="D15" s="517" t="s">
        <v>257</v>
      </c>
      <c r="E15" s="279" t="s">
        <v>248</v>
      </c>
      <c r="F15" s="279"/>
      <c r="G15" s="279" t="s">
        <v>238</v>
      </c>
      <c r="H15" s="510" t="s">
        <v>239</v>
      </c>
    </row>
    <row r="16" spans="1:9" ht="109.5" customHeight="1" x14ac:dyDescent="0.25">
      <c r="A16" s="746"/>
      <c r="B16" s="746"/>
      <c r="C16" s="80" t="s">
        <v>13</v>
      </c>
      <c r="D16" s="517"/>
      <c r="E16" s="279" t="s">
        <v>257</v>
      </c>
      <c r="F16" s="279"/>
      <c r="G16" s="279" t="s">
        <v>238</v>
      </c>
      <c r="H16" s="282" t="s">
        <v>266</v>
      </c>
    </row>
    <row r="17" spans="1:11" ht="81" customHeight="1" x14ac:dyDescent="0.25">
      <c r="A17" s="746"/>
      <c r="B17" s="746"/>
      <c r="C17" s="379" t="s">
        <v>15</v>
      </c>
      <c r="D17" s="524"/>
      <c r="E17" s="546"/>
      <c r="F17" s="546"/>
      <c r="G17" s="546"/>
      <c r="H17" s="518"/>
    </row>
    <row r="18" spans="1:11" ht="28.5" thickBot="1" x14ac:dyDescent="0.3">
      <c r="A18" s="746"/>
      <c r="B18" s="746"/>
      <c r="C18" s="127" t="s">
        <v>60</v>
      </c>
      <c r="D18" s="324"/>
      <c r="E18" s="383"/>
      <c r="F18" s="325"/>
      <c r="G18" s="325"/>
      <c r="H18" s="326"/>
      <c r="K18" s="3"/>
    </row>
    <row r="19" spans="1:11" ht="88.5" customHeight="1" x14ac:dyDescent="0.25">
      <c r="A19" s="746" t="s">
        <v>2</v>
      </c>
      <c r="B19" s="748">
        <f>B13+1</f>
        <v>46281</v>
      </c>
      <c r="C19" s="79" t="s">
        <v>10</v>
      </c>
      <c r="D19" s="302" t="s">
        <v>254</v>
      </c>
      <c r="E19" s="303" t="s">
        <v>281</v>
      </c>
      <c r="F19" s="303" t="s">
        <v>258</v>
      </c>
      <c r="G19" s="303"/>
      <c r="H19" s="321"/>
    </row>
    <row r="20" spans="1:11" ht="81" customHeight="1" x14ac:dyDescent="0.25">
      <c r="A20" s="746"/>
      <c r="B20" s="746"/>
      <c r="C20" s="80" t="s">
        <v>11</v>
      </c>
      <c r="D20" s="278" t="s">
        <v>254</v>
      </c>
      <c r="E20" s="279" t="s">
        <v>282</v>
      </c>
      <c r="F20" s="279" t="s">
        <v>249</v>
      </c>
      <c r="G20" s="279"/>
      <c r="H20" s="280"/>
    </row>
    <row r="21" spans="1:11" ht="81" customHeight="1" x14ac:dyDescent="0.25">
      <c r="A21" s="746"/>
      <c r="B21" s="746"/>
      <c r="C21" s="80" t="s">
        <v>12</v>
      </c>
      <c r="D21" s="374" t="s">
        <v>246</v>
      </c>
      <c r="E21" s="402"/>
      <c r="F21" s="279" t="s">
        <v>261</v>
      </c>
      <c r="G21" s="279"/>
      <c r="H21" s="510" t="s">
        <v>239</v>
      </c>
      <c r="I21" s="3"/>
      <c r="K21" s="3"/>
    </row>
    <row r="22" spans="1:11" ht="81" customHeight="1" x14ac:dyDescent="0.25">
      <c r="A22" s="746"/>
      <c r="B22" s="746"/>
      <c r="C22" s="80" t="s">
        <v>13</v>
      </c>
      <c r="D22" s="374" t="s">
        <v>293</v>
      </c>
      <c r="E22" s="404"/>
      <c r="F22" s="279"/>
      <c r="G22" s="279"/>
      <c r="H22" s="510" t="s">
        <v>103</v>
      </c>
    </row>
    <row r="23" spans="1:11" ht="43.5" customHeight="1" thickBot="1" x14ac:dyDescent="0.3">
      <c r="A23" s="746"/>
      <c r="B23" s="746"/>
      <c r="C23" s="81" t="s">
        <v>15</v>
      </c>
      <c r="D23" s="217"/>
      <c r="E23" s="457"/>
      <c r="F23" s="218"/>
      <c r="G23" s="218"/>
      <c r="H23" s="219"/>
    </row>
    <row r="24" spans="1:11" ht="124.5" customHeight="1" x14ac:dyDescent="0.25">
      <c r="A24" s="746" t="s">
        <v>3</v>
      </c>
      <c r="B24" s="748">
        <f>B19+1</f>
        <v>46282</v>
      </c>
      <c r="C24" s="79" t="s">
        <v>10</v>
      </c>
      <c r="D24" s="302" t="s">
        <v>292</v>
      </c>
      <c r="E24" s="303" t="s">
        <v>248</v>
      </c>
      <c r="F24" s="299" t="s">
        <v>114</v>
      </c>
      <c r="G24" s="299" t="s">
        <v>266</v>
      </c>
      <c r="H24" s="321" t="s">
        <v>284</v>
      </c>
    </row>
    <row r="25" spans="1:11" ht="111" x14ac:dyDescent="0.25">
      <c r="A25" s="759"/>
      <c r="B25" s="746"/>
      <c r="C25" s="80" t="s">
        <v>11</v>
      </c>
      <c r="D25" s="281" t="s">
        <v>266</v>
      </c>
      <c r="E25" s="248" t="s">
        <v>260</v>
      </c>
      <c r="F25" s="248" t="s">
        <v>266</v>
      </c>
      <c r="G25" s="248" t="s">
        <v>102</v>
      </c>
      <c r="H25" s="282" t="s">
        <v>284</v>
      </c>
    </row>
    <row r="26" spans="1:11" ht="98.25" customHeight="1" x14ac:dyDescent="0.25">
      <c r="A26" s="759"/>
      <c r="B26" s="746"/>
      <c r="C26" s="80" t="s">
        <v>12</v>
      </c>
      <c r="D26" s="374" t="s">
        <v>241</v>
      </c>
      <c r="E26" s="410" t="s">
        <v>241</v>
      </c>
      <c r="F26" s="404" t="s">
        <v>241</v>
      </c>
      <c r="G26" s="402" t="s">
        <v>241</v>
      </c>
      <c r="H26" s="403" t="s">
        <v>241</v>
      </c>
    </row>
    <row r="27" spans="1:11" ht="143.25" customHeight="1" x14ac:dyDescent="0.25">
      <c r="A27" s="759"/>
      <c r="B27" s="746"/>
      <c r="C27" s="80" t="s">
        <v>13</v>
      </c>
      <c r="D27" s="375" t="s">
        <v>253</v>
      </c>
      <c r="E27" s="404" t="s">
        <v>253</v>
      </c>
      <c r="F27" s="404" t="s">
        <v>253</v>
      </c>
      <c r="G27" s="402" t="s">
        <v>253</v>
      </c>
      <c r="H27" s="403" t="s">
        <v>253</v>
      </c>
    </row>
    <row r="28" spans="1:11" ht="37.5" customHeight="1" thickBot="1" x14ac:dyDescent="0.3">
      <c r="A28" s="759"/>
      <c r="B28" s="746"/>
      <c r="C28" s="81" t="s">
        <v>15</v>
      </c>
      <c r="D28" s="217"/>
      <c r="E28" s="468"/>
      <c r="F28" s="457"/>
      <c r="G28" s="457"/>
      <c r="H28" s="459"/>
    </row>
    <row r="29" spans="1:11" ht="94.5" customHeight="1" x14ac:dyDescent="0.25">
      <c r="A29" s="746" t="s">
        <v>4</v>
      </c>
      <c r="B29" s="748">
        <f>B24+1</f>
        <v>46283</v>
      </c>
      <c r="C29" s="79" t="s">
        <v>10</v>
      </c>
      <c r="D29" s="293" t="s">
        <v>259</v>
      </c>
      <c r="E29" s="294"/>
      <c r="F29" s="294" t="s">
        <v>255</v>
      </c>
      <c r="G29" s="532" t="s">
        <v>256</v>
      </c>
      <c r="H29" s="295"/>
    </row>
    <row r="30" spans="1:11" ht="94.5" customHeight="1" x14ac:dyDescent="0.25">
      <c r="A30" s="746"/>
      <c r="B30" s="746"/>
      <c r="C30" s="80" t="s">
        <v>11</v>
      </c>
      <c r="D30" s="283" t="s">
        <v>247</v>
      </c>
      <c r="E30" s="247"/>
      <c r="F30" s="247" t="s">
        <v>255</v>
      </c>
      <c r="G30" s="474" t="s">
        <v>256</v>
      </c>
      <c r="H30" s="284"/>
    </row>
    <row r="31" spans="1:11" ht="94.5" customHeight="1" x14ac:dyDescent="0.25">
      <c r="A31" s="746"/>
      <c r="B31" s="746"/>
      <c r="C31" s="80" t="s">
        <v>12</v>
      </c>
      <c r="D31" s="281"/>
      <c r="E31" s="248" t="s">
        <v>236</v>
      </c>
      <c r="F31" s="279" t="s">
        <v>249</v>
      </c>
      <c r="G31" s="248" t="s">
        <v>251</v>
      </c>
      <c r="H31" s="282" t="s">
        <v>262</v>
      </c>
    </row>
    <row r="32" spans="1:11" ht="94.5" customHeight="1" x14ac:dyDescent="0.25">
      <c r="A32" s="746"/>
      <c r="B32" s="746"/>
      <c r="C32" s="80" t="s">
        <v>13</v>
      </c>
      <c r="D32" s="281"/>
      <c r="E32" s="248" t="s">
        <v>157</v>
      </c>
      <c r="F32" s="248"/>
      <c r="G32" s="319" t="s">
        <v>262</v>
      </c>
      <c r="H32" s="282" t="s">
        <v>252</v>
      </c>
    </row>
    <row r="33" spans="1:8" ht="52.5" customHeight="1" thickBot="1" x14ac:dyDescent="0.3">
      <c r="A33" s="746"/>
      <c r="B33" s="746"/>
      <c r="C33" s="76" t="s">
        <v>15</v>
      </c>
      <c r="D33" s="285"/>
      <c r="E33" s="286"/>
      <c r="F33" s="286"/>
      <c r="G33" s="286"/>
      <c r="H33" s="287"/>
    </row>
    <row r="34" spans="1:8" ht="48.75" customHeight="1" x14ac:dyDescent="0.25">
      <c r="A34" s="746" t="s">
        <v>47</v>
      </c>
      <c r="B34" s="756">
        <f>B29+1</f>
        <v>46284</v>
      </c>
      <c r="C34" s="64" t="s">
        <v>10</v>
      </c>
      <c r="D34" s="200"/>
      <c r="E34" s="201"/>
      <c r="F34" s="364"/>
      <c r="G34" s="364"/>
      <c r="H34" s="202"/>
    </row>
    <row r="35" spans="1:8" ht="48.75" customHeight="1" x14ac:dyDescent="0.25">
      <c r="A35" s="746"/>
      <c r="B35" s="757"/>
      <c r="C35" s="65" t="s">
        <v>11</v>
      </c>
      <c r="D35" s="203"/>
      <c r="E35" s="365"/>
      <c r="F35" s="365"/>
      <c r="G35" s="365"/>
      <c r="H35" s="194"/>
    </row>
    <row r="36" spans="1:8" ht="48.75" customHeight="1" x14ac:dyDescent="0.25">
      <c r="A36" s="746"/>
      <c r="B36" s="757"/>
      <c r="C36" s="65" t="s">
        <v>12</v>
      </c>
      <c r="D36" s="193"/>
      <c r="E36" s="365"/>
      <c r="F36" s="365"/>
      <c r="G36" s="365"/>
      <c r="H36" s="194"/>
    </row>
    <row r="37" spans="1:8" ht="48.75" customHeight="1" x14ac:dyDescent="0.25">
      <c r="A37" s="746"/>
      <c r="B37" s="757"/>
      <c r="C37" s="65" t="s">
        <v>13</v>
      </c>
      <c r="D37" s="60"/>
      <c r="E37" s="56"/>
      <c r="F37" s="56"/>
      <c r="G37" s="56"/>
      <c r="H37" s="59"/>
    </row>
    <row r="38" spans="1:8" ht="48.75" customHeight="1" thickBot="1" x14ac:dyDescent="0.3">
      <c r="A38" s="755"/>
      <c r="B38" s="758"/>
      <c r="C38" s="66" t="s">
        <v>15</v>
      </c>
      <c r="D38" s="99"/>
      <c r="E38" s="100"/>
      <c r="F38" s="100"/>
      <c r="G38" s="100"/>
      <c r="H38" s="101"/>
    </row>
    <row r="39" spans="1:8" ht="27.75" customHeight="1" x14ac:dyDescent="0.45">
      <c r="A39" s="2"/>
      <c r="B39" s="2"/>
      <c r="C39" s="37"/>
      <c r="D39" s="176" t="s">
        <v>82</v>
      </c>
    </row>
    <row r="40" spans="1:8" s="19" customFormat="1" ht="23.25" x14ac:dyDescent="0.35">
      <c r="A40" s="18"/>
      <c r="B40" s="18"/>
      <c r="C40" s="70" t="str">
        <f>'01.09'!C39</f>
        <v>*Л. Физиология человека*</v>
      </c>
      <c r="D40" s="71">
        <f>'07.09'!D40+COUNTIF(D$8:D$38,$C40)</f>
        <v>4</v>
      </c>
      <c r="E40" s="71">
        <f>'07.09'!E40+COUNTIF(E$8:E$38,$C40)</f>
        <v>4</v>
      </c>
      <c r="F40" s="71">
        <f>'07.09'!F40+COUNTIF(F$8:F$38,$C40)</f>
        <v>4</v>
      </c>
      <c r="G40" s="71">
        <f>'07.09'!G40+COUNTIF(G$8:G$38,$C40)</f>
        <v>4</v>
      </c>
      <c r="H40" s="71">
        <f>'07.09'!H40+COUNTIF(H$8:H$38,$C40)</f>
        <v>4</v>
      </c>
    </row>
    <row r="41" spans="1:8" s="19" customFormat="1" ht="23.25" x14ac:dyDescent="0.35">
      <c r="A41" s="18"/>
      <c r="B41" s="18"/>
      <c r="C41" s="70" t="str">
        <f>'01.09'!C40</f>
        <v>*Пр. Физиология человека*</v>
      </c>
      <c r="D41" s="71">
        <f>'07.09'!D41+COUNTIF(D$8:D$38,$C41)</f>
        <v>4</v>
      </c>
      <c r="E41" s="71">
        <f>'07.09'!E41+COUNTIF(E$8:E$38,$C41)</f>
        <v>4</v>
      </c>
      <c r="F41" s="71">
        <f>'07.09'!F41+COUNTIF(F$8:F$38,$C41)</f>
        <v>4</v>
      </c>
      <c r="G41" s="71">
        <f>'07.09'!G41+COUNTIF(G$8:G$38,$C41)</f>
        <v>4</v>
      </c>
      <c r="H41" s="71">
        <f>'07.09'!H41+COUNTIF(H$8:H$38,$C41)</f>
        <v>4</v>
      </c>
    </row>
    <row r="42" spans="1:8" s="19" customFormat="1" ht="23.25" x14ac:dyDescent="0.35">
      <c r="A42" s="18"/>
      <c r="B42" s="18"/>
      <c r="C42" s="70" t="str">
        <f>'01.09'!C41</f>
        <v>*Л. Элективные дисциплины по ФКиС: Фехтование*</v>
      </c>
      <c r="D42" s="71">
        <f>'07.09'!D42+COUNTIF(D$8:D$38,$C42)</f>
        <v>0</v>
      </c>
      <c r="E42" s="71">
        <f>'07.09'!E42+COUNTIF(E$8:E$38,$C42)</f>
        <v>0</v>
      </c>
      <c r="F42" s="71">
        <f>'07.09'!F42+COUNTIF(F$8:F$38,$C42)</f>
        <v>0</v>
      </c>
      <c r="G42" s="71">
        <f>'07.09'!G42+COUNTIF(G$8:G$38,$C42)</f>
        <v>0</v>
      </c>
      <c r="H42" s="71">
        <f>'07.09'!H42+COUNTIF(H$8:H$38,$C42)</f>
        <v>0</v>
      </c>
    </row>
    <row r="43" spans="1:8" s="19" customFormat="1" ht="23.25" x14ac:dyDescent="0.35">
      <c r="A43" s="18"/>
      <c r="B43" s="18"/>
      <c r="C43" s="70" t="str">
        <f>'01.09'!C42</f>
        <v>*Пр. Элективные дисциплины по ФКиС: Фехтование*</v>
      </c>
      <c r="D43" s="71">
        <f>'07.09'!D43+COUNTIF(D$8:D$38,$C43)</f>
        <v>0</v>
      </c>
      <c r="E43" s="71">
        <f>'07.09'!E43+COUNTIF(E$8:E$38,$C43)</f>
        <v>0</v>
      </c>
      <c r="F43" s="71">
        <f>'07.09'!F43+COUNTIF(F$8:F$38,$C43)</f>
        <v>0</v>
      </c>
      <c r="G43" s="71">
        <f>'07.09'!G43+COUNTIF(G$8:G$38,$C43)</f>
        <v>0</v>
      </c>
      <c r="H43" s="71">
        <f>'07.09'!H43+COUNTIF(H$8:H$38,$C43)</f>
        <v>0</v>
      </c>
    </row>
    <row r="44" spans="1:8" s="19" customFormat="1" ht="23.25" x14ac:dyDescent="0.35">
      <c r="A44" s="18"/>
      <c r="B44" s="18"/>
      <c r="C44" s="70" t="str">
        <f>'01.09'!C43</f>
        <v>*Л. Педагогика физической культуры и спорта*</v>
      </c>
      <c r="D44" s="71">
        <f>'07.09'!D44+COUNTIF(D$8:D$38,$C44)</f>
        <v>3</v>
      </c>
      <c r="E44" s="71">
        <f>'07.09'!E44+COUNTIF(E$8:E$38,$C44)</f>
        <v>3</v>
      </c>
      <c r="F44" s="71">
        <f>'07.09'!F44+COUNTIF(F$8:F$38,$C44)</f>
        <v>3</v>
      </c>
      <c r="G44" s="71">
        <f>'07.09'!G44+COUNTIF(G$8:G$38,$C44)</f>
        <v>3</v>
      </c>
      <c r="H44" s="71">
        <f>'07.09'!H44+COUNTIF(H$8:H$38,$C44)</f>
        <v>3</v>
      </c>
    </row>
    <row r="45" spans="1:8" s="19" customFormat="1" ht="23.25" x14ac:dyDescent="0.35">
      <c r="A45" s="18"/>
      <c r="B45" s="18"/>
      <c r="C45" s="70" t="str">
        <f>'01.09'!C44</f>
        <v>*Пр. Педагогика физической культуры и спорта*</v>
      </c>
      <c r="D45" s="71">
        <f>'07.09'!D45+COUNTIF(D$8:D$38,$C45)</f>
        <v>0</v>
      </c>
      <c r="E45" s="71">
        <f>'07.09'!E45+COUNTIF(E$8:E$38,$C45)</f>
        <v>0</v>
      </c>
      <c r="F45" s="71">
        <f>'07.09'!F45+COUNTIF(F$8:F$38,$C45)</f>
        <v>0</v>
      </c>
      <c r="G45" s="71">
        <f>'07.09'!G45+COUNTIF(G$8:G$38,$C45)</f>
        <v>0</v>
      </c>
      <c r="H45" s="71">
        <f>'07.09'!H45+COUNTIF(H$8:H$38,$C45)</f>
        <v>0</v>
      </c>
    </row>
    <row r="46" spans="1:8" s="19" customFormat="1" ht="23.25" x14ac:dyDescent="0.35">
      <c r="A46" s="18"/>
      <c r="B46" s="18"/>
      <c r="C46" s="70" t="str">
        <f>'01.09'!C45</f>
        <v>*Л. Теория и методика*</v>
      </c>
      <c r="D46" s="71">
        <f>'07.09'!D46+COUNTIF(D$8:D$38,$C46)</f>
        <v>2</v>
      </c>
      <c r="E46" s="71">
        <f>'07.09'!E46+COUNTIF(E$8:E$38,$C46)</f>
        <v>2</v>
      </c>
      <c r="F46" s="71">
        <f>'07.09'!F46+COUNTIF(F$8:F$38,$C46)</f>
        <v>2</v>
      </c>
      <c r="G46" s="71">
        <f>'07.09'!G46+COUNTIF(G$8:G$38,$C46)</f>
        <v>2</v>
      </c>
      <c r="H46" s="71">
        <f>'07.09'!H46+COUNTIF(H$8:H$38,$C46)</f>
        <v>2</v>
      </c>
    </row>
    <row r="47" spans="1:8" s="19" customFormat="1" ht="23.25" x14ac:dyDescent="0.35">
      <c r="A47" s="18"/>
      <c r="B47" s="18"/>
      <c r="C47" s="70" t="str">
        <f>'01.09'!C46</f>
        <v>*Пр. Теория и методика*</v>
      </c>
      <c r="D47" s="71">
        <f>'07.09'!D47+COUNTIF(D$8:D$38,$C47)</f>
        <v>5</v>
      </c>
      <c r="E47" s="71">
        <f>'07.09'!E47+COUNTIF(E$8:E$38,$C47)</f>
        <v>5</v>
      </c>
      <c r="F47" s="71">
        <f>'07.09'!F47+COUNTIF(F$8:F$38,$C47)</f>
        <v>5</v>
      </c>
      <c r="G47" s="71">
        <f>'07.09'!G47+COUNTIF(G$8:G$38,$C47)</f>
        <v>5</v>
      </c>
      <c r="H47" s="71">
        <f>'07.09'!H47+COUNTIF(H$8:H$38,$C47)</f>
        <v>5</v>
      </c>
    </row>
    <row r="48" spans="1:8" s="19" customFormat="1" ht="23.25" x14ac:dyDescent="0.35">
      <c r="A48" s="18"/>
      <c r="B48" s="18"/>
      <c r="C48" s="70" t="str">
        <f>'01.09'!C47</f>
        <v>*Л.  Теория и методика физической культуры*</v>
      </c>
      <c r="D48" s="71">
        <f>'07.09'!D48+COUNTIF(D$8:D$38,$C48)</f>
        <v>2</v>
      </c>
      <c r="E48" s="71">
        <f>'07.09'!E48+COUNTIF(E$8:E$38,$C48)</f>
        <v>2</v>
      </c>
      <c r="F48" s="71">
        <f>'07.09'!F48+COUNTIF(F$8:F$38,$C48)</f>
        <v>2</v>
      </c>
      <c r="G48" s="71">
        <f>'07.09'!G48+COUNTIF(G$8:G$38,$C48)</f>
        <v>2</v>
      </c>
      <c r="H48" s="71">
        <f>'07.09'!H48+COUNTIF(H$8:H$38,$C48)</f>
        <v>2</v>
      </c>
    </row>
    <row r="49" spans="1:8" s="19" customFormat="1" ht="23.25" x14ac:dyDescent="0.35">
      <c r="A49" s="18"/>
      <c r="B49" s="18"/>
      <c r="C49" s="70" t="str">
        <f>'01.09'!C48</f>
        <v>*Пр.  Теория и методика физической культуры*</v>
      </c>
      <c r="D49" s="71">
        <f>'07.09'!D49+COUNTIF(D$8:D$38,$C49)</f>
        <v>0</v>
      </c>
      <c r="E49" s="71">
        <f>'07.09'!E49+COUNTIF(E$8:E$38,$C49)</f>
        <v>0</v>
      </c>
      <c r="F49" s="71">
        <f>'07.09'!F49+COUNTIF(F$8:F$38,$C49)</f>
        <v>0</v>
      </c>
      <c r="G49" s="71">
        <f>'07.09'!G49+COUNTIF(G$8:G$38,$C49)</f>
        <v>0</v>
      </c>
      <c r="H49" s="71">
        <f>'07.09'!H49+COUNTIF(H$8:H$38,$C49)</f>
        <v>0</v>
      </c>
    </row>
    <row r="50" spans="1:8" s="19" customFormat="1" ht="23.25" x14ac:dyDescent="0.35">
      <c r="A50" s="18"/>
      <c r="B50" s="18"/>
      <c r="C50" s="70" t="str">
        <f>'01.09'!C49</f>
        <v>*Л. Плавание*</v>
      </c>
      <c r="D50" s="71">
        <f>'07.09'!D50+COUNTIF(D$8:D$38,$C50)</f>
        <v>2</v>
      </c>
      <c r="E50" s="71">
        <f>'07.09'!E50+COUNTIF(E$8:E$38,$C50)</f>
        <v>2</v>
      </c>
      <c r="F50" s="71">
        <f>'07.09'!F50+COUNTIF(F$8:F$38,$C50)</f>
        <v>2</v>
      </c>
      <c r="G50" s="71">
        <f>'07.09'!G50+COUNTIF(G$8:G$38,$C50)</f>
        <v>2</v>
      </c>
      <c r="H50" s="71">
        <f>'07.09'!H50+COUNTIF(H$8:H$38,$C50)</f>
        <v>2</v>
      </c>
    </row>
    <row r="51" spans="1:8" s="19" customFormat="1" ht="23.25" x14ac:dyDescent="0.35">
      <c r="A51" s="18"/>
      <c r="B51" s="18"/>
      <c r="C51" s="70" t="str">
        <f>'01.09'!C50</f>
        <v>*Пр. Плавание*</v>
      </c>
      <c r="D51" s="71">
        <f>'07.09'!D51+COUNTIF(D$8:D$38,$C51)</f>
        <v>4</v>
      </c>
      <c r="E51" s="71">
        <f>'07.09'!E51+COUNTIF(E$8:E$38,$C51)</f>
        <v>4</v>
      </c>
      <c r="F51" s="71">
        <f>'07.09'!F51+COUNTIF(F$8:F$38,$C51)</f>
        <v>4</v>
      </c>
      <c r="G51" s="71">
        <f>'07.09'!G51+COUNTIF(G$8:G$38,$C51)</f>
        <v>4</v>
      </c>
      <c r="H51" s="71">
        <f>'07.09'!H51+COUNTIF(H$8:H$38,$C51)</f>
        <v>4</v>
      </c>
    </row>
    <row r="52" spans="1:8" s="19" customFormat="1" ht="23.25" x14ac:dyDescent="0.35">
      <c r="A52" s="18"/>
      <c r="B52" s="18"/>
      <c r="C52" s="70" t="str">
        <f>'01.09'!C51</f>
        <v>*Л. Подвижные игры в спорте и образовании*</v>
      </c>
      <c r="D52" s="71">
        <f>'07.09'!D52+COUNTIF(D$8:D$38,$C52)</f>
        <v>1</v>
      </c>
      <c r="E52" s="71">
        <f>'07.09'!E52+COUNTIF(E$8:E$38,$C52)</f>
        <v>1</v>
      </c>
      <c r="F52" s="71">
        <f>'07.09'!F52+COUNTIF(F$8:F$38,$C52)</f>
        <v>1</v>
      </c>
      <c r="G52" s="71">
        <f>'07.09'!G52+COUNTIF(G$8:G$38,$C52)</f>
        <v>1</v>
      </c>
      <c r="H52" s="71">
        <f>'07.09'!H52+COUNTIF(H$8:H$38,$C52)</f>
        <v>1</v>
      </c>
    </row>
    <row r="53" spans="1:8" s="19" customFormat="1" ht="23.25" x14ac:dyDescent="0.35">
      <c r="A53" s="18"/>
      <c r="B53" s="18"/>
      <c r="C53" s="70" t="str">
        <f>'01.09'!C52</f>
        <v>*Пр. Подвижные игры в спорте и образовании*</v>
      </c>
      <c r="D53" s="71">
        <f>'07.09'!D53+COUNTIF(D$8:D$38,$C53)</f>
        <v>2</v>
      </c>
      <c r="E53" s="71">
        <f>'07.09'!E53+COUNTIF(E$8:E$38,$C53)</f>
        <v>2</v>
      </c>
      <c r="F53" s="71">
        <f>'07.09'!F53+COUNTIF(F$8:F$38,$C53)</f>
        <v>2</v>
      </c>
      <c r="G53" s="71">
        <f>'07.09'!G53+COUNTIF(G$8:G$38,$C53)</f>
        <v>2</v>
      </c>
      <c r="H53" s="71">
        <f>'07.09'!H53+COUNTIF(H$8:H$38,$C53)</f>
        <v>2</v>
      </c>
    </row>
    <row r="54" spans="1:8" s="19" customFormat="1" ht="23.25" x14ac:dyDescent="0.35">
      <c r="A54" s="18"/>
      <c r="B54" s="18"/>
      <c r="C54" s="70" t="str">
        <f>'01.09'!C53</f>
        <v>*Л. Самооборона (самбо)*</v>
      </c>
      <c r="D54" s="71">
        <f>'07.09'!D54+COUNTIF(D$8:D$38,$C54)</f>
        <v>1</v>
      </c>
      <c r="E54" s="71">
        <f>'07.09'!E54+COUNTIF(E$8:E$38,$C54)</f>
        <v>1</v>
      </c>
      <c r="F54" s="71">
        <f>'07.09'!F54+COUNTIF(F$8:F$38,$C54)</f>
        <v>1</v>
      </c>
      <c r="G54" s="71">
        <f>'07.09'!G54+COUNTIF(G$8:G$38,$C54)</f>
        <v>1</v>
      </c>
      <c r="H54" s="71">
        <f>'07.09'!H54+COUNTIF(H$8:H$38,$C54)</f>
        <v>1</v>
      </c>
    </row>
    <row r="55" spans="1:8" s="19" customFormat="1" ht="23.25" x14ac:dyDescent="0.35">
      <c r="A55" s="18"/>
      <c r="B55" s="18"/>
      <c r="C55" s="70" t="str">
        <f>'01.09'!C54</f>
        <v>*Пр. Самооборона (самбо)*</v>
      </c>
      <c r="D55" s="71">
        <f>'07.09'!D55+COUNTIF(D$8:D$38,$C55)</f>
        <v>2</v>
      </c>
      <c r="E55" s="71">
        <f>'07.09'!E55+COUNTIF(E$8:E$38,$C55)</f>
        <v>2</v>
      </c>
      <c r="F55" s="71">
        <f>'07.09'!F55+COUNTIF(F$8:F$38,$C55)</f>
        <v>2</v>
      </c>
      <c r="G55" s="71">
        <f>'07.09'!G55+COUNTIF(G$8:G$38,$C55)</f>
        <v>2</v>
      </c>
      <c r="H55" s="71">
        <f>'07.09'!H55+COUNTIF(H$8:H$38,$C55)</f>
        <v>2</v>
      </c>
    </row>
    <row r="56" spans="1:8" s="19" customFormat="1" ht="23.25" x14ac:dyDescent="0.35">
      <c r="A56" s="18"/>
      <c r="B56" s="18"/>
      <c r="C56" s="70" t="str">
        <f>'01.09'!C55</f>
        <v>*Л. Методика реализации программ*</v>
      </c>
      <c r="D56" s="71">
        <f>'07.09'!D56+COUNTIF(D$8:D$38,$C56)</f>
        <v>1</v>
      </c>
      <c r="E56" s="71">
        <f>'07.09'!E56+COUNTIF(E$8:E$38,$C56)</f>
        <v>1</v>
      </c>
      <c r="F56" s="71">
        <f>'07.09'!F56+COUNTIF(F$8:F$38,$C56)</f>
        <v>1</v>
      </c>
      <c r="G56" s="71">
        <f>'07.09'!G56+COUNTIF(G$8:G$38,$C56)</f>
        <v>1</v>
      </c>
      <c r="H56" s="71">
        <f>'07.09'!H56+COUNTIF(H$8:H$38,$C56)</f>
        <v>1</v>
      </c>
    </row>
    <row r="57" spans="1:8" s="19" customFormat="1" ht="23.25" x14ac:dyDescent="0.35">
      <c r="A57" s="18"/>
      <c r="B57" s="18"/>
      <c r="C57" s="70" t="str">
        <f>'01.09'!C56</f>
        <v>*Пр. Методика реализации программ*</v>
      </c>
      <c r="D57" s="71">
        <f>'07.09'!D57+COUNTIF(D$8:D$38,$C57)</f>
        <v>0</v>
      </c>
      <c r="E57" s="71">
        <f>'07.09'!E57+COUNTIF(E$8:E$38,$C57)</f>
        <v>0</v>
      </c>
      <c r="F57" s="71">
        <f>'07.09'!F57+COUNTIF(F$8:F$38,$C57)</f>
        <v>0</v>
      </c>
      <c r="G57" s="71">
        <f>'07.09'!G57+COUNTIF(G$8:G$38,$C57)</f>
        <v>0</v>
      </c>
      <c r="H57" s="71">
        <f>'07.09'!H57+COUNTIF(H$8:H$38,$C57)</f>
        <v>0</v>
      </c>
    </row>
    <row r="58" spans="1:8" s="19" customFormat="1" ht="23.25" x14ac:dyDescent="0.35">
      <c r="A58" s="18"/>
      <c r="B58" s="18"/>
      <c r="C58" s="70" t="str">
        <f>'01.09'!C57</f>
        <v>*Л. Методика преподавания*</v>
      </c>
      <c r="D58" s="71">
        <f>'07.09'!D58+COUNTIF(D$8:D$38,$C58)</f>
        <v>2</v>
      </c>
      <c r="E58" s="71">
        <f>'07.09'!E58+COUNTIF(E$8:E$38,$C58)</f>
        <v>2</v>
      </c>
      <c r="F58" s="71">
        <f>'07.09'!F58+COUNTIF(F$8:F$38,$C58)</f>
        <v>2</v>
      </c>
      <c r="G58" s="71">
        <f>'07.09'!G58+COUNTIF(G$8:G$38,$C58)</f>
        <v>2</v>
      </c>
      <c r="H58" s="71">
        <f>'07.09'!H58+COUNTIF(H$8:H$38,$C58)</f>
        <v>2</v>
      </c>
    </row>
    <row r="59" spans="1:8" s="19" customFormat="1" ht="23.25" x14ac:dyDescent="0.35">
      <c r="A59" s="18"/>
      <c r="B59" s="18"/>
      <c r="C59" s="70" t="str">
        <f>'01.09'!C58</f>
        <v>*Пр. Методика преподавания*</v>
      </c>
      <c r="D59" s="71">
        <f>'07.09'!D59+COUNTIF(D$8:D$38,$C59)</f>
        <v>0</v>
      </c>
      <c r="E59" s="71">
        <f>'07.09'!E59+COUNTIF(E$8:E$38,$C59)</f>
        <v>0</v>
      </c>
      <c r="F59" s="71">
        <f>'07.09'!F59+COUNTIF(F$8:F$38,$C59)</f>
        <v>0</v>
      </c>
      <c r="G59" s="71">
        <f>'07.09'!G59+COUNTIF(G$8:G$38,$C59)</f>
        <v>0</v>
      </c>
      <c r="H59" s="71">
        <f>'07.09'!H59+COUNTIF(H$8:H$38,$C59)</f>
        <v>0</v>
      </c>
    </row>
    <row r="60" spans="1:8" s="19" customFormat="1" ht="23.25" x14ac:dyDescent="0.35">
      <c r="A60" s="18"/>
      <c r="B60" s="18"/>
      <c r="C60" s="70">
        <f>'01.09'!C59</f>
        <v>0</v>
      </c>
      <c r="D60" s="71">
        <f>'07.09'!D60+COUNTIF(D$8:D$38,$C60)</f>
        <v>0</v>
      </c>
      <c r="E60" s="71">
        <f>'07.09'!E60+COUNTIF(E$8:E$38,$C60)</f>
        <v>0</v>
      </c>
      <c r="F60" s="71">
        <f>'07.09'!F60+COUNTIF(F$8:F$38,$C60)</f>
        <v>0</v>
      </c>
      <c r="G60" s="71">
        <f>'07.09'!G60+COUNTIF(G$8:G$38,$C60)</f>
        <v>0</v>
      </c>
      <c r="H60" s="71">
        <f>'07.09'!H60+COUNTIF(H$8:H$38,$C60)</f>
        <v>0</v>
      </c>
    </row>
    <row r="61" spans="1:8" s="19" customFormat="1" ht="23.25" x14ac:dyDescent="0.35">
      <c r="A61" s="18"/>
      <c r="B61" s="18"/>
      <c r="C61" s="70">
        <f>'01.09'!C60</f>
        <v>0</v>
      </c>
      <c r="D61" s="71">
        <f>'07.09'!D61+COUNTIF(D$8:D$38,$C61)</f>
        <v>0</v>
      </c>
      <c r="E61" s="71">
        <f>'07.09'!E61+COUNTIF(E$8:E$38,$C61)</f>
        <v>0</v>
      </c>
      <c r="F61" s="71">
        <f>'07.09'!F61+COUNTIF(F$8:F$38,$C61)</f>
        <v>0</v>
      </c>
      <c r="G61" s="71">
        <f>'07.09'!G61+COUNTIF(G$8:G$38,$C61)</f>
        <v>0</v>
      </c>
      <c r="H61" s="71">
        <f>'07.09'!H61+COUNTIF(H$8:H$38,$C61)</f>
        <v>0</v>
      </c>
    </row>
    <row r="62" spans="1:8" ht="23.25" x14ac:dyDescent="0.35">
      <c r="A62" s="2"/>
      <c r="B62" s="2"/>
      <c r="C62" s="70">
        <f>'01.09'!C61</f>
        <v>0</v>
      </c>
      <c r="D62" s="71">
        <f>'07.09'!D62+COUNTIF(D$8:D$38,$C62)</f>
        <v>0</v>
      </c>
      <c r="E62" s="71">
        <f>'07.09'!E62+COUNTIF(E$8:E$38,$C62)</f>
        <v>0</v>
      </c>
      <c r="F62" s="71">
        <f>'07.09'!F62+COUNTIF(F$8:F$38,$C62)</f>
        <v>0</v>
      </c>
      <c r="G62" s="71">
        <f>'07.09'!G62+COUNTIF(G$8:G$38,$C62)</f>
        <v>0</v>
      </c>
      <c r="H62" s="71">
        <f>'07.09'!H62+COUNTIF(H$8:H$38,$C62)</f>
        <v>0</v>
      </c>
    </row>
    <row r="63" spans="1:8" ht="23.25" x14ac:dyDescent="0.35">
      <c r="A63" s="2"/>
      <c r="B63" s="2"/>
      <c r="C63" s="70">
        <f>'01.09'!C62</f>
        <v>0</v>
      </c>
      <c r="D63" s="71">
        <f>'07.09'!D63+COUNTIF(D$8:D$38,$C63)</f>
        <v>0</v>
      </c>
      <c r="E63" s="71">
        <f>'07.09'!E63+COUNTIF(E$8:E$38,$C63)</f>
        <v>0</v>
      </c>
      <c r="F63" s="71">
        <f>'07.09'!F63+COUNTIF(F$8:F$38,$C63)</f>
        <v>0</v>
      </c>
      <c r="G63" s="71">
        <f>'07.09'!G63+COUNTIF(G$8:G$38,$C63)</f>
        <v>0</v>
      </c>
      <c r="H63" s="71">
        <f>'07.09'!H63+COUNTIF(H$8:H$38,$C63)</f>
        <v>0</v>
      </c>
    </row>
    <row r="64" spans="1:8" ht="23.25" x14ac:dyDescent="0.35">
      <c r="A64" s="2"/>
      <c r="B64" s="2"/>
      <c r="C64" s="70">
        <f>'01.09'!C63</f>
        <v>0</v>
      </c>
      <c r="D64" s="71">
        <f>'07.09'!D64+COUNTIF(D$8:D$38,$C64)</f>
        <v>0</v>
      </c>
      <c r="E64" s="71">
        <f>'07.09'!E64+COUNTIF(E$8:E$38,$C64)</f>
        <v>0</v>
      </c>
      <c r="F64" s="71">
        <f>'07.09'!F64+COUNTIF(F$8:F$38,$C64)</f>
        <v>0</v>
      </c>
      <c r="G64" s="71">
        <f>'07.09'!G64+COUNTIF(G$8:G$38,$C64)</f>
        <v>0</v>
      </c>
      <c r="H64" s="71">
        <f>'07.09'!H64+COUNTIF(H$8:H$38,$C64)</f>
        <v>0</v>
      </c>
    </row>
    <row r="65" spans="1:10" ht="23.25" x14ac:dyDescent="0.35">
      <c r="A65" s="2"/>
      <c r="B65" s="2"/>
      <c r="C65" s="70">
        <f>'01.09'!C64</f>
        <v>0</v>
      </c>
      <c r="D65" s="71">
        <f>'07.09'!D65+COUNTIF(D$8:D$38,$C65)</f>
        <v>0</v>
      </c>
      <c r="E65" s="71">
        <f>'07.09'!E65+COUNTIF(E$8:E$38,$C65)</f>
        <v>0</v>
      </c>
      <c r="F65" s="71">
        <f>'07.09'!F65+COUNTIF(F$8:F$38,$C65)</f>
        <v>0</v>
      </c>
      <c r="G65" s="71">
        <f>'07.09'!G65+COUNTIF(G$8:G$38,$C65)</f>
        <v>0</v>
      </c>
      <c r="H65" s="71">
        <f>'07.09'!H65+COUNTIF(H$8:H$38,$C65)</f>
        <v>0</v>
      </c>
      <c r="I65" s="427"/>
      <c r="J65" s="427"/>
    </row>
    <row r="66" spans="1:10" ht="23.25" x14ac:dyDescent="0.35">
      <c r="A66" s="2"/>
      <c r="B66" s="2"/>
      <c r="C66" s="70">
        <f>'01.09'!C65</f>
        <v>0</v>
      </c>
      <c r="D66" s="71">
        <f>'07.09'!D66+COUNTIF(D$8:D$38,$C66)</f>
        <v>0</v>
      </c>
      <c r="E66" s="71">
        <f>'07.09'!E66+COUNTIF(E$8:E$38,$C66)</f>
        <v>0</v>
      </c>
      <c r="F66" s="71">
        <f>'07.09'!F66+COUNTIF(F$8:F$38,$C66)</f>
        <v>0</v>
      </c>
      <c r="G66" s="71">
        <f>'07.09'!G66+COUNTIF(G$8:G$38,$C66)</f>
        <v>0</v>
      </c>
      <c r="H66" s="71">
        <f>'07.09'!H66+COUNTIF(H$8:H$38,$C66)</f>
        <v>0</v>
      </c>
    </row>
    <row r="67" spans="1:10" x14ac:dyDescent="0.25">
      <c r="A67" s="2"/>
      <c r="B67" s="2"/>
      <c r="C67" s="2"/>
      <c r="D67" s="2"/>
      <c r="E67" s="2"/>
      <c r="F67" s="2"/>
      <c r="G67" s="2"/>
      <c r="H67" s="2"/>
    </row>
    <row r="68" spans="1:10" x14ac:dyDescent="0.25">
      <c r="A68" s="2"/>
      <c r="B68" s="2"/>
      <c r="C68" s="2"/>
      <c r="D68" s="2"/>
      <c r="E68" s="2"/>
      <c r="F68" s="2"/>
      <c r="G68" s="2"/>
      <c r="H68" s="2"/>
    </row>
    <row r="69" spans="1:10" x14ac:dyDescent="0.25">
      <c r="A69" s="2"/>
      <c r="B69" s="2"/>
      <c r="C69" s="2"/>
      <c r="D69" s="2"/>
      <c r="E69" s="2"/>
      <c r="F69" s="2"/>
      <c r="G69" s="2"/>
      <c r="H69" s="2"/>
    </row>
    <row r="70" spans="1:10" x14ac:dyDescent="0.25">
      <c r="A70" s="2"/>
      <c r="B70" s="2"/>
      <c r="C70" s="2"/>
      <c r="D70" s="2"/>
      <c r="E70" s="2"/>
      <c r="F70" s="2"/>
      <c r="G70" s="2"/>
      <c r="H70" s="2"/>
    </row>
  </sheetData>
  <mergeCells count="20">
    <mergeCell ref="B1:H1"/>
    <mergeCell ref="B2:H2"/>
    <mergeCell ref="B3:H3"/>
    <mergeCell ref="B4:H4"/>
    <mergeCell ref="A5:H5"/>
    <mergeCell ref="A34:A38"/>
    <mergeCell ref="A8:A12"/>
    <mergeCell ref="A13:A18"/>
    <mergeCell ref="A6:A7"/>
    <mergeCell ref="C6:C7"/>
    <mergeCell ref="A24:A28"/>
    <mergeCell ref="A29:A33"/>
    <mergeCell ref="B19:B23"/>
    <mergeCell ref="B24:B28"/>
    <mergeCell ref="A19:A23"/>
    <mergeCell ref="B29:B33"/>
    <mergeCell ref="B8:B12"/>
    <mergeCell ref="B13:B18"/>
    <mergeCell ref="B6:B7"/>
    <mergeCell ref="B34:B38"/>
  </mergeCells>
  <phoneticPr fontId="3" type="noConversion"/>
  <pageMargins left="0" right="0" top="0" bottom="0" header="0" footer="0"/>
  <pageSetup paperSize="9" scale="29" fitToWidth="0" fitToHeight="0" orientation="portrait" r:id="rId1"/>
  <headerFooter alignWithMargins="0"/>
  <rowBreaks count="1" manualBreakCount="1">
    <brk id="39" max="8" man="1"/>
  </rowBreaks>
  <colBreaks count="1" manualBreakCount="1">
    <brk id="8" max="6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H72"/>
  <sheetViews>
    <sheetView view="pageBreakPreview" topLeftCell="A25" zoomScale="40" zoomScaleNormal="40" zoomScaleSheetLayoutView="40" zoomScalePageLayoutView="40" workbookViewId="0">
      <selection activeCell="E30" sqref="E30"/>
    </sheetView>
  </sheetViews>
  <sheetFormatPr defaultRowHeight="15" x14ac:dyDescent="0.25"/>
  <cols>
    <col min="1" max="1" width="5.85546875" customWidth="1"/>
    <col min="2" max="2" width="5.5703125" customWidth="1"/>
    <col min="3" max="3" width="25.7109375" customWidth="1"/>
    <col min="4" max="8" width="63.7109375" customWidth="1"/>
  </cols>
  <sheetData>
    <row r="1" spans="1:8" ht="30" x14ac:dyDescent="0.3">
      <c r="A1" s="178"/>
      <c r="B1" s="760" t="s">
        <v>140</v>
      </c>
      <c r="C1" s="760"/>
      <c r="D1" s="760"/>
      <c r="E1" s="760"/>
      <c r="F1" s="760"/>
      <c r="G1" s="760"/>
      <c r="H1" s="760"/>
    </row>
    <row r="2" spans="1:8" ht="32.25" customHeight="1" x14ac:dyDescent="0.3">
      <c r="A2" s="179"/>
      <c r="B2" s="760" t="s">
        <v>87</v>
      </c>
      <c r="C2" s="760"/>
      <c r="D2" s="760"/>
      <c r="E2" s="760"/>
      <c r="F2" s="760"/>
      <c r="G2" s="760"/>
      <c r="H2" s="760"/>
    </row>
    <row r="3" spans="1:8" ht="36" customHeight="1" x14ac:dyDescent="0.25">
      <c r="A3" s="229"/>
      <c r="B3" s="787" t="s">
        <v>81</v>
      </c>
      <c r="C3" s="787"/>
      <c r="D3" s="787"/>
      <c r="E3" s="787"/>
      <c r="F3" s="787"/>
      <c r="G3" s="787"/>
      <c r="H3" s="787"/>
    </row>
    <row r="4" spans="1:8" ht="30" x14ac:dyDescent="0.25">
      <c r="A4" s="180"/>
      <c r="B4" s="760" t="s">
        <v>142</v>
      </c>
      <c r="C4" s="760"/>
      <c r="D4" s="760"/>
      <c r="E4" s="760"/>
      <c r="F4" s="760"/>
      <c r="G4" s="760"/>
      <c r="H4" s="760"/>
    </row>
    <row r="5" spans="1:8" ht="30.75" thickBot="1" x14ac:dyDescent="0.3">
      <c r="A5" s="682" t="s">
        <v>112</v>
      </c>
      <c r="B5" s="682"/>
      <c r="C5" s="682"/>
      <c r="D5" s="682"/>
      <c r="E5" s="682"/>
      <c r="F5" s="682"/>
      <c r="G5" s="682"/>
      <c r="H5" s="682"/>
    </row>
    <row r="6" spans="1:8" ht="33.75" customHeight="1" thickBot="1" x14ac:dyDescent="0.3">
      <c r="A6" s="770" t="s">
        <v>54</v>
      </c>
      <c r="B6" s="770" t="s">
        <v>14</v>
      </c>
      <c r="C6" s="793" t="s">
        <v>55</v>
      </c>
      <c r="D6" s="241" t="s">
        <v>5</v>
      </c>
      <c r="E6" s="242" t="s">
        <v>6</v>
      </c>
      <c r="F6" s="242" t="s">
        <v>7</v>
      </c>
      <c r="G6" s="242" t="s">
        <v>8</v>
      </c>
      <c r="H6" s="243" t="s">
        <v>9</v>
      </c>
    </row>
    <row r="7" spans="1:8" ht="87" customHeight="1" thickBot="1" x14ac:dyDescent="0.3">
      <c r="A7" s="771"/>
      <c r="B7" s="771"/>
      <c r="C7" s="794"/>
      <c r="D7" s="300" t="s">
        <v>106</v>
      </c>
      <c r="E7" s="370" t="s">
        <v>136</v>
      </c>
      <c r="F7" s="370" t="s">
        <v>107</v>
      </c>
      <c r="G7" s="370" t="s">
        <v>90</v>
      </c>
      <c r="H7" s="449" t="s">
        <v>78</v>
      </c>
    </row>
    <row r="8" spans="1:8" ht="166.5" x14ac:dyDescent="0.25">
      <c r="A8" s="776" t="s">
        <v>0</v>
      </c>
      <c r="B8" s="756">
        <v>46286</v>
      </c>
      <c r="C8" s="74" t="s">
        <v>10</v>
      </c>
      <c r="D8" s="316" t="s">
        <v>278</v>
      </c>
      <c r="E8" s="299" t="s">
        <v>276</v>
      </c>
      <c r="F8" s="299" t="s">
        <v>114</v>
      </c>
      <c r="G8" s="361" t="s">
        <v>250</v>
      </c>
      <c r="H8" s="362" t="s">
        <v>257</v>
      </c>
    </row>
    <row r="9" spans="1:8" ht="166.5" x14ac:dyDescent="0.25">
      <c r="A9" s="757"/>
      <c r="B9" s="757"/>
      <c r="C9" s="75" t="s">
        <v>11</v>
      </c>
      <c r="D9" s="418" t="s">
        <v>263</v>
      </c>
      <c r="E9" s="383" t="s">
        <v>277</v>
      </c>
      <c r="F9" s="383" t="s">
        <v>237</v>
      </c>
      <c r="G9" s="383" t="s">
        <v>300</v>
      </c>
      <c r="H9" s="414" t="s">
        <v>252</v>
      </c>
    </row>
    <row r="10" spans="1:8" ht="55.5" x14ac:dyDescent="0.25">
      <c r="A10" s="757"/>
      <c r="B10" s="757"/>
      <c r="C10" s="75" t="s">
        <v>12</v>
      </c>
      <c r="D10" s="418" t="s">
        <v>279</v>
      </c>
      <c r="E10" s="383"/>
      <c r="F10" s="383"/>
      <c r="G10" s="460"/>
      <c r="H10" s="510"/>
    </row>
    <row r="11" spans="1:8" ht="55.5" x14ac:dyDescent="0.25">
      <c r="A11" s="757"/>
      <c r="B11" s="757"/>
      <c r="C11" s="75" t="s">
        <v>13</v>
      </c>
      <c r="D11" s="418" t="s">
        <v>264</v>
      </c>
      <c r="E11" s="383"/>
      <c r="F11" s="383"/>
      <c r="G11" s="460"/>
      <c r="H11" s="510"/>
    </row>
    <row r="12" spans="1:8" ht="42.75" customHeight="1" thickBot="1" x14ac:dyDescent="0.3">
      <c r="A12" s="757"/>
      <c r="B12" s="757"/>
      <c r="C12" s="76" t="s">
        <v>15</v>
      </c>
      <c r="D12" s="363"/>
      <c r="E12" s="330"/>
      <c r="F12" s="330"/>
      <c r="G12" s="330"/>
      <c r="H12" s="350"/>
    </row>
    <row r="13" spans="1:8" ht="111.75" customHeight="1" x14ac:dyDescent="0.25">
      <c r="A13" s="757" t="s">
        <v>1</v>
      </c>
      <c r="B13" s="756">
        <f>B8+1</f>
        <v>46287</v>
      </c>
      <c r="C13" s="74" t="s">
        <v>10</v>
      </c>
      <c r="D13" s="469" t="s">
        <v>272</v>
      </c>
      <c r="E13" s="367" t="s">
        <v>272</v>
      </c>
      <c r="F13" s="367" t="s">
        <v>272</v>
      </c>
      <c r="G13" s="303" t="s">
        <v>272</v>
      </c>
      <c r="H13" s="321" t="s">
        <v>272</v>
      </c>
    </row>
    <row r="14" spans="1:8" ht="84" customHeight="1" x14ac:dyDescent="0.25">
      <c r="A14" s="757"/>
      <c r="B14" s="757"/>
      <c r="C14" s="75" t="s">
        <v>11</v>
      </c>
      <c r="D14" s="374" t="s">
        <v>240</v>
      </c>
      <c r="E14" s="369" t="s">
        <v>240</v>
      </c>
      <c r="F14" s="369" t="s">
        <v>240</v>
      </c>
      <c r="G14" s="279" t="s">
        <v>240</v>
      </c>
      <c r="H14" s="280" t="s">
        <v>240</v>
      </c>
    </row>
    <row r="15" spans="1:8" ht="104.25" customHeight="1" x14ac:dyDescent="0.25">
      <c r="A15" s="757"/>
      <c r="B15" s="757"/>
      <c r="C15" s="75" t="s">
        <v>12</v>
      </c>
      <c r="D15" s="517" t="s">
        <v>257</v>
      </c>
      <c r="E15" s="279" t="s">
        <v>248</v>
      </c>
      <c r="F15" s="279"/>
      <c r="G15" s="279" t="s">
        <v>102</v>
      </c>
      <c r="H15" s="510" t="s">
        <v>103</v>
      </c>
    </row>
    <row r="16" spans="1:8" ht="120.75" customHeight="1" x14ac:dyDescent="0.25">
      <c r="A16" s="757"/>
      <c r="B16" s="757"/>
      <c r="C16" s="75" t="s">
        <v>13</v>
      </c>
      <c r="D16" s="517"/>
      <c r="E16" s="279" t="s">
        <v>257</v>
      </c>
      <c r="F16" s="279"/>
      <c r="G16" s="279" t="s">
        <v>238</v>
      </c>
      <c r="H16" s="282" t="s">
        <v>266</v>
      </c>
    </row>
    <row r="17" spans="1:8" ht="78.75" customHeight="1" x14ac:dyDescent="0.25">
      <c r="A17" s="757"/>
      <c r="B17" s="757"/>
      <c r="C17" s="548" t="s">
        <v>15</v>
      </c>
      <c r="D17" s="524"/>
      <c r="E17" s="546"/>
      <c r="F17" s="546"/>
      <c r="G17" s="546"/>
      <c r="H17" s="518"/>
    </row>
    <row r="18" spans="1:8" ht="28.5" thickBot="1" x14ac:dyDescent="0.3">
      <c r="A18" s="757"/>
      <c r="B18" s="757"/>
      <c r="C18" s="547" t="s">
        <v>60</v>
      </c>
      <c r="D18" s="324"/>
      <c r="E18" s="383"/>
      <c r="F18" s="325"/>
      <c r="G18" s="325"/>
      <c r="H18" s="326"/>
    </row>
    <row r="19" spans="1:8" ht="98.25" customHeight="1" x14ac:dyDescent="0.25">
      <c r="A19" s="775" t="s">
        <v>2</v>
      </c>
      <c r="B19" s="798">
        <f>B13+1</f>
        <v>46288</v>
      </c>
      <c r="C19" s="205" t="s">
        <v>10</v>
      </c>
      <c r="D19" s="302" t="s">
        <v>254</v>
      </c>
      <c r="E19" s="303" t="s">
        <v>281</v>
      </c>
      <c r="F19" s="303" t="s">
        <v>258</v>
      </c>
      <c r="G19" s="303"/>
      <c r="H19" s="321"/>
    </row>
    <row r="20" spans="1:8" ht="85.5" customHeight="1" x14ac:dyDescent="0.25">
      <c r="A20" s="775"/>
      <c r="B20" s="775"/>
      <c r="C20" s="206" t="s">
        <v>11</v>
      </c>
      <c r="D20" s="278" t="s">
        <v>254</v>
      </c>
      <c r="E20" s="279" t="s">
        <v>282</v>
      </c>
      <c r="F20" s="279" t="s">
        <v>249</v>
      </c>
      <c r="G20" s="279"/>
      <c r="H20" s="280"/>
    </row>
    <row r="21" spans="1:8" ht="108" customHeight="1" x14ac:dyDescent="0.25">
      <c r="A21" s="775"/>
      <c r="B21" s="775"/>
      <c r="C21" s="206" t="s">
        <v>12</v>
      </c>
      <c r="D21" s="374" t="s">
        <v>246</v>
      </c>
      <c r="E21" s="402"/>
      <c r="F21" s="279" t="s">
        <v>261</v>
      </c>
      <c r="G21" s="279"/>
      <c r="H21" s="510" t="s">
        <v>239</v>
      </c>
    </row>
    <row r="22" spans="1:8" ht="78.75" customHeight="1" x14ac:dyDescent="0.25">
      <c r="A22" s="775"/>
      <c r="B22" s="775"/>
      <c r="C22" s="206" t="s">
        <v>13</v>
      </c>
      <c r="D22" s="374" t="s">
        <v>295</v>
      </c>
      <c r="E22" s="404"/>
      <c r="F22" s="279"/>
      <c r="G22" s="279"/>
      <c r="H22" s="510" t="s">
        <v>239</v>
      </c>
    </row>
    <row r="23" spans="1:8" ht="78.75" customHeight="1" thickBot="1" x14ac:dyDescent="0.3">
      <c r="A23" s="775"/>
      <c r="B23" s="775"/>
      <c r="C23" s="209" t="s">
        <v>15</v>
      </c>
      <c r="D23" s="217"/>
      <c r="E23" s="457"/>
      <c r="F23" s="218"/>
      <c r="G23" s="218"/>
      <c r="H23" s="219"/>
    </row>
    <row r="24" spans="1:8" ht="111" x14ac:dyDescent="0.25">
      <c r="A24" s="775" t="s">
        <v>3</v>
      </c>
      <c r="B24" s="799">
        <f>B19+1</f>
        <v>46289</v>
      </c>
      <c r="C24" s="205" t="s">
        <v>10</v>
      </c>
      <c r="D24" s="302" t="s">
        <v>294</v>
      </c>
      <c r="E24" s="303" t="s">
        <v>248</v>
      </c>
      <c r="F24" s="299" t="s">
        <v>266</v>
      </c>
      <c r="G24" s="299" t="s">
        <v>266</v>
      </c>
      <c r="H24" s="321" t="s">
        <v>284</v>
      </c>
    </row>
    <row r="25" spans="1:8" ht="111" x14ac:dyDescent="0.25">
      <c r="A25" s="781"/>
      <c r="B25" s="800"/>
      <c r="C25" s="206" t="s">
        <v>11</v>
      </c>
      <c r="D25" s="281" t="s">
        <v>266</v>
      </c>
      <c r="E25" s="248" t="s">
        <v>260</v>
      </c>
      <c r="F25" s="248" t="s">
        <v>237</v>
      </c>
      <c r="G25" s="248" t="s">
        <v>238</v>
      </c>
      <c r="H25" s="282" t="s">
        <v>284</v>
      </c>
    </row>
    <row r="26" spans="1:8" ht="94.5" customHeight="1" x14ac:dyDescent="0.25">
      <c r="A26" s="781"/>
      <c r="B26" s="800"/>
      <c r="C26" s="206" t="s">
        <v>12</v>
      </c>
      <c r="D26" s="374" t="s">
        <v>241</v>
      </c>
      <c r="E26" s="410" t="s">
        <v>241</v>
      </c>
      <c r="F26" s="404" t="s">
        <v>241</v>
      </c>
      <c r="G26" s="402" t="s">
        <v>241</v>
      </c>
      <c r="H26" s="403" t="s">
        <v>241</v>
      </c>
    </row>
    <row r="27" spans="1:8" ht="137.25" customHeight="1" x14ac:dyDescent="0.25">
      <c r="A27" s="781"/>
      <c r="B27" s="800"/>
      <c r="C27" s="206" t="s">
        <v>13</v>
      </c>
      <c r="D27" s="375" t="s">
        <v>253</v>
      </c>
      <c r="E27" s="404" t="s">
        <v>253</v>
      </c>
      <c r="F27" s="404" t="s">
        <v>253</v>
      </c>
      <c r="G27" s="402" t="s">
        <v>253</v>
      </c>
      <c r="H27" s="403" t="s">
        <v>253</v>
      </c>
    </row>
    <row r="28" spans="1:8" ht="39" customHeight="1" thickBot="1" x14ac:dyDescent="0.3">
      <c r="A28" s="781"/>
      <c r="B28" s="800"/>
      <c r="C28" s="207" t="s">
        <v>15</v>
      </c>
      <c r="D28" s="217"/>
      <c r="E28" s="468"/>
      <c r="F28" s="457"/>
      <c r="G28" s="457"/>
      <c r="H28" s="459"/>
    </row>
    <row r="29" spans="1:8" ht="83.25" x14ac:dyDescent="0.25">
      <c r="A29" s="775" t="s">
        <v>4</v>
      </c>
      <c r="B29" s="798">
        <f>B24+1</f>
        <v>46290</v>
      </c>
      <c r="C29" s="210" t="s">
        <v>10</v>
      </c>
      <c r="D29" s="293" t="s">
        <v>259</v>
      </c>
      <c r="E29" s="294"/>
      <c r="F29" s="294" t="s">
        <v>255</v>
      </c>
      <c r="G29" s="532" t="s">
        <v>256</v>
      </c>
      <c r="H29" s="295"/>
    </row>
    <row r="30" spans="1:8" ht="83.25" x14ac:dyDescent="0.25">
      <c r="A30" s="775"/>
      <c r="B30" s="775"/>
      <c r="C30" s="206" t="s">
        <v>11</v>
      </c>
      <c r="D30" s="283" t="s">
        <v>247</v>
      </c>
      <c r="E30" s="247"/>
      <c r="F30" s="247" t="s">
        <v>255</v>
      </c>
      <c r="G30" s="474" t="s">
        <v>256</v>
      </c>
      <c r="H30" s="284"/>
    </row>
    <row r="31" spans="1:8" ht="102" customHeight="1" x14ac:dyDescent="0.25">
      <c r="A31" s="775"/>
      <c r="B31" s="775"/>
      <c r="C31" s="206" t="s">
        <v>12</v>
      </c>
      <c r="D31" s="281"/>
      <c r="E31" s="248" t="s">
        <v>236</v>
      </c>
      <c r="F31" s="279" t="s">
        <v>249</v>
      </c>
      <c r="G31" s="248" t="s">
        <v>251</v>
      </c>
      <c r="H31" s="282" t="s">
        <v>262</v>
      </c>
    </row>
    <row r="32" spans="1:8" ht="102" customHeight="1" x14ac:dyDescent="0.25">
      <c r="A32" s="775"/>
      <c r="B32" s="775"/>
      <c r="C32" s="206" t="s">
        <v>13</v>
      </c>
      <c r="D32" s="281"/>
      <c r="E32" s="248" t="s">
        <v>236</v>
      </c>
      <c r="F32" s="248"/>
      <c r="G32" s="319" t="s">
        <v>262</v>
      </c>
      <c r="H32" s="282" t="s">
        <v>252</v>
      </c>
    </row>
    <row r="33" spans="1:8" ht="78.75" customHeight="1" thickBot="1" x14ac:dyDescent="0.3">
      <c r="A33" s="797"/>
      <c r="B33" s="797"/>
      <c r="C33" s="209" t="s">
        <v>15</v>
      </c>
      <c r="D33" s="285"/>
      <c r="E33" s="286"/>
      <c r="F33" s="286"/>
      <c r="G33" s="286"/>
      <c r="H33" s="287"/>
    </row>
    <row r="34" spans="1:8" ht="42.75" customHeight="1" x14ac:dyDescent="0.25">
      <c r="A34" s="795" t="s">
        <v>47</v>
      </c>
      <c r="B34" s="796">
        <f>B29+1</f>
        <v>46291</v>
      </c>
      <c r="C34" s="64" t="s">
        <v>10</v>
      </c>
      <c r="D34" s="200"/>
      <c r="E34" s="201"/>
      <c r="F34" s="364"/>
      <c r="G34" s="364"/>
      <c r="H34" s="202"/>
    </row>
    <row r="35" spans="1:8" ht="42.75" customHeight="1" x14ac:dyDescent="0.25">
      <c r="A35" s="757"/>
      <c r="B35" s="757"/>
      <c r="C35" s="65" t="s">
        <v>11</v>
      </c>
      <c r="D35" s="203"/>
      <c r="E35" s="365"/>
      <c r="F35" s="365"/>
      <c r="G35" s="365"/>
      <c r="H35" s="194"/>
    </row>
    <row r="36" spans="1:8" ht="42.75" customHeight="1" x14ac:dyDescent="0.25">
      <c r="A36" s="757"/>
      <c r="B36" s="757"/>
      <c r="C36" s="65" t="s">
        <v>12</v>
      </c>
      <c r="D36" s="193"/>
      <c r="E36" s="365"/>
      <c r="F36" s="365"/>
      <c r="G36" s="365"/>
      <c r="H36" s="194"/>
    </row>
    <row r="37" spans="1:8" ht="42.75" customHeight="1" x14ac:dyDescent="0.25">
      <c r="A37" s="757"/>
      <c r="B37" s="757"/>
      <c r="C37" s="65" t="s">
        <v>13</v>
      </c>
      <c r="D37" s="203"/>
      <c r="E37" s="327"/>
      <c r="F37" s="327"/>
      <c r="G37" s="327"/>
      <c r="H37" s="328"/>
    </row>
    <row r="38" spans="1:8" ht="42.75" customHeight="1" thickBot="1" x14ac:dyDescent="0.3">
      <c r="A38" s="758"/>
      <c r="B38" s="758"/>
      <c r="C38" s="66" t="s">
        <v>15</v>
      </c>
      <c r="D38" s="99"/>
      <c r="E38" s="100"/>
      <c r="F38" s="100"/>
      <c r="G38" s="100"/>
      <c r="H38" s="329"/>
    </row>
    <row r="39" spans="1:8" ht="37.5" customHeight="1" x14ac:dyDescent="0.45">
      <c r="A39" s="2"/>
      <c r="B39" s="2"/>
      <c r="C39" s="2"/>
      <c r="D39" s="177" t="s">
        <v>82</v>
      </c>
      <c r="E39" s="2"/>
      <c r="F39" s="2"/>
      <c r="G39" s="2"/>
      <c r="H39" s="2"/>
    </row>
    <row r="40" spans="1:8" s="19" customFormat="1" ht="23.25" x14ac:dyDescent="0.35">
      <c r="A40" s="18"/>
      <c r="B40" s="18"/>
      <c r="C40" s="70" t="str">
        <f>'01.09'!C39</f>
        <v>*Л. Физиология человека*</v>
      </c>
      <c r="D40" s="71">
        <f>'14.09'!D40+COUNTIF(D$8:D$38,$C40)</f>
        <v>5</v>
      </c>
      <c r="E40" s="71">
        <f>'14.09'!E40+COUNTIF(E$8:E$38,$C40)</f>
        <v>5</v>
      </c>
      <c r="F40" s="71">
        <f>'14.09'!F40+COUNTIF(F$8:F$38,$C40)</f>
        <v>5</v>
      </c>
      <c r="G40" s="71">
        <f>'14.09'!G40+COUNTIF(G$8:G$38,$C40)</f>
        <v>5</v>
      </c>
      <c r="H40" s="71">
        <f>'14.09'!H40+COUNTIF(H$8:H$38,$C40)</f>
        <v>5</v>
      </c>
    </row>
    <row r="41" spans="1:8" s="19" customFormat="1" ht="23.25" x14ac:dyDescent="0.35">
      <c r="A41" s="18"/>
      <c r="B41" s="18"/>
      <c r="C41" s="70" t="str">
        <f>'01.09'!C40</f>
        <v>*Пр. Физиология человека*</v>
      </c>
      <c r="D41" s="72">
        <f>'14.09'!D41+COUNTIF(D$8:D$38,$C41)</f>
        <v>6</v>
      </c>
      <c r="E41" s="72">
        <f>'14.09'!E41+COUNTIF(E$8:E$38,$C41)</f>
        <v>6</v>
      </c>
      <c r="F41" s="72">
        <f>'14.09'!F41+COUNTIF(F$8:F$38,$C41)</f>
        <v>6</v>
      </c>
      <c r="G41" s="72">
        <f>'14.09'!G41+COUNTIF(G$8:G$38,$C41)</f>
        <v>6</v>
      </c>
      <c r="H41" s="72">
        <f>'14.09'!H41+COUNTIF(H$8:H$38,$C41)</f>
        <v>6</v>
      </c>
    </row>
    <row r="42" spans="1:8" s="19" customFormat="1" ht="23.25" x14ac:dyDescent="0.35">
      <c r="A42" s="18"/>
      <c r="B42" s="18"/>
      <c r="C42" s="70" t="str">
        <f>'01.09'!C41</f>
        <v>*Л. Элективные дисциплины по ФКиС: Фехтование*</v>
      </c>
      <c r="D42" s="71">
        <f>'14.09'!D42+COUNTIF(D$8:D$38,$C42)</f>
        <v>0</v>
      </c>
      <c r="E42" s="71">
        <f>'14.09'!E42+COUNTIF(E$8:E$38,$C42)</f>
        <v>0</v>
      </c>
      <c r="F42" s="71">
        <f>'14.09'!F42+COUNTIF(F$8:F$38,$C42)</f>
        <v>0</v>
      </c>
      <c r="G42" s="71">
        <f>'14.09'!G42+COUNTIF(G$8:G$38,$C42)</f>
        <v>0</v>
      </c>
      <c r="H42" s="71">
        <f>'14.09'!H42+COUNTIF(H$8:H$38,$C42)</f>
        <v>0</v>
      </c>
    </row>
    <row r="43" spans="1:8" s="19" customFormat="1" ht="23.25" x14ac:dyDescent="0.35">
      <c r="A43" s="18"/>
      <c r="B43" s="18"/>
      <c r="C43" s="70" t="str">
        <f>'01.09'!C42</f>
        <v>*Пр. Элективные дисциплины по ФКиС: Фехтование*</v>
      </c>
      <c r="D43" s="72">
        <f>'14.09'!D43+COUNTIF(D$8:D$38,$C43)</f>
        <v>0</v>
      </c>
      <c r="E43" s="72">
        <f>'14.09'!E43+COUNTIF(E$8:E$38,$C43)</f>
        <v>0</v>
      </c>
      <c r="F43" s="72">
        <f>'14.09'!F43+COUNTIF(F$8:F$38,$C43)</f>
        <v>0</v>
      </c>
      <c r="G43" s="72">
        <f>'14.09'!G43+COUNTIF(G$8:G$38,$C43)</f>
        <v>0</v>
      </c>
      <c r="H43" s="72">
        <f>'14.09'!H43+COUNTIF(H$8:H$38,$C43)</f>
        <v>0</v>
      </c>
    </row>
    <row r="44" spans="1:8" s="19" customFormat="1" ht="23.25" x14ac:dyDescent="0.35">
      <c r="A44" s="18"/>
      <c r="B44" s="18"/>
      <c r="C44" s="70" t="str">
        <f>'01.09'!C43</f>
        <v>*Л. Педагогика физической культуры и спорта*</v>
      </c>
      <c r="D44" s="71">
        <f>'14.09'!D44+COUNTIF(D$8:D$38,$C44)</f>
        <v>4</v>
      </c>
      <c r="E44" s="71">
        <f>'14.09'!E44+COUNTIF(E$8:E$38,$C44)</f>
        <v>4</v>
      </c>
      <c r="F44" s="71">
        <f>'14.09'!F44+COUNTIF(F$8:F$38,$C44)</f>
        <v>4</v>
      </c>
      <c r="G44" s="71">
        <f>'14.09'!G44+COUNTIF(G$8:G$38,$C44)</f>
        <v>4</v>
      </c>
      <c r="H44" s="71">
        <f>'14.09'!H44+COUNTIF(H$8:H$38,$C44)</f>
        <v>4</v>
      </c>
    </row>
    <row r="45" spans="1:8" s="19" customFormat="1" ht="23.25" x14ac:dyDescent="0.35">
      <c r="A45" s="18"/>
      <c r="B45" s="18"/>
      <c r="C45" s="70" t="str">
        <f>'01.09'!C44</f>
        <v>*Пр. Педагогика физической культуры и спорта*</v>
      </c>
      <c r="D45" s="72">
        <f>'14.09'!D45+COUNTIF(D$8:D$38,$C45)</f>
        <v>0</v>
      </c>
      <c r="E45" s="72">
        <f>'14.09'!E45+COUNTIF(E$8:E$38,$C45)</f>
        <v>0</v>
      </c>
      <c r="F45" s="72">
        <f>'14.09'!F45+COUNTIF(F$8:F$38,$C45)</f>
        <v>0</v>
      </c>
      <c r="G45" s="72">
        <f>'14.09'!G45+COUNTIF(G$8:G$38,$C45)</f>
        <v>0</v>
      </c>
      <c r="H45" s="72">
        <f>'14.09'!H45+COUNTIF(H$8:H$38,$C45)</f>
        <v>0</v>
      </c>
    </row>
    <row r="46" spans="1:8" s="19" customFormat="1" ht="23.25" x14ac:dyDescent="0.35">
      <c r="A46" s="18"/>
      <c r="B46" s="18"/>
      <c r="C46" s="70" t="str">
        <f>'01.09'!C45</f>
        <v>*Л. Теория и методика*</v>
      </c>
      <c r="D46" s="71">
        <f>'14.09'!D46+COUNTIF(D$8:D$38,$C46)</f>
        <v>3</v>
      </c>
      <c r="E46" s="71">
        <f>'14.09'!E46+COUNTIF(E$8:E$38,$C46)</f>
        <v>3</v>
      </c>
      <c r="F46" s="71">
        <f>'14.09'!F46+COUNTIF(F$8:F$38,$C46)</f>
        <v>3</v>
      </c>
      <c r="G46" s="71">
        <f>'14.09'!G46+COUNTIF(G$8:G$38,$C46)</f>
        <v>3</v>
      </c>
      <c r="H46" s="71">
        <f>'14.09'!H46+COUNTIF(H$8:H$38,$C46)</f>
        <v>3</v>
      </c>
    </row>
    <row r="47" spans="1:8" s="19" customFormat="1" ht="23.25" x14ac:dyDescent="0.35">
      <c r="A47" s="18"/>
      <c r="B47" s="18"/>
      <c r="C47" s="70" t="str">
        <f>'01.09'!C46</f>
        <v>*Пр. Теория и методика*</v>
      </c>
      <c r="D47" s="72">
        <f>'14.09'!D47+COUNTIF(D$8:D$38,$C47)</f>
        <v>7</v>
      </c>
      <c r="E47" s="72">
        <f>'14.09'!E47+COUNTIF(E$8:E$38,$C47)</f>
        <v>7</v>
      </c>
      <c r="F47" s="72">
        <f>'14.09'!F47+COUNTIF(F$8:F$38,$C47)</f>
        <v>7</v>
      </c>
      <c r="G47" s="72">
        <f>'14.09'!G47+COUNTIF(G$8:G$38,$C47)</f>
        <v>7</v>
      </c>
      <c r="H47" s="72">
        <f>'14.09'!H47+COUNTIF(H$8:H$38,$C47)</f>
        <v>7</v>
      </c>
    </row>
    <row r="48" spans="1:8" s="19" customFormat="1" ht="23.25" x14ac:dyDescent="0.35">
      <c r="A48" s="18"/>
      <c r="B48" s="18"/>
      <c r="C48" s="70" t="str">
        <f>'01.09'!C47</f>
        <v>*Л.  Теория и методика физической культуры*</v>
      </c>
      <c r="D48" s="71">
        <f>'14.09'!D48+COUNTIF(D$8:D$38,$C48)</f>
        <v>3</v>
      </c>
      <c r="E48" s="71">
        <f>'14.09'!E48+COUNTIF(E$8:E$38,$C48)</f>
        <v>3</v>
      </c>
      <c r="F48" s="71">
        <f>'14.09'!F48+COUNTIF(F$8:F$38,$C48)</f>
        <v>3</v>
      </c>
      <c r="G48" s="71">
        <f>'14.09'!G48+COUNTIF(G$8:G$38,$C48)</f>
        <v>3</v>
      </c>
      <c r="H48" s="71">
        <f>'14.09'!H48+COUNTIF(H$8:H$38,$C48)</f>
        <v>3</v>
      </c>
    </row>
    <row r="49" spans="1:8" s="19" customFormat="1" ht="23.25" x14ac:dyDescent="0.35">
      <c r="A49" s="18"/>
      <c r="B49" s="18"/>
      <c r="C49" s="70" t="str">
        <f>'01.09'!C48</f>
        <v>*Пр.  Теория и методика физической культуры*</v>
      </c>
      <c r="D49" s="72">
        <f>'14.09'!D49+COUNTIF(D$8:D$38,$C49)</f>
        <v>0</v>
      </c>
      <c r="E49" s="72">
        <f>'14.09'!E49+COUNTIF(E$8:E$38,$C49)</f>
        <v>0</v>
      </c>
      <c r="F49" s="72">
        <f>'14.09'!F49+COUNTIF(F$8:F$38,$C49)</f>
        <v>0</v>
      </c>
      <c r="G49" s="72">
        <f>'14.09'!G49+COUNTIF(G$8:G$38,$C49)</f>
        <v>0</v>
      </c>
      <c r="H49" s="72">
        <f>'14.09'!H49+COUNTIF(H$8:H$38,$C49)</f>
        <v>0</v>
      </c>
    </row>
    <row r="50" spans="1:8" s="19" customFormat="1" ht="23.25" x14ac:dyDescent="0.35">
      <c r="A50" s="18"/>
      <c r="B50" s="18"/>
      <c r="C50" s="70" t="str">
        <f>'01.09'!C49</f>
        <v>*Л. Плавание*</v>
      </c>
      <c r="D50" s="71">
        <f>'14.09'!D50+COUNTIF(D$8:D$38,$C50)</f>
        <v>2</v>
      </c>
      <c r="E50" s="71">
        <f>'14.09'!E50+COUNTIF(E$8:E$38,$C50)</f>
        <v>2</v>
      </c>
      <c r="F50" s="71">
        <f>'14.09'!F50+COUNTIF(F$8:F$38,$C50)</f>
        <v>2</v>
      </c>
      <c r="G50" s="71">
        <f>'14.09'!G50+COUNTIF(G$8:G$38,$C50)</f>
        <v>2</v>
      </c>
      <c r="H50" s="71">
        <f>'14.09'!H50+COUNTIF(H$8:H$38,$C50)</f>
        <v>2</v>
      </c>
    </row>
    <row r="51" spans="1:8" s="19" customFormat="1" ht="23.25" x14ac:dyDescent="0.35">
      <c r="A51" s="18"/>
      <c r="B51" s="18"/>
      <c r="C51" s="70" t="str">
        <f>'01.09'!C50</f>
        <v>*Пр. Плавание*</v>
      </c>
      <c r="D51" s="72">
        <f>'14.09'!D51+COUNTIF(D$8:D$38,$C51)</f>
        <v>6</v>
      </c>
      <c r="E51" s="72">
        <f>'14.09'!E51+COUNTIF(E$8:E$38,$C51)</f>
        <v>6</v>
      </c>
      <c r="F51" s="72">
        <f>'14.09'!F51+COUNTIF(F$8:F$38,$C51)</f>
        <v>6</v>
      </c>
      <c r="G51" s="72">
        <f>'14.09'!G51+COUNTIF(G$8:G$38,$C51)</f>
        <v>6</v>
      </c>
      <c r="H51" s="72">
        <f>'14.09'!H51+COUNTIF(H$8:H$38,$C51)</f>
        <v>6</v>
      </c>
    </row>
    <row r="52" spans="1:8" s="19" customFormat="1" ht="23.25" x14ac:dyDescent="0.35">
      <c r="A52" s="18"/>
      <c r="B52" s="18"/>
      <c r="C52" s="70" t="str">
        <f>'01.09'!C51</f>
        <v>*Л. Подвижные игры в спорте и образовании*</v>
      </c>
      <c r="D52" s="71">
        <f>'14.09'!D52+COUNTIF(D$8:D$38,$C52)</f>
        <v>1</v>
      </c>
      <c r="E52" s="71">
        <f>'14.09'!E52+COUNTIF(E$8:E$38,$C52)</f>
        <v>1</v>
      </c>
      <c r="F52" s="71">
        <f>'14.09'!F52+COUNTIF(F$8:F$38,$C52)</f>
        <v>1</v>
      </c>
      <c r="G52" s="71">
        <f>'14.09'!G52+COUNTIF(G$8:G$38,$C52)</f>
        <v>1</v>
      </c>
      <c r="H52" s="71">
        <f>'14.09'!H52+COUNTIF(H$8:H$38,$C52)</f>
        <v>1</v>
      </c>
    </row>
    <row r="53" spans="1:8" s="19" customFormat="1" ht="23.25" x14ac:dyDescent="0.35">
      <c r="A53" s="18"/>
      <c r="B53" s="18"/>
      <c r="C53" s="70" t="str">
        <f>'01.09'!C52</f>
        <v>*Пр. Подвижные игры в спорте и образовании*</v>
      </c>
      <c r="D53" s="72">
        <f>'14.09'!D53+COUNTIF(D$8:D$38,$C53)</f>
        <v>3</v>
      </c>
      <c r="E53" s="72">
        <f>'14.09'!E53+COUNTIF(E$8:E$38,$C53)</f>
        <v>3</v>
      </c>
      <c r="F53" s="72">
        <f>'14.09'!F53+COUNTIF(F$8:F$38,$C53)</f>
        <v>3</v>
      </c>
      <c r="G53" s="72">
        <f>'14.09'!G53+COUNTIF(G$8:G$38,$C53)</f>
        <v>3</v>
      </c>
      <c r="H53" s="72">
        <f>'14.09'!H53+COUNTIF(H$8:H$38,$C53)</f>
        <v>3</v>
      </c>
    </row>
    <row r="54" spans="1:8" s="19" customFormat="1" ht="23.25" x14ac:dyDescent="0.35">
      <c r="A54" s="18"/>
      <c r="B54" s="18"/>
      <c r="C54" s="70" t="str">
        <f>'01.09'!C53</f>
        <v>*Л. Самооборона (самбо)*</v>
      </c>
      <c r="D54" s="71">
        <f>'14.09'!D54+COUNTIF(D$8:D$38,$C54)</f>
        <v>1</v>
      </c>
      <c r="E54" s="71">
        <f>'14.09'!E54+COUNTIF(E$8:E$38,$C54)</f>
        <v>1</v>
      </c>
      <c r="F54" s="71">
        <f>'14.09'!F54+COUNTIF(F$8:F$38,$C54)</f>
        <v>1</v>
      </c>
      <c r="G54" s="71">
        <f>'14.09'!G54+COUNTIF(G$8:G$38,$C54)</f>
        <v>1</v>
      </c>
      <c r="H54" s="71">
        <f>'14.09'!H54+COUNTIF(H$8:H$38,$C54)</f>
        <v>1</v>
      </c>
    </row>
    <row r="55" spans="1:8" s="19" customFormat="1" ht="23.25" x14ac:dyDescent="0.35">
      <c r="A55" s="18"/>
      <c r="B55" s="18"/>
      <c r="C55" s="70" t="str">
        <f>'01.09'!C54</f>
        <v>*Пр. Самооборона (самбо)*</v>
      </c>
      <c r="D55" s="72">
        <f>'14.09'!D55+COUNTIF(D$8:D$38,$C55)</f>
        <v>3</v>
      </c>
      <c r="E55" s="72">
        <f>'14.09'!E55+COUNTIF(E$8:E$38,$C55)</f>
        <v>3</v>
      </c>
      <c r="F55" s="72">
        <f>'14.09'!F55+COUNTIF(F$8:F$38,$C55)</f>
        <v>3</v>
      </c>
      <c r="G55" s="72">
        <f>'14.09'!G55+COUNTIF(G$8:G$38,$C55)</f>
        <v>3</v>
      </c>
      <c r="H55" s="72">
        <f>'14.09'!H55+COUNTIF(H$8:H$38,$C55)</f>
        <v>3</v>
      </c>
    </row>
    <row r="56" spans="1:8" s="19" customFormat="1" ht="23.25" x14ac:dyDescent="0.35">
      <c r="A56" s="18"/>
      <c r="B56" s="18"/>
      <c r="C56" s="70" t="str">
        <f>'01.09'!C55</f>
        <v>*Л. Методика реализации программ*</v>
      </c>
      <c r="D56" s="71">
        <f>'14.09'!D56+COUNTIF(D$8:D$38,$C56)</f>
        <v>2</v>
      </c>
      <c r="E56" s="71">
        <f>'14.09'!E56+COUNTIF(E$8:E$38,$C56)</f>
        <v>2</v>
      </c>
      <c r="F56" s="71">
        <f>'14.09'!F56+COUNTIF(F$8:F$38,$C56)</f>
        <v>2</v>
      </c>
      <c r="G56" s="71">
        <f>'14.09'!G56+COUNTIF(G$8:G$38,$C56)</f>
        <v>2</v>
      </c>
      <c r="H56" s="71">
        <f>'14.09'!H56+COUNTIF(H$8:H$38,$C56)</f>
        <v>2</v>
      </c>
    </row>
    <row r="57" spans="1:8" s="19" customFormat="1" ht="23.25" x14ac:dyDescent="0.35">
      <c r="A57" s="18"/>
      <c r="B57" s="18"/>
      <c r="C57" s="70" t="str">
        <f>'01.09'!C56</f>
        <v>*Пр. Методика реализации программ*</v>
      </c>
      <c r="D57" s="72">
        <f>'14.09'!D57+COUNTIF(D$8:D$38,$C57)</f>
        <v>0</v>
      </c>
      <c r="E57" s="72">
        <f>'14.09'!E57+COUNTIF(E$8:E$38,$C57)</f>
        <v>0</v>
      </c>
      <c r="F57" s="72">
        <f>'14.09'!F57+COUNTIF(F$8:F$38,$C57)</f>
        <v>0</v>
      </c>
      <c r="G57" s="72">
        <f>'14.09'!G57+COUNTIF(G$8:G$38,$C57)</f>
        <v>0</v>
      </c>
      <c r="H57" s="72">
        <f>'14.09'!H57+COUNTIF(H$8:H$38,$C57)</f>
        <v>0</v>
      </c>
    </row>
    <row r="58" spans="1:8" s="19" customFormat="1" ht="23.25" x14ac:dyDescent="0.35">
      <c r="A58" s="18"/>
      <c r="B58" s="18"/>
      <c r="C58" s="70" t="str">
        <f>'01.09'!C57</f>
        <v>*Л. Методика преподавания*</v>
      </c>
      <c r="D58" s="71">
        <f>'14.09'!D58+COUNTIF(D$8:D$38,$C58)</f>
        <v>3</v>
      </c>
      <c r="E58" s="71">
        <f>'14.09'!E58+COUNTIF(E$8:E$38,$C58)</f>
        <v>3</v>
      </c>
      <c r="F58" s="71">
        <f>'14.09'!F58+COUNTIF(F$8:F$38,$C58)</f>
        <v>3</v>
      </c>
      <c r="G58" s="71">
        <f>'14.09'!G58+COUNTIF(G$8:G$38,$C58)</f>
        <v>3</v>
      </c>
      <c r="H58" s="71">
        <f>'14.09'!H58+COUNTIF(H$8:H$38,$C58)</f>
        <v>3</v>
      </c>
    </row>
    <row r="59" spans="1:8" s="19" customFormat="1" ht="23.25" x14ac:dyDescent="0.35">
      <c r="A59" s="18"/>
      <c r="B59" s="18"/>
      <c r="C59" s="70" t="str">
        <f>'01.09'!C58</f>
        <v>*Пр. Методика преподавания*</v>
      </c>
      <c r="D59" s="72">
        <f>'14.09'!D59+COUNTIF(D$8:D$38,$C59)</f>
        <v>0</v>
      </c>
      <c r="E59" s="72">
        <f>'14.09'!E59+COUNTIF(E$8:E$38,$C59)</f>
        <v>0</v>
      </c>
      <c r="F59" s="72">
        <f>'14.09'!F59+COUNTIF(F$8:F$38,$C59)</f>
        <v>0</v>
      </c>
      <c r="G59" s="72">
        <f>'14.09'!G59+COUNTIF(G$8:G$38,$C59)</f>
        <v>0</v>
      </c>
      <c r="H59" s="72">
        <f>'14.09'!H59+COUNTIF(H$8:H$38,$C59)</f>
        <v>0</v>
      </c>
    </row>
    <row r="60" spans="1:8" s="19" customFormat="1" ht="23.25" x14ac:dyDescent="0.35">
      <c r="A60" s="18"/>
      <c r="B60" s="18"/>
      <c r="C60" s="70">
        <f>'01.09'!C59</f>
        <v>0</v>
      </c>
      <c r="D60" s="71">
        <f>'14.09'!D60+COUNTIF(D$8:D$38,$C60)</f>
        <v>0</v>
      </c>
      <c r="E60" s="71">
        <f>'14.09'!E60+COUNTIF(E$8:E$38,$C60)</f>
        <v>0</v>
      </c>
      <c r="F60" s="71">
        <f>'14.09'!F60+COUNTIF(F$8:F$38,$C60)</f>
        <v>0</v>
      </c>
      <c r="G60" s="71">
        <f>'14.09'!G60+COUNTIF(G$8:G$38,$C60)</f>
        <v>0</v>
      </c>
      <c r="H60" s="71">
        <f>'14.09'!H60+COUNTIF(H$8:H$38,$C60)</f>
        <v>0</v>
      </c>
    </row>
    <row r="61" spans="1:8" s="19" customFormat="1" ht="23.25" x14ac:dyDescent="0.35">
      <c r="A61" s="18"/>
      <c r="B61" s="18"/>
      <c r="C61" s="70">
        <f>'01.09'!C60</f>
        <v>0</v>
      </c>
      <c r="D61" s="71">
        <f>'14.09'!D61+COUNTIF(D$8:D$38,$C61)</f>
        <v>0</v>
      </c>
      <c r="E61" s="71">
        <f>'14.09'!E61+COUNTIF(E$8:E$38,$C61)</f>
        <v>0</v>
      </c>
      <c r="F61" s="71">
        <f>'14.09'!F61+COUNTIF(F$8:F$38,$C61)</f>
        <v>0</v>
      </c>
      <c r="G61" s="71">
        <f>'14.09'!G61+COUNTIF(G$8:G$38,$C61)</f>
        <v>0</v>
      </c>
      <c r="H61" s="71">
        <f>'14.09'!H61+COUNTIF(H$8:H$38,$C61)</f>
        <v>0</v>
      </c>
    </row>
    <row r="62" spans="1:8" ht="23.25" x14ac:dyDescent="0.35">
      <c r="A62" s="2"/>
      <c r="B62" s="2"/>
      <c r="C62" s="70">
        <f>'01.09'!C61</f>
        <v>0</v>
      </c>
      <c r="D62" s="71">
        <f>'14.09'!D62+COUNTIF(D$8:D$38,$C62)</f>
        <v>0</v>
      </c>
      <c r="E62" s="71">
        <f>'14.09'!E62+COUNTIF(E$8:E$38,$C62)</f>
        <v>0</v>
      </c>
      <c r="F62" s="71">
        <f>'14.09'!F62+COUNTIF(F$8:F$38,$C62)</f>
        <v>0</v>
      </c>
      <c r="G62" s="71">
        <f>'14.09'!G62+COUNTIF(G$8:G$38,$C62)</f>
        <v>0</v>
      </c>
      <c r="H62" s="71">
        <f>'14.09'!H62+COUNTIF(H$8:H$38,$C62)</f>
        <v>0</v>
      </c>
    </row>
    <row r="63" spans="1:8" ht="23.25" x14ac:dyDescent="0.35">
      <c r="A63" s="2"/>
      <c r="B63" s="2"/>
      <c r="C63" s="70">
        <f>'01.09'!C62</f>
        <v>0</v>
      </c>
      <c r="D63" s="71">
        <f>'14.09'!D63+COUNTIF(D$8:D$38,$C63)</f>
        <v>0</v>
      </c>
      <c r="E63" s="71">
        <f>'14.09'!E63+COUNTIF(E$8:E$38,$C63)</f>
        <v>0</v>
      </c>
      <c r="F63" s="71">
        <f>'14.09'!F63+COUNTIF(F$8:F$38,$C63)</f>
        <v>0</v>
      </c>
      <c r="G63" s="71">
        <f>'14.09'!G63+COUNTIF(G$8:G$38,$C63)</f>
        <v>0</v>
      </c>
      <c r="H63" s="71">
        <f>'14.09'!H63+COUNTIF(H$8:H$38,$C63)</f>
        <v>0</v>
      </c>
    </row>
    <row r="64" spans="1:8" ht="23.25" x14ac:dyDescent="0.35">
      <c r="A64" s="2"/>
      <c r="B64" s="2"/>
      <c r="C64" s="70">
        <f>'01.09'!C63</f>
        <v>0</v>
      </c>
      <c r="D64" s="71">
        <f>'14.09'!D64+COUNTIF(D$8:D$38,$C64)</f>
        <v>0</v>
      </c>
      <c r="E64" s="71">
        <f>'14.09'!E64+COUNTIF(E$8:E$38,$C64)</f>
        <v>0</v>
      </c>
      <c r="F64" s="71">
        <f>'14.09'!F64+COUNTIF(F$8:F$38,$C64)</f>
        <v>0</v>
      </c>
      <c r="G64" s="71">
        <f>'14.09'!G64+COUNTIF(G$8:G$38,$C64)</f>
        <v>0</v>
      </c>
      <c r="H64" s="71">
        <f>'14.09'!H64+COUNTIF(H$8:H$38,$C64)</f>
        <v>0</v>
      </c>
    </row>
    <row r="65" spans="1:8" ht="23.25" x14ac:dyDescent="0.35">
      <c r="A65" s="2"/>
      <c r="B65" s="2"/>
      <c r="C65" s="70">
        <f>'01.09'!C64</f>
        <v>0</v>
      </c>
      <c r="D65" s="71">
        <f>'14.09'!D65+COUNTIF(D$8:D$38,$C65)</f>
        <v>0</v>
      </c>
      <c r="E65" s="71">
        <f>'14.09'!E65+COUNTIF(E$8:E$38,$C65)</f>
        <v>0</v>
      </c>
      <c r="F65" s="71">
        <f>'14.09'!F65+COUNTIF(F$8:F$38,$C65)</f>
        <v>0</v>
      </c>
      <c r="G65" s="71">
        <f>'14.09'!G65+COUNTIF(G$8:G$38,$C65)</f>
        <v>0</v>
      </c>
      <c r="H65" s="71">
        <f>'14.09'!H65+COUNTIF(H$8:H$38,$C65)</f>
        <v>0</v>
      </c>
    </row>
    <row r="66" spans="1:8" ht="23.25" x14ac:dyDescent="0.35">
      <c r="A66" s="2"/>
      <c r="B66" s="2"/>
      <c r="C66" s="70">
        <f>'01.09'!C65</f>
        <v>0</v>
      </c>
      <c r="D66" s="71">
        <f>'14.09'!D66+COUNTIF(D$8:D$38,$C66)</f>
        <v>0</v>
      </c>
      <c r="E66" s="71">
        <f>'14.09'!E66+COUNTIF(E$8:E$38,$C66)</f>
        <v>0</v>
      </c>
      <c r="F66" s="71">
        <f>'14.09'!F66+COUNTIF(F$8:F$38,$C66)</f>
        <v>0</v>
      </c>
      <c r="G66" s="71">
        <f>'14.09'!G66+COUNTIF(G$8:G$38,$C66)</f>
        <v>0</v>
      </c>
      <c r="H66" s="71">
        <f>'14.09'!H66+COUNTIF(H$8:H$38,$C66)</f>
        <v>0</v>
      </c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A34:A38"/>
    <mergeCell ref="B34:B38"/>
    <mergeCell ref="A8:A12"/>
    <mergeCell ref="A13:A18"/>
    <mergeCell ref="B8:B12"/>
    <mergeCell ref="B13:B18"/>
    <mergeCell ref="A24:A28"/>
    <mergeCell ref="A29:A33"/>
    <mergeCell ref="B19:B23"/>
    <mergeCell ref="B24:B28"/>
    <mergeCell ref="B29:B33"/>
    <mergeCell ref="A19:A23"/>
    <mergeCell ref="A6:A7"/>
    <mergeCell ref="C6:C7"/>
    <mergeCell ref="B6:B7"/>
    <mergeCell ref="B1:H1"/>
    <mergeCell ref="B2:H2"/>
    <mergeCell ref="B3:H3"/>
    <mergeCell ref="B4:H4"/>
    <mergeCell ref="A5:H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8" fitToWidth="0" fitToHeight="0" orientation="portrait" r:id="rId1"/>
  <headerFooter alignWithMargins="0"/>
  <rowBreaks count="1" manualBreakCount="1">
    <brk id="39" max="1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H72"/>
  <sheetViews>
    <sheetView view="pageBreakPreview" topLeftCell="A22" zoomScale="40" zoomScaleNormal="40" zoomScaleSheetLayoutView="40" zoomScalePageLayoutView="40" workbookViewId="0">
      <selection activeCell="E30" sqref="E30"/>
    </sheetView>
  </sheetViews>
  <sheetFormatPr defaultRowHeight="15" x14ac:dyDescent="0.25"/>
  <cols>
    <col min="1" max="2" width="4.42578125" customWidth="1"/>
    <col min="3" max="3" width="21" customWidth="1"/>
    <col min="4" max="5" width="66" customWidth="1"/>
    <col min="6" max="6" width="63.42578125" customWidth="1"/>
    <col min="7" max="7" width="64.140625" customWidth="1"/>
    <col min="8" max="8" width="66" customWidth="1"/>
  </cols>
  <sheetData>
    <row r="1" spans="1:8" ht="30" x14ac:dyDescent="0.3">
      <c r="A1" s="178"/>
      <c r="B1" s="760" t="s">
        <v>140</v>
      </c>
      <c r="C1" s="760"/>
      <c r="D1" s="760"/>
      <c r="E1" s="760"/>
      <c r="F1" s="760"/>
      <c r="G1" s="760"/>
      <c r="H1" s="760"/>
    </row>
    <row r="2" spans="1:8" ht="30" x14ac:dyDescent="0.3">
      <c r="A2" s="179"/>
      <c r="B2" s="760" t="s">
        <v>87</v>
      </c>
      <c r="C2" s="760"/>
      <c r="D2" s="760"/>
      <c r="E2" s="760"/>
      <c r="F2" s="760"/>
      <c r="G2" s="760"/>
      <c r="H2" s="760"/>
    </row>
    <row r="3" spans="1:8" ht="33" customHeight="1" x14ac:dyDescent="0.25">
      <c r="A3" s="229"/>
      <c r="B3" s="787" t="s">
        <v>81</v>
      </c>
      <c r="C3" s="787"/>
      <c r="D3" s="787"/>
      <c r="E3" s="787"/>
      <c r="F3" s="787"/>
      <c r="G3" s="787"/>
      <c r="H3" s="787"/>
    </row>
    <row r="4" spans="1:8" ht="30" x14ac:dyDescent="0.25">
      <c r="A4" s="180"/>
      <c r="B4" s="760" t="s">
        <v>142</v>
      </c>
      <c r="C4" s="760"/>
      <c r="D4" s="760"/>
      <c r="E4" s="760"/>
      <c r="F4" s="760"/>
      <c r="G4" s="760"/>
      <c r="H4" s="760"/>
    </row>
    <row r="5" spans="1:8" ht="30.75" thickBot="1" x14ac:dyDescent="0.3">
      <c r="A5" s="682" t="s">
        <v>112</v>
      </c>
      <c r="B5" s="682"/>
      <c r="C5" s="682"/>
      <c r="D5" s="682"/>
      <c r="E5" s="682"/>
      <c r="F5" s="682"/>
      <c r="G5" s="682"/>
      <c r="H5" s="682"/>
    </row>
    <row r="6" spans="1:8" ht="29.25" customHeight="1" thickBot="1" x14ac:dyDescent="0.3">
      <c r="A6" s="770" t="s">
        <v>54</v>
      </c>
      <c r="B6" s="770" t="s">
        <v>14</v>
      </c>
      <c r="C6" s="793" t="s">
        <v>55</v>
      </c>
      <c r="D6" s="241" t="s">
        <v>5</v>
      </c>
      <c r="E6" s="242" t="s">
        <v>6</v>
      </c>
      <c r="F6" s="242" t="s">
        <v>7</v>
      </c>
      <c r="G6" s="242" t="s">
        <v>8</v>
      </c>
      <c r="H6" s="243" t="s">
        <v>9</v>
      </c>
    </row>
    <row r="7" spans="1:8" ht="90" customHeight="1" thickBot="1" x14ac:dyDescent="0.3">
      <c r="A7" s="771"/>
      <c r="B7" s="771"/>
      <c r="C7" s="794"/>
      <c r="D7" s="300" t="s">
        <v>106</v>
      </c>
      <c r="E7" s="370" t="s">
        <v>136</v>
      </c>
      <c r="F7" s="370" t="s">
        <v>107</v>
      </c>
      <c r="G7" s="370" t="s">
        <v>90</v>
      </c>
      <c r="H7" s="449" t="s">
        <v>78</v>
      </c>
    </row>
    <row r="8" spans="1:8" ht="166.5" x14ac:dyDescent="0.25">
      <c r="A8" s="776" t="s">
        <v>0</v>
      </c>
      <c r="B8" s="792">
        <v>46293</v>
      </c>
      <c r="C8" s="483" t="s">
        <v>10</v>
      </c>
      <c r="D8" s="651" t="s">
        <v>263</v>
      </c>
      <c r="E8" s="299" t="s">
        <v>267</v>
      </c>
      <c r="F8" s="299" t="s">
        <v>237</v>
      </c>
      <c r="G8" s="361" t="s">
        <v>250</v>
      </c>
      <c r="H8" s="362" t="s">
        <v>257</v>
      </c>
    </row>
    <row r="9" spans="1:8" ht="166.5" x14ac:dyDescent="0.25">
      <c r="A9" s="757"/>
      <c r="B9" s="757"/>
      <c r="C9" s="484" t="s">
        <v>11</v>
      </c>
      <c r="D9" s="375" t="s">
        <v>263</v>
      </c>
      <c r="E9" s="383" t="s">
        <v>268</v>
      </c>
      <c r="F9" s="383" t="s">
        <v>237</v>
      </c>
      <c r="G9" s="383" t="s">
        <v>300</v>
      </c>
      <c r="H9" s="414" t="s">
        <v>252</v>
      </c>
    </row>
    <row r="10" spans="1:8" ht="63.75" customHeight="1" x14ac:dyDescent="0.25">
      <c r="A10" s="757"/>
      <c r="B10" s="757"/>
      <c r="C10" s="484" t="s">
        <v>12</v>
      </c>
      <c r="D10" s="375" t="s">
        <v>264</v>
      </c>
      <c r="E10" s="383"/>
      <c r="F10" s="383"/>
      <c r="G10" s="460"/>
      <c r="H10" s="510"/>
    </row>
    <row r="11" spans="1:8" ht="63.75" customHeight="1" x14ac:dyDescent="0.25">
      <c r="A11" s="757"/>
      <c r="B11" s="757"/>
      <c r="C11" s="484" t="s">
        <v>13</v>
      </c>
      <c r="D11" s="375" t="s">
        <v>264</v>
      </c>
      <c r="E11" s="383"/>
      <c r="F11" s="383"/>
      <c r="G11" s="460"/>
      <c r="H11" s="510"/>
    </row>
    <row r="12" spans="1:8" ht="63.75" customHeight="1" thickBot="1" x14ac:dyDescent="0.3">
      <c r="A12" s="757"/>
      <c r="B12" s="757"/>
      <c r="C12" s="485" t="s">
        <v>15</v>
      </c>
      <c r="D12" s="363"/>
      <c r="E12" s="330"/>
      <c r="F12" s="330"/>
      <c r="G12" s="330"/>
      <c r="H12" s="350"/>
    </row>
    <row r="13" spans="1:8" ht="86.25" customHeight="1" x14ac:dyDescent="0.25">
      <c r="A13" s="757" t="s">
        <v>1</v>
      </c>
      <c r="B13" s="756">
        <f>B8+1</f>
        <v>46294</v>
      </c>
      <c r="C13" s="486" t="s">
        <v>10</v>
      </c>
      <c r="D13" s="469" t="s">
        <v>272</v>
      </c>
      <c r="E13" s="367" t="s">
        <v>272</v>
      </c>
      <c r="F13" s="367" t="s">
        <v>272</v>
      </c>
      <c r="G13" s="303" t="s">
        <v>272</v>
      </c>
      <c r="H13" s="321" t="s">
        <v>272</v>
      </c>
    </row>
    <row r="14" spans="1:8" ht="86.25" customHeight="1" x14ac:dyDescent="0.25">
      <c r="A14" s="757"/>
      <c r="B14" s="757"/>
      <c r="C14" s="487" t="s">
        <v>11</v>
      </c>
      <c r="D14" s="374" t="s">
        <v>240</v>
      </c>
      <c r="E14" s="369" t="s">
        <v>240</v>
      </c>
      <c r="F14" s="369" t="s">
        <v>240</v>
      </c>
      <c r="G14" s="279" t="s">
        <v>240</v>
      </c>
      <c r="H14" s="280" t="s">
        <v>240</v>
      </c>
    </row>
    <row r="15" spans="1:8" ht="86.25" customHeight="1" x14ac:dyDescent="0.25">
      <c r="A15" s="757"/>
      <c r="B15" s="757"/>
      <c r="C15" s="487" t="s">
        <v>12</v>
      </c>
      <c r="D15" s="517" t="s">
        <v>257</v>
      </c>
      <c r="E15" s="279" t="s">
        <v>248</v>
      </c>
      <c r="F15" s="279"/>
      <c r="G15" s="279" t="s">
        <v>238</v>
      </c>
      <c r="H15" s="510" t="s">
        <v>239</v>
      </c>
    </row>
    <row r="16" spans="1:8" ht="86.25" customHeight="1" x14ac:dyDescent="0.25">
      <c r="A16" s="757"/>
      <c r="B16" s="757"/>
      <c r="C16" s="487" t="s">
        <v>13</v>
      </c>
      <c r="D16" s="517"/>
      <c r="E16" s="279" t="s">
        <v>257</v>
      </c>
      <c r="F16" s="279"/>
      <c r="G16" s="279" t="s">
        <v>238</v>
      </c>
      <c r="H16" s="282" t="s">
        <v>266</v>
      </c>
    </row>
    <row r="17" spans="1:8" ht="86.25" customHeight="1" x14ac:dyDescent="0.25">
      <c r="A17" s="757"/>
      <c r="B17" s="757"/>
      <c r="C17" s="491" t="s">
        <v>15</v>
      </c>
      <c r="D17" s="524"/>
      <c r="E17" s="546"/>
      <c r="F17" s="546"/>
      <c r="G17" s="546"/>
      <c r="H17" s="518"/>
    </row>
    <row r="18" spans="1:8" ht="28.5" thickBot="1" x14ac:dyDescent="0.3">
      <c r="A18" s="757"/>
      <c r="B18" s="757"/>
      <c r="C18" s="489" t="s">
        <v>60</v>
      </c>
      <c r="D18" s="324"/>
      <c r="E18" s="383"/>
      <c r="F18" s="325"/>
      <c r="G18" s="325"/>
      <c r="H18" s="326"/>
    </row>
    <row r="19" spans="1:8" ht="86.25" customHeight="1" x14ac:dyDescent="0.25">
      <c r="A19" s="757" t="s">
        <v>2</v>
      </c>
      <c r="B19" s="756">
        <f>B13+1</f>
        <v>46295</v>
      </c>
      <c r="C19" s="483" t="s">
        <v>10</v>
      </c>
      <c r="D19" s="302" t="s">
        <v>254</v>
      </c>
      <c r="E19" s="303" t="s">
        <v>281</v>
      </c>
      <c r="F19" s="303" t="s">
        <v>258</v>
      </c>
      <c r="G19" s="303"/>
      <c r="H19" s="321"/>
    </row>
    <row r="20" spans="1:8" ht="86.25" customHeight="1" x14ac:dyDescent="0.25">
      <c r="A20" s="757"/>
      <c r="B20" s="757"/>
      <c r="C20" s="484" t="s">
        <v>11</v>
      </c>
      <c r="D20" s="278" t="s">
        <v>254</v>
      </c>
      <c r="E20" s="279" t="s">
        <v>282</v>
      </c>
      <c r="F20" s="279" t="s">
        <v>249</v>
      </c>
      <c r="G20" s="279"/>
      <c r="H20" s="280"/>
    </row>
    <row r="21" spans="1:8" ht="86.25" customHeight="1" x14ac:dyDescent="0.25">
      <c r="A21" s="757"/>
      <c r="B21" s="757"/>
      <c r="C21" s="484" t="s">
        <v>12</v>
      </c>
      <c r="D21" s="374" t="s">
        <v>246</v>
      </c>
      <c r="E21" s="402"/>
      <c r="F21" s="279" t="s">
        <v>261</v>
      </c>
      <c r="G21" s="279"/>
      <c r="H21" s="510" t="s">
        <v>239</v>
      </c>
    </row>
    <row r="22" spans="1:8" ht="86.25" customHeight="1" x14ac:dyDescent="0.25">
      <c r="A22" s="757"/>
      <c r="B22" s="757"/>
      <c r="C22" s="484" t="s">
        <v>13</v>
      </c>
      <c r="D22" s="374" t="s">
        <v>295</v>
      </c>
      <c r="E22" s="404"/>
      <c r="F22" s="279"/>
      <c r="G22" s="279"/>
      <c r="H22" s="510" t="s">
        <v>239</v>
      </c>
    </row>
    <row r="23" spans="1:8" ht="86.25" customHeight="1" thickBot="1" x14ac:dyDescent="0.3">
      <c r="A23" s="757"/>
      <c r="B23" s="757"/>
      <c r="C23" s="485" t="s">
        <v>15</v>
      </c>
      <c r="D23" s="217"/>
      <c r="E23" s="457"/>
      <c r="F23" s="218"/>
      <c r="G23" s="218"/>
      <c r="H23" s="219"/>
    </row>
    <row r="24" spans="1:8" ht="116.25" customHeight="1" x14ac:dyDescent="0.25">
      <c r="A24" s="757" t="s">
        <v>3</v>
      </c>
      <c r="B24" s="756">
        <f>B19+1</f>
        <v>46296</v>
      </c>
      <c r="C24" s="486" t="s">
        <v>10</v>
      </c>
      <c r="D24" s="651" t="s">
        <v>294</v>
      </c>
      <c r="E24" s="303" t="s">
        <v>248</v>
      </c>
      <c r="F24" s="299" t="s">
        <v>266</v>
      </c>
      <c r="G24" s="299" t="s">
        <v>266</v>
      </c>
      <c r="H24" s="321" t="s">
        <v>284</v>
      </c>
    </row>
    <row r="25" spans="1:8" ht="116.25" customHeight="1" x14ac:dyDescent="0.25">
      <c r="A25" s="786"/>
      <c r="B25" s="757"/>
      <c r="C25" s="487" t="s">
        <v>11</v>
      </c>
      <c r="D25" s="281" t="s">
        <v>266</v>
      </c>
      <c r="E25" s="248" t="s">
        <v>260</v>
      </c>
      <c r="F25" s="248" t="s">
        <v>237</v>
      </c>
      <c r="G25" s="248" t="s">
        <v>238</v>
      </c>
      <c r="H25" s="282" t="s">
        <v>284</v>
      </c>
    </row>
    <row r="26" spans="1:8" ht="86.25" customHeight="1" x14ac:dyDescent="0.25">
      <c r="A26" s="786"/>
      <c r="B26" s="757"/>
      <c r="C26" s="487" t="s">
        <v>12</v>
      </c>
      <c r="D26" s="374" t="s">
        <v>310</v>
      </c>
      <c r="E26" s="410" t="s">
        <v>310</v>
      </c>
      <c r="F26" s="404" t="s">
        <v>310</v>
      </c>
      <c r="G26" s="402" t="s">
        <v>310</v>
      </c>
      <c r="H26" s="403" t="s">
        <v>310</v>
      </c>
    </row>
    <row r="27" spans="1:8" ht="120" customHeight="1" x14ac:dyDescent="0.25">
      <c r="A27" s="786"/>
      <c r="B27" s="757"/>
      <c r="C27" s="487" t="s">
        <v>13</v>
      </c>
      <c r="D27" s="375" t="s">
        <v>311</v>
      </c>
      <c r="E27" s="404" t="s">
        <v>311</v>
      </c>
      <c r="F27" s="404" t="s">
        <v>311</v>
      </c>
      <c r="G27" s="402" t="s">
        <v>311</v>
      </c>
      <c r="H27" s="403" t="s">
        <v>311</v>
      </c>
    </row>
    <row r="28" spans="1:8" ht="86.25" customHeight="1" thickBot="1" x14ac:dyDescent="0.3">
      <c r="A28" s="786"/>
      <c r="B28" s="757"/>
      <c r="C28" s="489" t="s">
        <v>15</v>
      </c>
      <c r="D28" s="217"/>
      <c r="E28" s="468"/>
      <c r="F28" s="457"/>
      <c r="G28" s="457"/>
      <c r="H28" s="459"/>
    </row>
    <row r="29" spans="1:8" ht="86.25" customHeight="1" x14ac:dyDescent="0.25">
      <c r="A29" s="757" t="s">
        <v>4</v>
      </c>
      <c r="B29" s="756">
        <f>B24+1</f>
        <v>46297</v>
      </c>
      <c r="C29" s="483" t="s">
        <v>10</v>
      </c>
      <c r="D29" s="293" t="s">
        <v>259</v>
      </c>
      <c r="E29" s="294"/>
      <c r="F29" s="294" t="s">
        <v>255</v>
      </c>
      <c r="G29" s="532" t="s">
        <v>256</v>
      </c>
      <c r="H29" s="295"/>
    </row>
    <row r="30" spans="1:8" ht="86.25" customHeight="1" x14ac:dyDescent="0.25">
      <c r="A30" s="757"/>
      <c r="B30" s="757"/>
      <c r="C30" s="484" t="s">
        <v>11</v>
      </c>
      <c r="D30" s="283" t="s">
        <v>247</v>
      </c>
      <c r="E30" s="247"/>
      <c r="F30" s="247" t="s">
        <v>255</v>
      </c>
      <c r="G30" s="474" t="s">
        <v>256</v>
      </c>
      <c r="H30" s="284"/>
    </row>
    <row r="31" spans="1:8" ht="86.25" customHeight="1" x14ac:dyDescent="0.25">
      <c r="A31" s="757"/>
      <c r="B31" s="757"/>
      <c r="C31" s="484" t="s">
        <v>12</v>
      </c>
      <c r="D31" s="281"/>
      <c r="E31" s="248" t="s">
        <v>236</v>
      </c>
      <c r="F31" s="279" t="s">
        <v>249</v>
      </c>
      <c r="G31" s="248" t="s">
        <v>251</v>
      </c>
      <c r="H31" s="282" t="s">
        <v>262</v>
      </c>
    </row>
    <row r="32" spans="1:8" ht="86.25" customHeight="1" x14ac:dyDescent="0.25">
      <c r="A32" s="757"/>
      <c r="B32" s="757"/>
      <c r="C32" s="484" t="s">
        <v>13</v>
      </c>
      <c r="D32" s="281"/>
      <c r="E32" s="248" t="s">
        <v>236</v>
      </c>
      <c r="F32" s="248"/>
      <c r="G32" s="319" t="s">
        <v>262</v>
      </c>
      <c r="H32" s="282" t="s">
        <v>252</v>
      </c>
    </row>
    <row r="33" spans="1:8" ht="86.25" customHeight="1" thickBot="1" x14ac:dyDescent="0.3">
      <c r="A33" s="757"/>
      <c r="B33" s="757"/>
      <c r="C33" s="485" t="s">
        <v>15</v>
      </c>
      <c r="D33" s="285"/>
      <c r="E33" s="286"/>
      <c r="F33" s="286"/>
      <c r="G33" s="286"/>
      <c r="H33" s="287"/>
    </row>
    <row r="34" spans="1:8" ht="56.25" customHeight="1" x14ac:dyDescent="0.25">
      <c r="A34" s="757" t="s">
        <v>47</v>
      </c>
      <c r="B34" s="756">
        <f>B29+1</f>
        <v>46298</v>
      </c>
      <c r="C34" s="480" t="s">
        <v>10</v>
      </c>
      <c r="D34" s="200"/>
      <c r="E34" s="201"/>
      <c r="F34" s="364"/>
      <c r="G34" s="364"/>
      <c r="H34" s="202"/>
    </row>
    <row r="35" spans="1:8" ht="56.25" customHeight="1" x14ac:dyDescent="0.25">
      <c r="A35" s="757"/>
      <c r="B35" s="757"/>
      <c r="C35" s="490" t="s">
        <v>11</v>
      </c>
      <c r="D35" s="203"/>
      <c r="E35" s="365"/>
      <c r="F35" s="365"/>
      <c r="G35" s="365"/>
      <c r="H35" s="194"/>
    </row>
    <row r="36" spans="1:8" ht="56.25" customHeight="1" x14ac:dyDescent="0.25">
      <c r="A36" s="757"/>
      <c r="B36" s="757"/>
      <c r="C36" s="490" t="s">
        <v>12</v>
      </c>
      <c r="D36" s="193"/>
      <c r="E36" s="365"/>
      <c r="F36" s="365"/>
      <c r="G36" s="365"/>
      <c r="H36" s="194"/>
    </row>
    <row r="37" spans="1:8" ht="56.25" customHeight="1" x14ac:dyDescent="0.25">
      <c r="A37" s="757"/>
      <c r="B37" s="757"/>
      <c r="C37" s="490" t="s">
        <v>13</v>
      </c>
      <c r="D37" s="203"/>
      <c r="E37" s="327"/>
      <c r="F37" s="327"/>
      <c r="G37" s="327"/>
      <c r="H37" s="328"/>
    </row>
    <row r="38" spans="1:8" ht="56.25" customHeight="1" thickBot="1" x14ac:dyDescent="0.3">
      <c r="A38" s="758"/>
      <c r="B38" s="758"/>
      <c r="C38" s="481" t="s">
        <v>15</v>
      </c>
      <c r="D38" s="99"/>
      <c r="E38" s="100"/>
      <c r="F38" s="100"/>
      <c r="G38" s="100"/>
      <c r="H38" s="329"/>
    </row>
    <row r="39" spans="1:8" ht="33.75" customHeight="1" x14ac:dyDescent="0.45">
      <c r="A39" s="2"/>
      <c r="B39" s="2"/>
      <c r="C39" s="44"/>
      <c r="D39" s="177" t="s">
        <v>82</v>
      </c>
      <c r="E39" s="2"/>
      <c r="F39" s="2"/>
      <c r="G39" s="2"/>
      <c r="H39" s="2"/>
    </row>
    <row r="40" spans="1:8" s="19" customFormat="1" ht="20.25" x14ac:dyDescent="0.3">
      <c r="A40" s="18"/>
      <c r="B40" s="18"/>
      <c r="C40" s="61" t="str">
        <f>'01.09'!C39</f>
        <v>*Л. Физиология человека*</v>
      </c>
      <c r="D40" s="62">
        <f>'21.09'!D40+COUNTIF(D$8:D$38,$C40)</f>
        <v>6</v>
      </c>
      <c r="E40" s="62">
        <f>'21.09'!E40+COUNTIF(E$8:E$38,$C40)</f>
        <v>6</v>
      </c>
      <c r="F40" s="62">
        <f>'21.09'!F40+COUNTIF(F$8:F$38,$C40)</f>
        <v>6</v>
      </c>
      <c r="G40" s="62">
        <f>'21.09'!G40+COUNTIF(G$8:G$38,$C40)</f>
        <v>6</v>
      </c>
      <c r="H40" s="62">
        <f>'21.09'!H40+COUNTIF(H$8:H$38,$C40)</f>
        <v>6</v>
      </c>
    </row>
    <row r="41" spans="1:8" s="19" customFormat="1" ht="20.25" x14ac:dyDescent="0.3">
      <c r="A41" s="18"/>
      <c r="B41" s="18"/>
      <c r="C41" s="61" t="str">
        <f>'01.09'!C40</f>
        <v>*Пр. Физиология человека*</v>
      </c>
      <c r="D41" s="63">
        <f>'21.09'!D41+COUNTIF(D$8:D$38,$C41)</f>
        <v>8</v>
      </c>
      <c r="E41" s="63">
        <f>'21.09'!E41+COUNTIF(E$8:E$38,$C41)</f>
        <v>8</v>
      </c>
      <c r="F41" s="63">
        <f>'21.09'!F41+COUNTIF(F$8:F$38,$C41)</f>
        <v>8</v>
      </c>
      <c r="G41" s="63">
        <f>'21.09'!G41+COUNTIF(G$8:G$38,$C41)</f>
        <v>8</v>
      </c>
      <c r="H41" s="63">
        <f>'21.09'!H41+COUNTIF(H$8:H$38,$C41)</f>
        <v>8</v>
      </c>
    </row>
    <row r="42" spans="1:8" s="19" customFormat="1" ht="20.25" x14ac:dyDescent="0.3">
      <c r="A42" s="18"/>
      <c r="B42" s="18"/>
      <c r="C42" s="61" t="str">
        <f>'01.09'!C41</f>
        <v>*Л. Элективные дисциплины по ФКиС: Фехтование*</v>
      </c>
      <c r="D42" s="62">
        <f>'21.09'!D42+COUNTIF(D$8:D$38,$C42)</f>
        <v>1</v>
      </c>
      <c r="E42" s="62">
        <f>'21.09'!E42+COUNTIF(E$8:E$38,$C42)</f>
        <v>1</v>
      </c>
      <c r="F42" s="62">
        <f>'21.09'!F42+COUNTIF(F$8:F$38,$C42)</f>
        <v>1</v>
      </c>
      <c r="G42" s="62">
        <f>'21.09'!G42+COUNTIF(G$8:G$38,$C42)</f>
        <v>1</v>
      </c>
      <c r="H42" s="62">
        <f>'21.09'!H42+COUNTIF(H$8:H$38,$C42)</f>
        <v>1</v>
      </c>
    </row>
    <row r="43" spans="1:8" s="19" customFormat="1" ht="20.25" x14ac:dyDescent="0.3">
      <c r="A43" s="18"/>
      <c r="B43" s="18"/>
      <c r="C43" s="61" t="str">
        <f>'01.09'!C42</f>
        <v>*Пр. Элективные дисциплины по ФКиС: Фехтование*</v>
      </c>
      <c r="D43" s="63">
        <f>'21.09'!D43+COUNTIF(D$8:D$38,$C43)</f>
        <v>0</v>
      </c>
      <c r="E43" s="63">
        <f>'21.09'!E43+COUNTIF(E$8:E$38,$C43)</f>
        <v>0</v>
      </c>
      <c r="F43" s="63">
        <f>'21.09'!F43+COUNTIF(F$8:F$38,$C43)</f>
        <v>0</v>
      </c>
      <c r="G43" s="63">
        <f>'21.09'!G43+COUNTIF(G$8:G$38,$C43)</f>
        <v>0</v>
      </c>
      <c r="H43" s="63">
        <f>'21.09'!H43+COUNTIF(H$8:H$38,$C43)</f>
        <v>0</v>
      </c>
    </row>
    <row r="44" spans="1:8" s="19" customFormat="1" ht="20.25" x14ac:dyDescent="0.3">
      <c r="A44" s="18"/>
      <c r="B44" s="18"/>
      <c r="C44" s="61" t="str">
        <f>'01.09'!C43</f>
        <v>*Л. Педагогика физической культуры и спорта*</v>
      </c>
      <c r="D44" s="62">
        <f>'21.09'!D44+COUNTIF(D$8:D$38,$C44)</f>
        <v>5</v>
      </c>
      <c r="E44" s="62">
        <f>'21.09'!E44+COUNTIF(E$8:E$38,$C44)</f>
        <v>5</v>
      </c>
      <c r="F44" s="62">
        <f>'21.09'!F44+COUNTIF(F$8:F$38,$C44)</f>
        <v>5</v>
      </c>
      <c r="G44" s="62">
        <f>'21.09'!G44+COUNTIF(G$8:G$38,$C44)</f>
        <v>5</v>
      </c>
      <c r="H44" s="62">
        <f>'21.09'!H44+COUNTIF(H$8:H$38,$C44)</f>
        <v>5</v>
      </c>
    </row>
    <row r="45" spans="1:8" s="19" customFormat="1" ht="20.25" x14ac:dyDescent="0.3">
      <c r="A45" s="18"/>
      <c r="B45" s="18"/>
      <c r="C45" s="61" t="str">
        <f>'01.09'!C44</f>
        <v>*Пр. Педагогика физической культуры и спорта*</v>
      </c>
      <c r="D45" s="63">
        <f>'21.09'!D45+COUNTIF(D$8:D$38,$C45)</f>
        <v>0</v>
      </c>
      <c r="E45" s="63">
        <f>'21.09'!E45+COUNTIF(E$8:E$38,$C45)</f>
        <v>0</v>
      </c>
      <c r="F45" s="63">
        <f>'21.09'!F45+COUNTIF(F$8:F$38,$C45)</f>
        <v>0</v>
      </c>
      <c r="G45" s="63">
        <f>'21.09'!G45+COUNTIF(G$8:G$38,$C45)</f>
        <v>0</v>
      </c>
      <c r="H45" s="63">
        <f>'21.09'!H45+COUNTIF(H$8:H$38,$C45)</f>
        <v>0</v>
      </c>
    </row>
    <row r="46" spans="1:8" s="19" customFormat="1" ht="20.25" x14ac:dyDescent="0.3">
      <c r="A46" s="18"/>
      <c r="B46" s="18"/>
      <c r="C46" s="61" t="str">
        <f>'01.09'!C45</f>
        <v>*Л. Теория и методика*</v>
      </c>
      <c r="D46" s="62">
        <f>'21.09'!D46+COUNTIF(D$8:D$38,$C46)</f>
        <v>3</v>
      </c>
      <c r="E46" s="62">
        <f>'21.09'!E46+COUNTIF(E$8:E$38,$C46)</f>
        <v>3</v>
      </c>
      <c r="F46" s="62">
        <f>'21.09'!F46+COUNTIF(F$8:F$38,$C46)</f>
        <v>3</v>
      </c>
      <c r="G46" s="62">
        <f>'21.09'!G46+COUNTIF(G$8:G$38,$C46)</f>
        <v>3</v>
      </c>
      <c r="H46" s="62">
        <f>'21.09'!H46+COUNTIF(H$8:H$38,$C46)</f>
        <v>3</v>
      </c>
    </row>
    <row r="47" spans="1:8" s="19" customFormat="1" ht="20.25" x14ac:dyDescent="0.3">
      <c r="A47" s="18"/>
      <c r="B47" s="18"/>
      <c r="C47" s="61" t="str">
        <f>'01.09'!C46</f>
        <v>*Пр. Теория и методика*</v>
      </c>
      <c r="D47" s="63">
        <f>'21.09'!D47+COUNTIF(D$8:D$38,$C47)</f>
        <v>10</v>
      </c>
      <c r="E47" s="63">
        <f>'21.09'!E47+COUNTIF(E$8:E$38,$C47)</f>
        <v>10</v>
      </c>
      <c r="F47" s="63">
        <f>'21.09'!F47+COUNTIF(F$8:F$38,$C47)</f>
        <v>10</v>
      </c>
      <c r="G47" s="63">
        <f>'21.09'!G47+COUNTIF(G$8:G$38,$C47)</f>
        <v>10</v>
      </c>
      <c r="H47" s="63">
        <f>'21.09'!H47+COUNTIF(H$8:H$38,$C47)</f>
        <v>10</v>
      </c>
    </row>
    <row r="48" spans="1:8" s="19" customFormat="1" ht="20.25" x14ac:dyDescent="0.3">
      <c r="A48" s="18"/>
      <c r="B48" s="18"/>
      <c r="C48" s="61" t="str">
        <f>'01.09'!C47</f>
        <v>*Л.  Теория и методика физической культуры*</v>
      </c>
      <c r="D48" s="62">
        <f>'21.09'!D48+COUNTIF(D$8:D$38,$C48)</f>
        <v>4</v>
      </c>
      <c r="E48" s="62">
        <f>'21.09'!E48+COUNTIF(E$8:E$38,$C48)</f>
        <v>4</v>
      </c>
      <c r="F48" s="62">
        <f>'21.09'!F48+COUNTIF(F$8:F$38,$C48)</f>
        <v>4</v>
      </c>
      <c r="G48" s="62">
        <f>'21.09'!G48+COUNTIF(G$8:G$38,$C48)</f>
        <v>4</v>
      </c>
      <c r="H48" s="62">
        <f>'21.09'!H48+COUNTIF(H$8:H$38,$C48)</f>
        <v>4</v>
      </c>
    </row>
    <row r="49" spans="1:8" s="19" customFormat="1" ht="20.25" x14ac:dyDescent="0.3">
      <c r="A49" s="18"/>
      <c r="B49" s="18"/>
      <c r="C49" s="61" t="str">
        <f>'01.09'!C48</f>
        <v>*Пр.  Теория и методика физической культуры*</v>
      </c>
      <c r="D49" s="63">
        <f>'21.09'!D49+COUNTIF(D$8:D$38,$C49)</f>
        <v>0</v>
      </c>
      <c r="E49" s="63">
        <f>'21.09'!E49+COUNTIF(E$8:E$38,$C49)</f>
        <v>0</v>
      </c>
      <c r="F49" s="63">
        <f>'21.09'!F49+COUNTIF(F$8:F$38,$C49)</f>
        <v>0</v>
      </c>
      <c r="G49" s="63">
        <f>'21.09'!G49+COUNTIF(G$8:G$38,$C49)</f>
        <v>0</v>
      </c>
      <c r="H49" s="63">
        <f>'21.09'!H49+COUNTIF(H$8:H$38,$C49)</f>
        <v>0</v>
      </c>
    </row>
    <row r="50" spans="1:8" s="19" customFormat="1" ht="20.25" x14ac:dyDescent="0.3">
      <c r="A50" s="18"/>
      <c r="B50" s="18"/>
      <c r="C50" s="61" t="str">
        <f>'01.09'!C49</f>
        <v>*Л. Плавание*</v>
      </c>
      <c r="D50" s="62">
        <f>'21.09'!D50+COUNTIF(D$8:D$38,$C50)</f>
        <v>2</v>
      </c>
      <c r="E50" s="62">
        <f>'21.09'!E50+COUNTIF(E$8:E$38,$C50)</f>
        <v>2</v>
      </c>
      <c r="F50" s="62">
        <f>'21.09'!F50+COUNTIF(F$8:F$38,$C50)</f>
        <v>2</v>
      </c>
      <c r="G50" s="62">
        <f>'21.09'!G50+COUNTIF(G$8:G$38,$C50)</f>
        <v>2</v>
      </c>
      <c r="H50" s="62">
        <f>'21.09'!H50+COUNTIF(H$8:H$38,$C50)</f>
        <v>2</v>
      </c>
    </row>
    <row r="51" spans="1:8" s="19" customFormat="1" ht="20.25" x14ac:dyDescent="0.3">
      <c r="A51" s="18"/>
      <c r="B51" s="18"/>
      <c r="C51" s="61" t="str">
        <f>'01.09'!C50</f>
        <v>*Пр. Плавание*</v>
      </c>
      <c r="D51" s="63">
        <f>'21.09'!D51+COUNTIF(D$8:D$38,$C51)</f>
        <v>8</v>
      </c>
      <c r="E51" s="63">
        <f>'21.09'!E51+COUNTIF(E$8:E$38,$C51)</f>
        <v>8</v>
      </c>
      <c r="F51" s="63">
        <f>'21.09'!F51+COUNTIF(F$8:F$38,$C51)</f>
        <v>8</v>
      </c>
      <c r="G51" s="63">
        <f>'21.09'!G51+COUNTIF(G$8:G$38,$C51)</f>
        <v>8</v>
      </c>
      <c r="H51" s="63">
        <f>'21.09'!H51+COUNTIF(H$8:H$38,$C51)</f>
        <v>8</v>
      </c>
    </row>
    <row r="52" spans="1:8" s="19" customFormat="1" ht="20.25" x14ac:dyDescent="0.3">
      <c r="A52" s="18"/>
      <c r="B52" s="18"/>
      <c r="C52" s="61" t="str">
        <f>'01.09'!C51</f>
        <v>*Л. Подвижные игры в спорте и образовании*</v>
      </c>
      <c r="D52" s="62">
        <f>'21.09'!D52+COUNTIF(D$8:D$38,$C52)</f>
        <v>1</v>
      </c>
      <c r="E52" s="62">
        <f>'21.09'!E52+COUNTIF(E$8:E$38,$C52)</f>
        <v>1</v>
      </c>
      <c r="F52" s="62">
        <f>'21.09'!F52+COUNTIF(F$8:F$38,$C52)</f>
        <v>1</v>
      </c>
      <c r="G52" s="62">
        <f>'21.09'!G52+COUNTIF(G$8:G$38,$C52)</f>
        <v>1</v>
      </c>
      <c r="H52" s="62">
        <f>'21.09'!H52+COUNTIF(H$8:H$38,$C52)</f>
        <v>1</v>
      </c>
    </row>
    <row r="53" spans="1:8" s="19" customFormat="1" ht="20.25" x14ac:dyDescent="0.3">
      <c r="A53" s="18"/>
      <c r="B53" s="18"/>
      <c r="C53" s="61" t="str">
        <f>'01.09'!C52</f>
        <v>*Пр. Подвижные игры в спорте и образовании*</v>
      </c>
      <c r="D53" s="63">
        <f>'21.09'!D53+COUNTIF(D$8:D$38,$C53)</f>
        <v>4</v>
      </c>
      <c r="E53" s="63">
        <f>'21.09'!E53+COUNTIF(E$8:E$38,$C53)</f>
        <v>4</v>
      </c>
      <c r="F53" s="63">
        <f>'21.09'!F53+COUNTIF(F$8:F$38,$C53)</f>
        <v>4</v>
      </c>
      <c r="G53" s="63">
        <f>'21.09'!G53+COUNTIF(G$8:G$38,$C53)</f>
        <v>4</v>
      </c>
      <c r="H53" s="63">
        <f>'21.09'!H53+COUNTIF(H$8:H$38,$C53)</f>
        <v>4</v>
      </c>
    </row>
    <row r="54" spans="1:8" s="19" customFormat="1" ht="20.25" x14ac:dyDescent="0.3">
      <c r="A54" s="18"/>
      <c r="B54" s="18"/>
      <c r="C54" s="61" t="str">
        <f>'01.09'!C53</f>
        <v>*Л. Самооборона (самбо)*</v>
      </c>
      <c r="D54" s="62">
        <f>'21.09'!D54+COUNTIF(D$8:D$38,$C54)</f>
        <v>1</v>
      </c>
      <c r="E54" s="62">
        <f>'21.09'!E54+COUNTIF(E$8:E$38,$C54)</f>
        <v>1</v>
      </c>
      <c r="F54" s="62">
        <f>'21.09'!F54+COUNTIF(F$8:F$38,$C54)</f>
        <v>1</v>
      </c>
      <c r="G54" s="62">
        <f>'21.09'!G54+COUNTIF(G$8:G$38,$C54)</f>
        <v>1</v>
      </c>
      <c r="H54" s="62">
        <f>'21.09'!H54+COUNTIF(H$8:H$38,$C54)</f>
        <v>1</v>
      </c>
    </row>
    <row r="55" spans="1:8" s="19" customFormat="1" ht="20.25" x14ac:dyDescent="0.3">
      <c r="A55" s="18"/>
      <c r="B55" s="18"/>
      <c r="C55" s="61" t="str">
        <f>'01.09'!C54</f>
        <v>*Пр. Самооборона (самбо)*</v>
      </c>
      <c r="D55" s="63">
        <f>'21.09'!D55+COUNTIF(D$8:D$38,$C55)</f>
        <v>4</v>
      </c>
      <c r="E55" s="63">
        <f>'21.09'!E55+COUNTIF(E$8:E$38,$C55)</f>
        <v>4</v>
      </c>
      <c r="F55" s="63">
        <f>'21.09'!F55+COUNTIF(F$8:F$38,$C55)</f>
        <v>4</v>
      </c>
      <c r="G55" s="63">
        <f>'21.09'!G55+COUNTIF(G$8:G$38,$C55)</f>
        <v>4</v>
      </c>
      <c r="H55" s="63">
        <f>'21.09'!H55+COUNTIF(H$8:H$38,$C55)</f>
        <v>4</v>
      </c>
    </row>
    <row r="56" spans="1:8" s="19" customFormat="1" ht="20.25" x14ac:dyDescent="0.3">
      <c r="A56" s="18"/>
      <c r="B56" s="18"/>
      <c r="C56" s="61" t="str">
        <f>'01.09'!C55</f>
        <v>*Л. Методика реализации программ*</v>
      </c>
      <c r="D56" s="62">
        <f>'21.09'!D56+COUNTIF(D$8:D$38,$C56)</f>
        <v>3</v>
      </c>
      <c r="E56" s="62">
        <f>'21.09'!E56+COUNTIF(E$8:E$38,$C56)</f>
        <v>3</v>
      </c>
      <c r="F56" s="62">
        <f>'21.09'!F56+COUNTIF(F$8:F$38,$C56)</f>
        <v>3</v>
      </c>
      <c r="G56" s="62">
        <f>'21.09'!G56+COUNTIF(G$8:G$38,$C56)</f>
        <v>3</v>
      </c>
      <c r="H56" s="62">
        <f>'21.09'!H56+COUNTIF(H$8:H$38,$C56)</f>
        <v>3</v>
      </c>
    </row>
    <row r="57" spans="1:8" s="19" customFormat="1" ht="20.25" x14ac:dyDescent="0.3">
      <c r="A57" s="18"/>
      <c r="B57" s="18"/>
      <c r="C57" s="61" t="str">
        <f>'01.09'!C56</f>
        <v>*Пр. Методика реализации программ*</v>
      </c>
      <c r="D57" s="63">
        <f>'21.09'!D57+COUNTIF(D$8:D$38,$C57)</f>
        <v>0</v>
      </c>
      <c r="E57" s="63">
        <f>'21.09'!E57+COUNTIF(E$8:E$38,$C57)</f>
        <v>0</v>
      </c>
      <c r="F57" s="63">
        <f>'21.09'!F57+COUNTIF(F$8:F$38,$C57)</f>
        <v>0</v>
      </c>
      <c r="G57" s="63">
        <f>'21.09'!G57+COUNTIF(G$8:G$38,$C57)</f>
        <v>0</v>
      </c>
      <c r="H57" s="63">
        <f>'21.09'!H57+COUNTIF(H$8:H$38,$C57)</f>
        <v>0</v>
      </c>
    </row>
    <row r="58" spans="1:8" s="19" customFormat="1" ht="20.25" x14ac:dyDescent="0.3">
      <c r="A58" s="18"/>
      <c r="B58" s="18"/>
      <c r="C58" s="61" t="str">
        <f>'01.09'!C57</f>
        <v>*Л. Методика преподавания*</v>
      </c>
      <c r="D58" s="62">
        <f>'21.09'!D58+COUNTIF(D$8:D$38,$C58)</f>
        <v>3</v>
      </c>
      <c r="E58" s="62">
        <f>'21.09'!E58+COUNTIF(E$8:E$38,$C58)</f>
        <v>3</v>
      </c>
      <c r="F58" s="62">
        <f>'21.09'!F58+COUNTIF(F$8:F$38,$C58)</f>
        <v>3</v>
      </c>
      <c r="G58" s="62">
        <f>'21.09'!G58+COUNTIF(G$8:G$38,$C58)</f>
        <v>3</v>
      </c>
      <c r="H58" s="62">
        <f>'21.09'!H58+COUNTIF(H$8:H$38,$C58)</f>
        <v>3</v>
      </c>
    </row>
    <row r="59" spans="1:8" s="19" customFormat="1" ht="20.25" x14ac:dyDescent="0.3">
      <c r="A59" s="18"/>
      <c r="B59" s="18"/>
      <c r="C59" s="61" t="str">
        <f>'01.09'!C58</f>
        <v>*Пр. Методика преподавания*</v>
      </c>
      <c r="D59" s="63">
        <f>'21.09'!D59+COUNTIF(D$8:D$38,$C59)</f>
        <v>0</v>
      </c>
      <c r="E59" s="63">
        <f>'21.09'!E59+COUNTIF(E$8:E$38,$C59)</f>
        <v>0</v>
      </c>
      <c r="F59" s="63">
        <f>'21.09'!F59+COUNTIF(F$8:F$38,$C59)</f>
        <v>0</v>
      </c>
      <c r="G59" s="63">
        <f>'21.09'!G59+COUNTIF(G$8:G$38,$C59)</f>
        <v>0</v>
      </c>
      <c r="H59" s="63">
        <f>'21.09'!H59+COUNTIF(H$8:H$38,$C59)</f>
        <v>0</v>
      </c>
    </row>
    <row r="60" spans="1:8" s="19" customFormat="1" ht="20.25" x14ac:dyDescent="0.3">
      <c r="A60" s="18"/>
      <c r="B60" s="18"/>
      <c r="C60" s="61">
        <f>'01.09'!C59</f>
        <v>0</v>
      </c>
      <c r="D60" s="62">
        <f>'21.09'!D60+COUNTIF(D$8:D$38,$C60)</f>
        <v>0</v>
      </c>
      <c r="E60" s="62">
        <f>'21.09'!E60+COUNTIF(E$8:E$38,$C60)</f>
        <v>0</v>
      </c>
      <c r="F60" s="62">
        <f>'21.09'!F60+COUNTIF(F$8:F$38,$C60)</f>
        <v>0</v>
      </c>
      <c r="G60" s="62">
        <f>'21.09'!G60+COUNTIF(G$8:G$38,$C60)</f>
        <v>0</v>
      </c>
      <c r="H60" s="62">
        <f>'21.09'!H60+COUNTIF(H$8:H$38,$C60)</f>
        <v>0</v>
      </c>
    </row>
    <row r="61" spans="1:8" s="19" customFormat="1" ht="20.25" x14ac:dyDescent="0.3">
      <c r="A61" s="18"/>
      <c r="B61" s="18"/>
      <c r="C61" s="61">
        <f>'01.09'!C60</f>
        <v>0</v>
      </c>
      <c r="D61" s="62">
        <f>'21.09'!D61+COUNTIF(D$8:D$38,$C61)</f>
        <v>0</v>
      </c>
      <c r="E61" s="62">
        <f>'21.09'!E61+COUNTIF(E$8:E$38,$C61)</f>
        <v>0</v>
      </c>
      <c r="F61" s="62">
        <f>'21.09'!F61+COUNTIF(F$8:F$38,$C61)</f>
        <v>0</v>
      </c>
      <c r="G61" s="62">
        <f>'21.09'!G61+COUNTIF(G$8:G$38,$C61)</f>
        <v>0</v>
      </c>
      <c r="H61" s="62">
        <f>'21.09'!H61+COUNTIF(H$8:H$38,$C61)</f>
        <v>0</v>
      </c>
    </row>
    <row r="62" spans="1:8" ht="20.25" x14ac:dyDescent="0.3">
      <c r="A62" s="2"/>
      <c r="B62" s="2"/>
      <c r="C62" s="61">
        <f>'01.09'!C61</f>
        <v>0</v>
      </c>
      <c r="D62" s="62">
        <f>'21.09'!D62+COUNTIF(D$8:D$38,$C62)</f>
        <v>0</v>
      </c>
      <c r="E62" s="62">
        <f>'21.09'!E62+COUNTIF(E$8:E$38,$C62)</f>
        <v>0</v>
      </c>
      <c r="F62" s="62">
        <f>'21.09'!F62+COUNTIF(F$8:F$38,$C62)</f>
        <v>0</v>
      </c>
      <c r="G62" s="62">
        <f>'21.09'!G62+COUNTIF(G$8:G$38,$C62)</f>
        <v>0</v>
      </c>
      <c r="H62" s="62">
        <f>'21.09'!H62+COUNTIF(H$8:H$38,$C62)</f>
        <v>0</v>
      </c>
    </row>
    <row r="63" spans="1:8" ht="20.25" x14ac:dyDescent="0.3">
      <c r="A63" s="2"/>
      <c r="B63" s="2"/>
      <c r="C63" s="61">
        <f>'01.09'!C62</f>
        <v>0</v>
      </c>
      <c r="D63" s="62">
        <f>'21.09'!D63+COUNTIF(D$8:D$38,$C63)</f>
        <v>0</v>
      </c>
      <c r="E63" s="62">
        <f>'21.09'!E63+COUNTIF(E$8:E$38,$C63)</f>
        <v>0</v>
      </c>
      <c r="F63" s="62">
        <f>'21.09'!F63+COUNTIF(F$8:F$38,$C63)</f>
        <v>0</v>
      </c>
      <c r="G63" s="62">
        <f>'21.09'!G63+COUNTIF(G$8:G$38,$C63)</f>
        <v>0</v>
      </c>
      <c r="H63" s="62">
        <f>'21.09'!H63+COUNTIF(H$8:H$38,$C63)</f>
        <v>0</v>
      </c>
    </row>
    <row r="64" spans="1:8" ht="20.25" x14ac:dyDescent="0.3">
      <c r="A64" s="2"/>
      <c r="B64" s="2"/>
      <c r="C64" s="61">
        <f>'01.09'!C63</f>
        <v>0</v>
      </c>
      <c r="D64" s="62">
        <f>'21.09'!D64+COUNTIF(D$8:D$38,$C64)</f>
        <v>0</v>
      </c>
      <c r="E64" s="62">
        <f>'21.09'!E64+COUNTIF(E$8:E$38,$C64)</f>
        <v>0</v>
      </c>
      <c r="F64" s="62">
        <f>'21.09'!F64+COUNTIF(F$8:F$38,$C64)</f>
        <v>0</v>
      </c>
      <c r="G64" s="62">
        <f>'21.09'!G64+COUNTIF(G$8:G$38,$C64)</f>
        <v>0</v>
      </c>
      <c r="H64" s="62">
        <f>'21.09'!H64+COUNTIF(H$8:H$38,$C64)</f>
        <v>0</v>
      </c>
    </row>
    <row r="65" spans="1:8" ht="20.25" x14ac:dyDescent="0.3">
      <c r="A65" s="2"/>
      <c r="B65" s="2"/>
      <c r="C65" s="61">
        <f>'01.09'!C64</f>
        <v>0</v>
      </c>
      <c r="D65" s="62">
        <f>'21.09'!D65+COUNTIF(D$8:D$38,$C65)</f>
        <v>0</v>
      </c>
      <c r="E65" s="62">
        <f>'21.09'!E65+COUNTIF(E$8:E$38,$C65)</f>
        <v>0</v>
      </c>
      <c r="F65" s="62">
        <f>'21.09'!F65+COUNTIF(F$8:F$38,$C65)</f>
        <v>0</v>
      </c>
      <c r="G65" s="62">
        <f>'21.09'!G65+COUNTIF(G$8:G$38,$C65)</f>
        <v>0</v>
      </c>
      <c r="H65" s="62">
        <f>'21.09'!H65+COUNTIF(H$8:H$38,$C65)</f>
        <v>0</v>
      </c>
    </row>
    <row r="66" spans="1:8" ht="20.25" x14ac:dyDescent="0.3">
      <c r="A66" s="2"/>
      <c r="B66" s="2"/>
      <c r="C66" s="61">
        <f>'01.09'!C65</f>
        <v>0</v>
      </c>
      <c r="D66" s="62">
        <f>'21.09'!D66+COUNTIF(D$8:D$38,$C66)</f>
        <v>0</v>
      </c>
      <c r="E66" s="62">
        <f>'21.09'!E66+COUNTIF(E$8:E$38,$C66)</f>
        <v>0</v>
      </c>
      <c r="F66" s="62">
        <f>'21.09'!F66+COUNTIF(F$8:F$38,$C66)</f>
        <v>0</v>
      </c>
      <c r="G66" s="62">
        <f>'21.09'!G66+COUNTIF(G$8:G$38,$C66)</f>
        <v>0</v>
      </c>
      <c r="H66" s="62">
        <f>'21.09'!H66+COUNTIF(H$8:H$38,$C66)</f>
        <v>0</v>
      </c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A34:A38"/>
    <mergeCell ref="B34:B38"/>
    <mergeCell ref="B13:B18"/>
    <mergeCell ref="A8:A12"/>
    <mergeCell ref="A13:A18"/>
    <mergeCell ref="A19:A23"/>
    <mergeCell ref="B8:B12"/>
    <mergeCell ref="A24:A28"/>
    <mergeCell ref="A29:A33"/>
    <mergeCell ref="B19:B23"/>
    <mergeCell ref="B24:B28"/>
    <mergeCell ref="B29:B33"/>
    <mergeCell ref="A6:A7"/>
    <mergeCell ref="C6:C7"/>
    <mergeCell ref="B6:B7"/>
    <mergeCell ref="B1:H1"/>
    <mergeCell ref="B2:H2"/>
    <mergeCell ref="B3:H3"/>
    <mergeCell ref="B4:H4"/>
    <mergeCell ref="A5:H5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  <rowBreaks count="1" manualBreakCount="1">
    <brk id="39" max="8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H72"/>
  <sheetViews>
    <sheetView tabSelected="1" view="pageBreakPreview" topLeftCell="A25" zoomScale="40" zoomScaleNormal="40" zoomScaleSheetLayoutView="40" zoomScalePageLayoutView="40" workbookViewId="0">
      <selection activeCell="E26" sqref="E26"/>
    </sheetView>
  </sheetViews>
  <sheetFormatPr defaultRowHeight="15" x14ac:dyDescent="0.25"/>
  <cols>
    <col min="1" max="2" width="4.42578125" customWidth="1"/>
    <col min="3" max="3" width="23.7109375" customWidth="1"/>
    <col min="4" max="8" width="64.42578125" customWidth="1"/>
  </cols>
  <sheetData>
    <row r="1" spans="1:8" ht="28.5" customHeight="1" x14ac:dyDescent="0.3">
      <c r="A1" s="178"/>
      <c r="B1" s="760" t="s">
        <v>140</v>
      </c>
      <c r="C1" s="760"/>
      <c r="D1" s="760"/>
      <c r="E1" s="760"/>
      <c r="F1" s="760"/>
      <c r="G1" s="760"/>
      <c r="H1" s="760"/>
    </row>
    <row r="2" spans="1:8" ht="28.5" customHeight="1" x14ac:dyDescent="0.3">
      <c r="A2" s="179"/>
      <c r="B2" s="760" t="s">
        <v>87</v>
      </c>
      <c r="C2" s="760"/>
      <c r="D2" s="760"/>
      <c r="E2" s="760"/>
      <c r="F2" s="760"/>
      <c r="G2" s="760"/>
      <c r="H2" s="760"/>
    </row>
    <row r="3" spans="1:8" ht="36" customHeight="1" x14ac:dyDescent="0.25">
      <c r="A3" s="229"/>
      <c r="B3" s="787" t="s">
        <v>81</v>
      </c>
      <c r="C3" s="787"/>
      <c r="D3" s="787"/>
      <c r="E3" s="787"/>
      <c r="F3" s="787"/>
      <c r="G3" s="787"/>
      <c r="H3" s="787"/>
    </row>
    <row r="4" spans="1:8" ht="28.5" customHeight="1" x14ac:dyDescent="0.25">
      <c r="A4" s="180"/>
      <c r="B4" s="760" t="s">
        <v>142</v>
      </c>
      <c r="C4" s="760"/>
      <c r="D4" s="760"/>
      <c r="E4" s="760"/>
      <c r="F4" s="760"/>
      <c r="G4" s="760"/>
      <c r="H4" s="760"/>
    </row>
    <row r="5" spans="1:8" ht="28.5" customHeight="1" thickBot="1" x14ac:dyDescent="0.3">
      <c r="A5" s="682" t="s">
        <v>112</v>
      </c>
      <c r="B5" s="682"/>
      <c r="C5" s="682"/>
      <c r="D5" s="682"/>
      <c r="E5" s="682"/>
      <c r="F5" s="682"/>
      <c r="G5" s="682"/>
      <c r="H5" s="682"/>
    </row>
    <row r="6" spans="1:8" ht="27.75" customHeight="1" thickBot="1" x14ac:dyDescent="0.3">
      <c r="A6" s="770" t="s">
        <v>54</v>
      </c>
      <c r="B6" s="770" t="s">
        <v>14</v>
      </c>
      <c r="C6" s="793" t="s">
        <v>55</v>
      </c>
      <c r="D6" s="241" t="s">
        <v>5</v>
      </c>
      <c r="E6" s="242" t="s">
        <v>6</v>
      </c>
      <c r="F6" s="242" t="s">
        <v>7</v>
      </c>
      <c r="G6" s="242" t="s">
        <v>8</v>
      </c>
      <c r="H6" s="243" t="s">
        <v>9</v>
      </c>
    </row>
    <row r="7" spans="1:8" ht="90" customHeight="1" thickBot="1" x14ac:dyDescent="0.3">
      <c r="A7" s="771"/>
      <c r="B7" s="771"/>
      <c r="C7" s="794"/>
      <c r="D7" s="300" t="s">
        <v>106</v>
      </c>
      <c r="E7" s="370" t="s">
        <v>136</v>
      </c>
      <c r="F7" s="370" t="s">
        <v>107</v>
      </c>
      <c r="G7" s="370" t="s">
        <v>90</v>
      </c>
      <c r="H7" s="449" t="s">
        <v>78</v>
      </c>
    </row>
    <row r="8" spans="1:8" ht="166.5" x14ac:dyDescent="0.25">
      <c r="A8" s="801" t="s">
        <v>0</v>
      </c>
      <c r="B8" s="803">
        <v>46300</v>
      </c>
      <c r="C8" s="494" t="s">
        <v>10</v>
      </c>
      <c r="D8" s="651" t="s">
        <v>263</v>
      </c>
      <c r="E8" s="299" t="s">
        <v>270</v>
      </c>
      <c r="F8" s="299" t="s">
        <v>237</v>
      </c>
      <c r="G8" s="361" t="s">
        <v>250</v>
      </c>
      <c r="H8" s="362" t="s">
        <v>257</v>
      </c>
    </row>
    <row r="9" spans="1:8" ht="166.5" x14ac:dyDescent="0.25">
      <c r="A9" s="802"/>
      <c r="B9" s="775"/>
      <c r="C9" s="495" t="s">
        <v>11</v>
      </c>
      <c r="D9" s="375" t="s">
        <v>263</v>
      </c>
      <c r="E9" s="383" t="s">
        <v>271</v>
      </c>
      <c r="F9" s="383" t="s">
        <v>237</v>
      </c>
      <c r="G9" s="383" t="s">
        <v>300</v>
      </c>
      <c r="H9" s="414" t="s">
        <v>252</v>
      </c>
    </row>
    <row r="10" spans="1:8" ht="83.25" x14ac:dyDescent="0.25">
      <c r="A10" s="802"/>
      <c r="B10" s="775"/>
      <c r="C10" s="495" t="s">
        <v>12</v>
      </c>
      <c r="D10" s="375" t="s">
        <v>264</v>
      </c>
      <c r="E10" s="383" t="s">
        <v>301</v>
      </c>
      <c r="F10" s="383"/>
      <c r="G10" s="460"/>
      <c r="H10" s="510"/>
    </row>
    <row r="11" spans="1:8" ht="56.25" customHeight="1" x14ac:dyDescent="0.25">
      <c r="A11" s="802"/>
      <c r="B11" s="775"/>
      <c r="C11" s="495" t="s">
        <v>13</v>
      </c>
      <c r="D11" s="375" t="s">
        <v>264</v>
      </c>
      <c r="E11" s="383"/>
      <c r="F11" s="383"/>
      <c r="G11" s="460"/>
      <c r="H11" s="510"/>
    </row>
    <row r="12" spans="1:8" ht="35.25" customHeight="1" thickBot="1" x14ac:dyDescent="0.3">
      <c r="A12" s="802"/>
      <c r="B12" s="775"/>
      <c r="C12" s="496" t="s">
        <v>15</v>
      </c>
      <c r="D12" s="363"/>
      <c r="E12" s="330"/>
      <c r="F12" s="330"/>
      <c r="G12" s="330"/>
      <c r="H12" s="350"/>
    </row>
    <row r="13" spans="1:8" ht="87.75" customHeight="1" x14ac:dyDescent="0.25">
      <c r="A13" s="801" t="s">
        <v>1</v>
      </c>
      <c r="B13" s="799">
        <f>B8+1</f>
        <v>46301</v>
      </c>
      <c r="C13" s="486" t="s">
        <v>10</v>
      </c>
      <c r="D13" s="469" t="s">
        <v>272</v>
      </c>
      <c r="E13" s="367" t="s">
        <v>272</v>
      </c>
      <c r="F13" s="367" t="s">
        <v>272</v>
      </c>
      <c r="G13" s="303" t="s">
        <v>272</v>
      </c>
      <c r="H13" s="321" t="s">
        <v>272</v>
      </c>
    </row>
    <row r="14" spans="1:8" ht="87.75" customHeight="1" x14ac:dyDescent="0.25">
      <c r="A14" s="802"/>
      <c r="B14" s="800"/>
      <c r="C14" s="491" t="s">
        <v>11</v>
      </c>
      <c r="D14" s="374" t="s">
        <v>240</v>
      </c>
      <c r="E14" s="369" t="s">
        <v>240</v>
      </c>
      <c r="F14" s="369" t="s">
        <v>240</v>
      </c>
      <c r="G14" s="279" t="s">
        <v>240</v>
      </c>
      <c r="H14" s="280" t="s">
        <v>240</v>
      </c>
    </row>
    <row r="15" spans="1:8" ht="87.75" customHeight="1" x14ac:dyDescent="0.25">
      <c r="A15" s="802"/>
      <c r="B15" s="800"/>
      <c r="C15" s="491" t="s">
        <v>12</v>
      </c>
      <c r="D15" s="517" t="s">
        <v>257</v>
      </c>
      <c r="E15" s="279" t="s">
        <v>248</v>
      </c>
      <c r="F15" s="279"/>
      <c r="G15" s="279" t="s">
        <v>238</v>
      </c>
      <c r="H15" s="510" t="s">
        <v>239</v>
      </c>
    </row>
    <row r="16" spans="1:8" ht="111" x14ac:dyDescent="0.25">
      <c r="A16" s="802"/>
      <c r="B16" s="800"/>
      <c r="C16" s="491" t="s">
        <v>13</v>
      </c>
      <c r="D16" s="517" t="s">
        <v>312</v>
      </c>
      <c r="E16" s="279" t="s">
        <v>257</v>
      </c>
      <c r="F16" s="279"/>
      <c r="G16" s="279" t="s">
        <v>238</v>
      </c>
      <c r="H16" s="282" t="s">
        <v>269</v>
      </c>
    </row>
    <row r="17" spans="1:8" ht="61.5" customHeight="1" x14ac:dyDescent="0.25">
      <c r="A17" s="802"/>
      <c r="B17" s="800"/>
      <c r="C17" s="491" t="s">
        <v>15</v>
      </c>
      <c r="D17" s="524"/>
      <c r="E17" s="546"/>
      <c r="F17" s="546"/>
      <c r="G17" s="546"/>
      <c r="H17" s="518"/>
    </row>
    <row r="18" spans="1:8" ht="28.5" thickBot="1" x14ac:dyDescent="0.3">
      <c r="A18" s="802"/>
      <c r="B18" s="800"/>
      <c r="C18" s="493" t="s">
        <v>60</v>
      </c>
      <c r="D18" s="324"/>
      <c r="E18" s="383"/>
      <c r="F18" s="325"/>
      <c r="G18" s="325"/>
      <c r="H18" s="326"/>
    </row>
    <row r="19" spans="1:8" ht="87.75" customHeight="1" x14ac:dyDescent="0.25">
      <c r="A19" s="801" t="s">
        <v>2</v>
      </c>
      <c r="B19" s="798">
        <f>B13+1</f>
        <v>46302</v>
      </c>
      <c r="C19" s="497" t="s">
        <v>10</v>
      </c>
      <c r="D19" s="302" t="s">
        <v>254</v>
      </c>
      <c r="E19" s="303" t="s">
        <v>281</v>
      </c>
      <c r="F19" s="303" t="s">
        <v>258</v>
      </c>
      <c r="G19" s="303" t="s">
        <v>302</v>
      </c>
      <c r="H19" s="321"/>
    </row>
    <row r="20" spans="1:8" ht="87.75" customHeight="1" x14ac:dyDescent="0.25">
      <c r="A20" s="802"/>
      <c r="B20" s="775"/>
      <c r="C20" s="498" t="s">
        <v>11</v>
      </c>
      <c r="D20" s="278" t="s">
        <v>254</v>
      </c>
      <c r="E20" s="279" t="s">
        <v>282</v>
      </c>
      <c r="F20" s="279" t="s">
        <v>249</v>
      </c>
      <c r="G20" s="279" t="s">
        <v>303</v>
      </c>
      <c r="H20" s="280" t="s">
        <v>302</v>
      </c>
    </row>
    <row r="21" spans="1:8" ht="87.75" customHeight="1" x14ac:dyDescent="0.25">
      <c r="A21" s="802"/>
      <c r="B21" s="775"/>
      <c r="C21" s="498" t="s">
        <v>12</v>
      </c>
      <c r="D21" s="374" t="s">
        <v>246</v>
      </c>
      <c r="E21" s="410" t="s">
        <v>313</v>
      </c>
      <c r="F21" s="279" t="s">
        <v>261</v>
      </c>
      <c r="G21" s="279"/>
      <c r="H21" s="510" t="s">
        <v>239</v>
      </c>
    </row>
    <row r="22" spans="1:8" ht="83.25" x14ac:dyDescent="0.25">
      <c r="A22" s="802"/>
      <c r="B22" s="775"/>
      <c r="C22" s="498" t="s">
        <v>13</v>
      </c>
      <c r="D22" s="374" t="s">
        <v>295</v>
      </c>
      <c r="E22" s="404"/>
      <c r="F22" s="279" t="s">
        <v>304</v>
      </c>
      <c r="G22" s="279"/>
      <c r="H22" s="510" t="s">
        <v>239</v>
      </c>
    </row>
    <row r="23" spans="1:8" ht="87.75" customHeight="1" thickBot="1" x14ac:dyDescent="0.3">
      <c r="A23" s="807"/>
      <c r="B23" s="775"/>
      <c r="C23" s="499" t="s">
        <v>15</v>
      </c>
      <c r="D23" s="217"/>
      <c r="E23" s="457"/>
      <c r="F23" s="218"/>
      <c r="G23" s="218"/>
      <c r="H23" s="219"/>
    </row>
    <row r="24" spans="1:8" ht="132" customHeight="1" x14ac:dyDescent="0.25">
      <c r="A24" s="804" t="s">
        <v>3</v>
      </c>
      <c r="B24" s="756">
        <f>B19+1</f>
        <v>46303</v>
      </c>
      <c r="C24" s="486" t="s">
        <v>10</v>
      </c>
      <c r="D24" s="651" t="s">
        <v>294</v>
      </c>
      <c r="E24" s="303" t="s">
        <v>248</v>
      </c>
      <c r="F24" s="299" t="s">
        <v>269</v>
      </c>
      <c r="G24" s="299" t="s">
        <v>269</v>
      </c>
      <c r="H24" s="321" t="s">
        <v>284</v>
      </c>
    </row>
    <row r="25" spans="1:8" ht="124.5" customHeight="1" x14ac:dyDescent="0.25">
      <c r="A25" s="805"/>
      <c r="B25" s="757"/>
      <c r="C25" s="487" t="s">
        <v>11</v>
      </c>
      <c r="D25" s="281" t="s">
        <v>269</v>
      </c>
      <c r="E25" s="248" t="s">
        <v>260</v>
      </c>
      <c r="F25" s="248" t="s">
        <v>237</v>
      </c>
      <c r="G25" s="248" t="s">
        <v>238</v>
      </c>
      <c r="H25" s="282" t="s">
        <v>284</v>
      </c>
    </row>
    <row r="26" spans="1:8" ht="121.5" customHeight="1" x14ac:dyDescent="0.25">
      <c r="A26" s="805"/>
      <c r="B26" s="757"/>
      <c r="C26" s="487" t="s">
        <v>12</v>
      </c>
      <c r="D26" s="374" t="s">
        <v>301</v>
      </c>
      <c r="E26" s="410"/>
      <c r="F26" s="404" t="s">
        <v>305</v>
      </c>
      <c r="G26" s="402" t="s">
        <v>274</v>
      </c>
      <c r="H26" s="403" t="s">
        <v>308</v>
      </c>
    </row>
    <row r="27" spans="1:8" ht="112.5" customHeight="1" x14ac:dyDescent="0.25">
      <c r="A27" s="805"/>
      <c r="B27" s="757"/>
      <c r="C27" s="487" t="s">
        <v>13</v>
      </c>
      <c r="D27" s="517"/>
      <c r="E27" s="404"/>
      <c r="F27" s="404" t="s">
        <v>306</v>
      </c>
      <c r="G27" s="402" t="s">
        <v>307</v>
      </c>
      <c r="H27" s="403" t="s">
        <v>274</v>
      </c>
    </row>
    <row r="28" spans="1:8" ht="50.25" customHeight="1" thickBot="1" x14ac:dyDescent="0.3">
      <c r="A28" s="806"/>
      <c r="B28" s="757"/>
      <c r="C28" s="489" t="s">
        <v>15</v>
      </c>
      <c r="D28" s="217"/>
      <c r="E28" s="468"/>
      <c r="F28" s="457"/>
      <c r="G28" s="457"/>
      <c r="H28" s="459"/>
    </row>
    <row r="29" spans="1:8" ht="87.75" customHeight="1" x14ac:dyDescent="0.25">
      <c r="A29" s="801" t="s">
        <v>4</v>
      </c>
      <c r="B29" s="798">
        <f>B24+1</f>
        <v>46304</v>
      </c>
      <c r="C29" s="494" t="s">
        <v>10</v>
      </c>
      <c r="D29" s="293" t="s">
        <v>259</v>
      </c>
      <c r="E29" s="294" t="s">
        <v>274</v>
      </c>
      <c r="F29" s="294" t="s">
        <v>255</v>
      </c>
      <c r="G29" s="532" t="s">
        <v>256</v>
      </c>
      <c r="H29" s="295"/>
    </row>
    <row r="30" spans="1:8" ht="124.5" customHeight="1" x14ac:dyDescent="0.25">
      <c r="A30" s="802"/>
      <c r="B30" s="775"/>
      <c r="C30" s="495" t="s">
        <v>11</v>
      </c>
      <c r="D30" s="283" t="s">
        <v>247</v>
      </c>
      <c r="E30" s="247" t="s">
        <v>305</v>
      </c>
      <c r="F30" s="247" t="s">
        <v>255</v>
      </c>
      <c r="G30" s="474" t="s">
        <v>256</v>
      </c>
      <c r="H30" s="284"/>
    </row>
    <row r="31" spans="1:8" ht="87.75" customHeight="1" x14ac:dyDescent="0.25">
      <c r="A31" s="802"/>
      <c r="B31" s="775"/>
      <c r="C31" s="495" t="s">
        <v>12</v>
      </c>
      <c r="D31" s="281" t="s">
        <v>274</v>
      </c>
      <c r="E31" s="248" t="s">
        <v>236</v>
      </c>
      <c r="F31" s="279" t="s">
        <v>249</v>
      </c>
      <c r="G31" s="248" t="s">
        <v>251</v>
      </c>
      <c r="H31" s="282" t="s">
        <v>262</v>
      </c>
    </row>
    <row r="32" spans="1:8" ht="132" customHeight="1" x14ac:dyDescent="0.25">
      <c r="A32" s="802"/>
      <c r="B32" s="775"/>
      <c r="C32" s="495" t="s">
        <v>13</v>
      </c>
      <c r="D32" s="281" t="s">
        <v>309</v>
      </c>
      <c r="E32" s="248" t="s">
        <v>236</v>
      </c>
      <c r="F32" s="248" t="s">
        <v>275</v>
      </c>
      <c r="G32" s="319" t="s">
        <v>262</v>
      </c>
      <c r="H32" s="282" t="s">
        <v>252</v>
      </c>
    </row>
    <row r="33" spans="1:8" ht="54" customHeight="1" thickBot="1" x14ac:dyDescent="0.3">
      <c r="A33" s="807"/>
      <c r="B33" s="775"/>
      <c r="C33" s="500" t="s">
        <v>15</v>
      </c>
      <c r="D33" s="285"/>
      <c r="E33" s="286"/>
      <c r="F33" s="286"/>
      <c r="G33" s="286"/>
      <c r="H33" s="287"/>
    </row>
    <row r="34" spans="1:8" ht="39" customHeight="1" x14ac:dyDescent="0.25">
      <c r="A34" s="775" t="s">
        <v>47</v>
      </c>
      <c r="B34" s="798">
        <f>B29+1</f>
        <v>46305</v>
      </c>
      <c r="C34" s="501" t="s">
        <v>10</v>
      </c>
      <c r="D34" s="585"/>
      <c r="E34" s="586"/>
      <c r="F34" s="586"/>
      <c r="G34" s="586"/>
      <c r="H34" s="587"/>
    </row>
    <row r="35" spans="1:8" ht="39" customHeight="1" x14ac:dyDescent="0.25">
      <c r="A35" s="775"/>
      <c r="B35" s="775"/>
      <c r="C35" s="498" t="s">
        <v>11</v>
      </c>
      <c r="D35" s="585"/>
      <c r="E35" s="586"/>
      <c r="F35" s="586"/>
      <c r="G35" s="586"/>
      <c r="H35" s="587"/>
    </row>
    <row r="36" spans="1:8" ht="39" customHeight="1" x14ac:dyDescent="0.25">
      <c r="A36" s="775"/>
      <c r="B36" s="775"/>
      <c r="C36" s="498" t="s">
        <v>12</v>
      </c>
      <c r="D36" s="585"/>
      <c r="E36" s="586"/>
      <c r="F36" s="586"/>
      <c r="G36" s="586"/>
      <c r="H36" s="587"/>
    </row>
    <row r="37" spans="1:8" ht="39" customHeight="1" x14ac:dyDescent="0.25">
      <c r="A37" s="775"/>
      <c r="B37" s="775"/>
      <c r="C37" s="498" t="s">
        <v>13</v>
      </c>
      <c r="D37" s="585"/>
      <c r="E37" s="586"/>
      <c r="F37" s="586"/>
      <c r="G37" s="586"/>
      <c r="H37" s="587"/>
    </row>
    <row r="38" spans="1:8" ht="39" customHeight="1" thickBot="1" x14ac:dyDescent="0.3">
      <c r="A38" s="777"/>
      <c r="B38" s="777"/>
      <c r="C38" s="499" t="s">
        <v>15</v>
      </c>
      <c r="D38" s="588"/>
      <c r="E38" s="589"/>
      <c r="F38" s="589"/>
      <c r="G38" s="589"/>
      <c r="H38" s="590"/>
    </row>
    <row r="39" spans="1:8" ht="30" customHeight="1" x14ac:dyDescent="0.45">
      <c r="A39" s="2"/>
      <c r="B39" s="2"/>
      <c r="C39" s="44"/>
      <c r="D39" s="177" t="s">
        <v>82</v>
      </c>
      <c r="E39" s="2"/>
      <c r="F39" s="2"/>
      <c r="G39" s="2"/>
      <c r="H39" s="2"/>
    </row>
    <row r="40" spans="1:8" s="19" customFormat="1" ht="23.25" x14ac:dyDescent="0.35">
      <c r="A40" s="18"/>
      <c r="B40" s="18"/>
      <c r="C40" s="70" t="str">
        <f>'01.09'!C39</f>
        <v>*Л. Физиология человека*</v>
      </c>
      <c r="D40" s="71">
        <f>'28.09'!D40+COUNTIF(D$8:D$38,$C40)</f>
        <v>7</v>
      </c>
      <c r="E40" s="71">
        <f>'28.09'!E40+COUNTIF(E$8:E$38,$C40)</f>
        <v>7</v>
      </c>
      <c r="F40" s="71">
        <f>'28.09'!F40+COUNTIF(F$8:F$38,$C40)</f>
        <v>7</v>
      </c>
      <c r="G40" s="71">
        <f>'28.09'!G40+COUNTIF(G$8:G$38,$C40)</f>
        <v>7</v>
      </c>
      <c r="H40" s="71">
        <f>'28.09'!H40+COUNTIF(H$8:H$38,$C40)</f>
        <v>7</v>
      </c>
    </row>
    <row r="41" spans="1:8" s="19" customFormat="1" ht="23.25" x14ac:dyDescent="0.35">
      <c r="A41" s="18"/>
      <c r="B41" s="18"/>
      <c r="C41" s="70" t="str">
        <f>'01.09'!C40</f>
        <v>*Пр. Физиология человека*</v>
      </c>
      <c r="D41" s="72">
        <f>'28.09'!D41+COUNTIF(D$8:D$38,$C41)</f>
        <v>10</v>
      </c>
      <c r="E41" s="72">
        <f>'28.09'!E41+COUNTIF(E$8:E$38,$C41)</f>
        <v>10</v>
      </c>
      <c r="F41" s="72">
        <f>'28.09'!F41+COUNTIF(F$8:F$38,$C41)</f>
        <v>10</v>
      </c>
      <c r="G41" s="72">
        <f>'28.09'!G41+COUNTIF(G$8:G$38,$C41)</f>
        <v>10</v>
      </c>
      <c r="H41" s="72">
        <f>'28.09'!H41+COUNTIF(H$8:H$38,$C41)</f>
        <v>10</v>
      </c>
    </row>
    <row r="42" spans="1:8" s="19" customFormat="1" ht="23.25" x14ac:dyDescent="0.35">
      <c r="A42" s="18"/>
      <c r="B42" s="18"/>
      <c r="C42" s="70" t="str">
        <f>'01.09'!C41</f>
        <v>*Л. Элективные дисциплины по ФКиС: Фехтование*</v>
      </c>
      <c r="D42" s="71">
        <f>'28.09'!D42+COUNTIF(D$8:D$38,$C42)</f>
        <v>1</v>
      </c>
      <c r="E42" s="71">
        <f>'28.09'!E42+COUNTIF(E$8:E$38,$C42)</f>
        <v>1</v>
      </c>
      <c r="F42" s="71">
        <f>'28.09'!F42+COUNTIF(F$8:F$38,$C42)</f>
        <v>1</v>
      </c>
      <c r="G42" s="71">
        <f>'28.09'!G42+COUNTIF(G$8:G$38,$C42)</f>
        <v>1</v>
      </c>
      <c r="H42" s="71">
        <f>'28.09'!H42+COUNTIF(H$8:H$38,$C42)</f>
        <v>1</v>
      </c>
    </row>
    <row r="43" spans="1:8" s="19" customFormat="1" ht="23.25" x14ac:dyDescent="0.35">
      <c r="A43" s="18"/>
      <c r="B43" s="18"/>
      <c r="C43" s="70" t="str">
        <f>'01.09'!C42</f>
        <v>*Пр. Элективные дисциплины по ФКиС: Фехтование*</v>
      </c>
      <c r="D43" s="72">
        <f>'28.09'!D43+COUNTIF(D$8:D$38,$C43)</f>
        <v>1</v>
      </c>
      <c r="E43" s="72">
        <f>'28.09'!E43+COUNTIF(E$8:E$38,$C43)</f>
        <v>1</v>
      </c>
      <c r="F43" s="72">
        <f>'28.09'!F43+COUNTIF(F$8:F$38,$C43)</f>
        <v>1</v>
      </c>
      <c r="G43" s="72">
        <f>'28.09'!G43+COUNTIF(G$8:G$38,$C43)</f>
        <v>1</v>
      </c>
      <c r="H43" s="72">
        <f>'28.09'!H43+COUNTIF(H$8:H$38,$C43)</f>
        <v>1</v>
      </c>
    </row>
    <row r="44" spans="1:8" s="19" customFormat="1" ht="23.25" x14ac:dyDescent="0.35">
      <c r="A44" s="18"/>
      <c r="B44" s="18"/>
      <c r="C44" s="70" t="str">
        <f>'01.09'!C43</f>
        <v>*Л. Педагогика физической культуры и спорта*</v>
      </c>
      <c r="D44" s="71">
        <f>'28.09'!D44+COUNTIF(D$8:D$38,$C44)</f>
        <v>5</v>
      </c>
      <c r="E44" s="71">
        <f>'28.09'!E44+COUNTIF(E$8:E$38,$C44)</f>
        <v>5</v>
      </c>
      <c r="F44" s="71">
        <f>'28.09'!F44+COUNTIF(F$8:F$38,$C44)</f>
        <v>5</v>
      </c>
      <c r="G44" s="71">
        <f>'28.09'!G44+COUNTIF(G$8:G$38,$C44)</f>
        <v>5</v>
      </c>
      <c r="H44" s="71">
        <f>'28.09'!H44+COUNTIF(H$8:H$38,$C44)</f>
        <v>5</v>
      </c>
    </row>
    <row r="45" spans="1:8" s="19" customFormat="1" ht="23.25" x14ac:dyDescent="0.35">
      <c r="A45" s="18"/>
      <c r="B45" s="18"/>
      <c r="C45" s="70" t="str">
        <f>'01.09'!C44</f>
        <v>*Пр. Педагогика физической культуры и спорта*</v>
      </c>
      <c r="D45" s="72">
        <f>'28.09'!D45+COUNTIF(D$8:D$38,$C45)</f>
        <v>1</v>
      </c>
      <c r="E45" s="72">
        <f>'28.09'!E45+COUNTIF(E$8:E$38,$C45)</f>
        <v>1</v>
      </c>
      <c r="F45" s="72">
        <f>'28.09'!F45+COUNTIF(F$8:F$38,$C45)</f>
        <v>1</v>
      </c>
      <c r="G45" s="72">
        <f>'28.09'!G45+COUNTIF(G$8:G$38,$C45)</f>
        <v>1</v>
      </c>
      <c r="H45" s="72">
        <f>'28.09'!H45+COUNTIF(H$8:H$38,$C45)</f>
        <v>0</v>
      </c>
    </row>
    <row r="46" spans="1:8" s="19" customFormat="1" ht="23.25" x14ac:dyDescent="0.35">
      <c r="A46" s="18"/>
      <c r="B46" s="18"/>
      <c r="C46" s="70" t="str">
        <f>'01.09'!C45</f>
        <v>*Л. Теория и методика*</v>
      </c>
      <c r="D46" s="71">
        <f>'28.09'!D46+COUNTIF(D$8:D$38,$C46)</f>
        <v>3</v>
      </c>
      <c r="E46" s="71">
        <f>'28.09'!E46+COUNTIF(E$8:E$38,$C46)</f>
        <v>3</v>
      </c>
      <c r="F46" s="71">
        <f>'28.09'!F46+COUNTIF(F$8:F$38,$C46)</f>
        <v>3</v>
      </c>
      <c r="G46" s="71">
        <f>'28.09'!G46+COUNTIF(G$8:G$38,$C46)</f>
        <v>3</v>
      </c>
      <c r="H46" s="71">
        <f>'28.09'!H46+COUNTIF(H$8:H$38,$C46)</f>
        <v>3</v>
      </c>
    </row>
    <row r="47" spans="1:8" s="19" customFormat="1" ht="23.25" x14ac:dyDescent="0.35">
      <c r="A47" s="18"/>
      <c r="B47" s="18"/>
      <c r="C47" s="70" t="str">
        <f>'01.09'!C46</f>
        <v>*Пр. Теория и методика*</v>
      </c>
      <c r="D47" s="72">
        <f>'28.09'!D47+COUNTIF(D$8:D$38,$C47)</f>
        <v>13</v>
      </c>
      <c r="E47" s="72">
        <f>'28.09'!E47+COUNTIF(E$8:E$38,$C47)</f>
        <v>13</v>
      </c>
      <c r="F47" s="72">
        <f>'28.09'!F47+COUNTIF(F$8:F$38,$C47)</f>
        <v>13</v>
      </c>
      <c r="G47" s="72">
        <f>'28.09'!G47+COUNTIF(G$8:G$38,$C47)</f>
        <v>13</v>
      </c>
      <c r="H47" s="72">
        <f>'28.09'!H47+COUNTIF(H$8:H$38,$C47)</f>
        <v>13</v>
      </c>
    </row>
    <row r="48" spans="1:8" s="19" customFormat="1" ht="23.25" x14ac:dyDescent="0.35">
      <c r="A48" s="18"/>
      <c r="B48" s="18"/>
      <c r="C48" s="70" t="str">
        <f>'01.09'!C47</f>
        <v>*Л.  Теория и методика физической культуры*</v>
      </c>
      <c r="D48" s="71">
        <f>'28.09'!D48+COUNTIF(D$8:D$38,$C48)</f>
        <v>5</v>
      </c>
      <c r="E48" s="71">
        <f>'28.09'!E48+COUNTIF(E$8:E$38,$C48)</f>
        <v>5</v>
      </c>
      <c r="F48" s="71">
        <f>'28.09'!F48+COUNTIF(F$8:F$38,$C48)</f>
        <v>5</v>
      </c>
      <c r="G48" s="71">
        <f>'28.09'!G48+COUNTIF(G$8:G$38,$C48)</f>
        <v>5</v>
      </c>
      <c r="H48" s="71">
        <f>'28.09'!H48+COUNTIF(H$8:H$38,$C48)</f>
        <v>5</v>
      </c>
    </row>
    <row r="49" spans="1:8" s="19" customFormat="1" ht="23.25" x14ac:dyDescent="0.35">
      <c r="A49" s="18"/>
      <c r="B49" s="18"/>
      <c r="C49" s="70" t="str">
        <f>'01.09'!C48</f>
        <v>*Пр.  Теория и методика физической культуры*</v>
      </c>
      <c r="D49" s="72">
        <f>'28.09'!D49+COUNTIF(D$8:D$38,$C49)</f>
        <v>1</v>
      </c>
      <c r="E49" s="72">
        <f>'28.09'!E49+COUNTIF(E$8:E$38,$C49)</f>
        <v>1</v>
      </c>
      <c r="F49" s="72">
        <f>'28.09'!F49+COUNTIF(F$8:F$38,$C49)</f>
        <v>1</v>
      </c>
      <c r="G49" s="72">
        <f>'28.09'!G49+COUNTIF(G$8:G$38,$C49)</f>
        <v>1</v>
      </c>
      <c r="H49" s="72">
        <f>'28.09'!H49+COUNTIF(H$8:H$38,$C49)</f>
        <v>1</v>
      </c>
    </row>
    <row r="50" spans="1:8" s="19" customFormat="1" ht="23.25" x14ac:dyDescent="0.35">
      <c r="A50" s="18"/>
      <c r="B50" s="18"/>
      <c r="C50" s="70" t="str">
        <f>'01.09'!C49</f>
        <v>*Л. Плавание*</v>
      </c>
      <c r="D50" s="71">
        <f>'28.09'!D50+COUNTIF(D$8:D$38,$C50)</f>
        <v>2</v>
      </c>
      <c r="E50" s="71">
        <f>'28.09'!E50+COUNTIF(E$8:E$38,$C50)</f>
        <v>2</v>
      </c>
      <c r="F50" s="71">
        <f>'28.09'!F50+COUNTIF(F$8:F$38,$C50)</f>
        <v>2</v>
      </c>
      <c r="G50" s="71">
        <f>'28.09'!G50+COUNTIF(G$8:G$38,$C50)</f>
        <v>2</v>
      </c>
      <c r="H50" s="71">
        <f>'28.09'!H50+COUNTIF(H$8:H$38,$C50)</f>
        <v>2</v>
      </c>
    </row>
    <row r="51" spans="1:8" s="19" customFormat="1" ht="23.25" x14ac:dyDescent="0.35">
      <c r="A51" s="18"/>
      <c r="B51" s="18"/>
      <c r="C51" s="70" t="str">
        <f>'01.09'!C50</f>
        <v>*Пр. Плавание*</v>
      </c>
      <c r="D51" s="72">
        <f>'28.09'!D51+COUNTIF(D$8:D$38,$C51)</f>
        <v>10</v>
      </c>
      <c r="E51" s="72">
        <f>'28.09'!E51+COUNTIF(E$8:E$38,$C51)</f>
        <v>10</v>
      </c>
      <c r="F51" s="72">
        <f>'28.09'!F51+COUNTIF(F$8:F$38,$C51)</f>
        <v>10</v>
      </c>
      <c r="G51" s="72">
        <f>'28.09'!G51+COUNTIF(G$8:G$38,$C51)</f>
        <v>10</v>
      </c>
      <c r="H51" s="72">
        <f>'28.09'!H51+COUNTIF(H$8:H$38,$C51)</f>
        <v>10</v>
      </c>
    </row>
    <row r="52" spans="1:8" s="19" customFormat="1" ht="23.25" x14ac:dyDescent="0.35">
      <c r="A52" s="18"/>
      <c r="B52" s="18"/>
      <c r="C52" s="70" t="str">
        <f>'01.09'!C51</f>
        <v>*Л. Подвижные игры в спорте и образовании*</v>
      </c>
      <c r="D52" s="71">
        <f>'28.09'!D52+COUNTIF(D$8:D$38,$C52)</f>
        <v>1</v>
      </c>
      <c r="E52" s="71">
        <f>'28.09'!E52+COUNTIF(E$8:E$38,$C52)</f>
        <v>1</v>
      </c>
      <c r="F52" s="71">
        <f>'28.09'!F52+COUNTIF(F$8:F$38,$C52)</f>
        <v>1</v>
      </c>
      <c r="G52" s="71">
        <f>'28.09'!G52+COUNTIF(G$8:G$38,$C52)</f>
        <v>1</v>
      </c>
      <c r="H52" s="71">
        <f>'28.09'!H52+COUNTIF(H$8:H$38,$C52)</f>
        <v>1</v>
      </c>
    </row>
    <row r="53" spans="1:8" s="19" customFormat="1" ht="23.25" x14ac:dyDescent="0.35">
      <c r="A53" s="18"/>
      <c r="B53" s="18"/>
      <c r="C53" s="70" t="str">
        <f>'01.09'!C52</f>
        <v>*Пр. Подвижные игры в спорте и образовании*</v>
      </c>
      <c r="D53" s="72">
        <f>'28.09'!D53+COUNTIF(D$8:D$38,$C53)</f>
        <v>5</v>
      </c>
      <c r="E53" s="72">
        <f>'28.09'!E53+COUNTIF(E$8:E$38,$C53)</f>
        <v>5</v>
      </c>
      <c r="F53" s="72">
        <f>'28.09'!F53+COUNTIF(F$8:F$38,$C53)</f>
        <v>5</v>
      </c>
      <c r="G53" s="72">
        <f>'28.09'!G53+COUNTIF(G$8:G$38,$C53)</f>
        <v>5</v>
      </c>
      <c r="H53" s="72">
        <f>'28.09'!H53+COUNTIF(H$8:H$38,$C53)</f>
        <v>5</v>
      </c>
    </row>
    <row r="54" spans="1:8" s="19" customFormat="1" ht="23.25" x14ac:dyDescent="0.35">
      <c r="A54" s="18"/>
      <c r="B54" s="18"/>
      <c r="C54" s="70" t="str">
        <f>'01.09'!C53</f>
        <v>*Л. Самооборона (самбо)*</v>
      </c>
      <c r="D54" s="71">
        <f>'28.09'!D54+COUNTIF(D$8:D$38,$C54)</f>
        <v>1</v>
      </c>
      <c r="E54" s="71">
        <f>'28.09'!E54+COUNTIF(E$8:E$38,$C54)</f>
        <v>1</v>
      </c>
      <c r="F54" s="71">
        <f>'28.09'!F54+COUNTIF(F$8:F$38,$C54)</f>
        <v>1</v>
      </c>
      <c r="G54" s="71">
        <f>'28.09'!G54+COUNTIF(G$8:G$38,$C54)</f>
        <v>1</v>
      </c>
      <c r="H54" s="71">
        <f>'28.09'!H54+COUNTIF(H$8:H$38,$C54)</f>
        <v>1</v>
      </c>
    </row>
    <row r="55" spans="1:8" s="19" customFormat="1" ht="23.25" x14ac:dyDescent="0.35">
      <c r="A55" s="18"/>
      <c r="B55" s="18"/>
      <c r="C55" s="70" t="str">
        <f>'01.09'!C54</f>
        <v>*Пр. Самооборона (самбо)*</v>
      </c>
      <c r="D55" s="72">
        <f>'28.09'!D55+COUNTIF(D$8:D$38,$C55)</f>
        <v>5</v>
      </c>
      <c r="E55" s="72">
        <f>'28.09'!E55+COUNTIF(E$8:E$38,$C55)</f>
        <v>5</v>
      </c>
      <c r="F55" s="72">
        <f>'28.09'!F55+COUNTIF(F$8:F$38,$C55)</f>
        <v>5</v>
      </c>
      <c r="G55" s="72">
        <f>'28.09'!G55+COUNTIF(G$8:G$38,$C55)</f>
        <v>5</v>
      </c>
      <c r="H55" s="72">
        <f>'28.09'!H55+COUNTIF(H$8:H$38,$C55)</f>
        <v>5</v>
      </c>
    </row>
    <row r="56" spans="1:8" s="19" customFormat="1" ht="23.25" x14ac:dyDescent="0.35">
      <c r="A56" s="18"/>
      <c r="B56" s="18"/>
      <c r="C56" s="70" t="str">
        <f>'01.09'!C55</f>
        <v>*Л. Методика реализации программ*</v>
      </c>
      <c r="D56" s="71">
        <f>'28.09'!D56+COUNTIF(D$8:D$38,$C56)</f>
        <v>3</v>
      </c>
      <c r="E56" s="71">
        <f>'28.09'!E56+COUNTIF(E$8:E$38,$C56)</f>
        <v>3</v>
      </c>
      <c r="F56" s="71">
        <f>'28.09'!F56+COUNTIF(F$8:F$38,$C56)</f>
        <v>3</v>
      </c>
      <c r="G56" s="71">
        <f>'28.09'!G56+COUNTIF(G$8:G$38,$C56)</f>
        <v>3</v>
      </c>
      <c r="H56" s="71">
        <f>'28.09'!H56+COUNTIF(H$8:H$38,$C56)</f>
        <v>3</v>
      </c>
    </row>
    <row r="57" spans="1:8" s="19" customFormat="1" ht="23.25" x14ac:dyDescent="0.35">
      <c r="A57" s="18"/>
      <c r="B57" s="18"/>
      <c r="C57" s="70" t="str">
        <f>'01.09'!C56</f>
        <v>*Пр. Методика реализации программ*</v>
      </c>
      <c r="D57" s="72">
        <f>'28.09'!D57+COUNTIF(D$8:D$38,$C57)</f>
        <v>1</v>
      </c>
      <c r="E57" s="72">
        <f>'28.09'!E57+COUNTIF(E$8:E$38,$C57)</f>
        <v>1</v>
      </c>
      <c r="F57" s="72">
        <f>'28.09'!F57+COUNTIF(F$8:F$38,$C57)</f>
        <v>1</v>
      </c>
      <c r="G57" s="72">
        <f>'28.09'!G57+COUNTIF(G$8:G$38,$C57)</f>
        <v>1</v>
      </c>
      <c r="H57" s="72">
        <f>'28.09'!H57+COUNTIF(H$8:H$38,$C57)</f>
        <v>1</v>
      </c>
    </row>
    <row r="58" spans="1:8" s="19" customFormat="1" ht="23.25" x14ac:dyDescent="0.35">
      <c r="A58" s="18"/>
      <c r="B58" s="18"/>
      <c r="C58" s="70" t="str">
        <f>'01.09'!C57</f>
        <v>*Л. Методика преподавания*</v>
      </c>
      <c r="D58" s="71">
        <f>'28.09'!D58+COUNTIF(D$8:D$38,$C58)</f>
        <v>3</v>
      </c>
      <c r="E58" s="71">
        <f>'28.09'!E58+COUNTIF(E$8:E$38,$C58)</f>
        <v>3</v>
      </c>
      <c r="F58" s="71">
        <f>'28.09'!F58+COUNTIF(F$8:F$38,$C58)</f>
        <v>3</v>
      </c>
      <c r="G58" s="71">
        <f>'28.09'!G58+COUNTIF(G$8:G$38,$C58)</f>
        <v>3</v>
      </c>
      <c r="H58" s="71">
        <f>'28.09'!H58+COUNTIF(H$8:H$38,$C58)</f>
        <v>3</v>
      </c>
    </row>
    <row r="59" spans="1:8" s="19" customFormat="1" ht="23.25" x14ac:dyDescent="0.35">
      <c r="A59" s="18"/>
      <c r="B59" s="18"/>
      <c r="C59" s="70" t="str">
        <f>'01.09'!C58</f>
        <v>*Пр. Методика преподавания*</v>
      </c>
      <c r="D59" s="72">
        <f>'28.09'!D59+COUNTIF(D$8:D$38,$C59)</f>
        <v>1</v>
      </c>
      <c r="E59" s="72">
        <f>'28.09'!E59+COUNTIF(E$8:E$38,$C59)</f>
        <v>1</v>
      </c>
      <c r="F59" s="72">
        <f>'28.09'!F59+COUNTIF(F$8:F$38,$C59)</f>
        <v>1</v>
      </c>
      <c r="G59" s="72">
        <f>'28.09'!G59+COUNTIF(G$8:G$38,$C59)</f>
        <v>1</v>
      </c>
      <c r="H59" s="72">
        <f>'28.09'!H59+COUNTIF(H$8:H$38,$C59)</f>
        <v>1</v>
      </c>
    </row>
    <row r="60" spans="1:8" s="19" customFormat="1" ht="23.25" x14ac:dyDescent="0.35">
      <c r="A60" s="18"/>
      <c r="B60" s="18"/>
      <c r="C60" s="70">
        <f>'01.09'!C59</f>
        <v>0</v>
      </c>
      <c r="D60" s="71">
        <f>'28.09'!D60+COUNTIF(D$8:D$38,$C60)</f>
        <v>0</v>
      </c>
      <c r="E60" s="71">
        <f>'28.09'!E60+COUNTIF(E$8:E$38,$C60)</f>
        <v>0</v>
      </c>
      <c r="F60" s="71">
        <f>'28.09'!F60+COUNTIF(F$8:F$38,$C60)</f>
        <v>0</v>
      </c>
      <c r="G60" s="71">
        <f>'28.09'!G60+COUNTIF(G$8:G$38,$C60)</f>
        <v>0</v>
      </c>
      <c r="H60" s="71">
        <f>'28.09'!H60+COUNTIF(H$8:H$38,$C60)</f>
        <v>0</v>
      </c>
    </row>
    <row r="61" spans="1:8" s="19" customFormat="1" ht="23.25" x14ac:dyDescent="0.35">
      <c r="A61" s="18"/>
      <c r="B61" s="18"/>
      <c r="C61" s="70">
        <f>'01.09'!C60</f>
        <v>0</v>
      </c>
      <c r="D61" s="71">
        <f>'28.09'!D61+COUNTIF(D$8:D$38,$C61)</f>
        <v>0</v>
      </c>
      <c r="E61" s="71">
        <f>'28.09'!E61+COUNTIF(E$8:E$38,$C61)</f>
        <v>0</v>
      </c>
      <c r="F61" s="71">
        <f>'28.09'!F61+COUNTIF(F$8:F$38,$C61)</f>
        <v>0</v>
      </c>
      <c r="G61" s="71">
        <f>'28.09'!G61+COUNTIF(G$8:G$38,$C61)</f>
        <v>0</v>
      </c>
      <c r="H61" s="71">
        <f>'28.09'!H61+COUNTIF(H$8:H$38,$C61)</f>
        <v>0</v>
      </c>
    </row>
    <row r="62" spans="1:8" ht="23.25" x14ac:dyDescent="0.35">
      <c r="A62" s="2"/>
      <c r="B62" s="2"/>
      <c r="C62" s="70">
        <f>'01.09'!C61</f>
        <v>0</v>
      </c>
      <c r="D62" s="71">
        <f>'28.09'!D62+COUNTIF(D$8:D$38,$C62)</f>
        <v>0</v>
      </c>
      <c r="E62" s="71">
        <f>'28.09'!E62+COUNTIF(E$8:E$38,$C62)</f>
        <v>0</v>
      </c>
      <c r="F62" s="71">
        <f>'28.09'!F62+COUNTIF(F$8:F$38,$C62)</f>
        <v>0</v>
      </c>
      <c r="G62" s="71">
        <f>'28.09'!G62+COUNTIF(G$8:G$38,$C62)</f>
        <v>0</v>
      </c>
      <c r="H62" s="71">
        <f>'28.09'!H62+COUNTIF(H$8:H$38,$C62)</f>
        <v>0</v>
      </c>
    </row>
    <row r="63" spans="1:8" ht="23.25" x14ac:dyDescent="0.35">
      <c r="A63" s="2"/>
      <c r="B63" s="2"/>
      <c r="C63" s="70">
        <f>'01.09'!C62</f>
        <v>0</v>
      </c>
      <c r="D63" s="71">
        <f>'28.09'!D63+COUNTIF(D$8:D$38,$C63)</f>
        <v>0</v>
      </c>
      <c r="E63" s="71">
        <f>'28.09'!E63+COUNTIF(E$8:E$38,$C63)</f>
        <v>0</v>
      </c>
      <c r="F63" s="71">
        <f>'28.09'!F63+COUNTIF(F$8:F$38,$C63)</f>
        <v>0</v>
      </c>
      <c r="G63" s="71">
        <f>'28.09'!G63+COUNTIF(G$8:G$38,$C63)</f>
        <v>0</v>
      </c>
      <c r="H63" s="71">
        <f>'28.09'!H63+COUNTIF(H$8:H$38,$C63)</f>
        <v>0</v>
      </c>
    </row>
    <row r="64" spans="1:8" ht="23.25" x14ac:dyDescent="0.35">
      <c r="A64" s="2"/>
      <c r="B64" s="2"/>
      <c r="C64" s="70">
        <f>'01.09'!C63</f>
        <v>0</v>
      </c>
      <c r="D64" s="71">
        <f>'28.09'!D64+COUNTIF(D$8:D$38,$C64)</f>
        <v>0</v>
      </c>
      <c r="E64" s="71">
        <f>'28.09'!E64+COUNTIF(E$8:E$38,$C64)</f>
        <v>0</v>
      </c>
      <c r="F64" s="71">
        <f>'28.09'!F64+COUNTIF(F$8:F$38,$C64)</f>
        <v>0</v>
      </c>
      <c r="G64" s="71">
        <f>'28.09'!G64+COUNTIF(G$8:G$38,$C64)</f>
        <v>0</v>
      </c>
      <c r="H64" s="71">
        <f>'28.09'!H64+COUNTIF(H$8:H$38,$C64)</f>
        <v>0</v>
      </c>
    </row>
    <row r="65" spans="1:8" ht="23.25" x14ac:dyDescent="0.35">
      <c r="A65" s="2"/>
      <c r="B65" s="2"/>
      <c r="C65" s="70">
        <f>'01.09'!C64</f>
        <v>0</v>
      </c>
      <c r="D65" s="71">
        <f>'28.09'!D65+COUNTIF(D$8:D$38,$C65)</f>
        <v>0</v>
      </c>
      <c r="E65" s="71">
        <f>'28.09'!E65+COUNTIF(E$8:E$38,$C65)</f>
        <v>0</v>
      </c>
      <c r="F65" s="71">
        <f>'28.09'!F65+COUNTIF(F$8:F$38,$C65)</f>
        <v>0</v>
      </c>
      <c r="G65" s="71">
        <f>'28.09'!G65+COUNTIF(G$8:G$38,$C65)</f>
        <v>0</v>
      </c>
      <c r="H65" s="71">
        <f>'28.09'!H65+COUNTIF(H$8:H$38,$C65)</f>
        <v>0</v>
      </c>
    </row>
    <row r="66" spans="1:8" ht="23.25" x14ac:dyDescent="0.35">
      <c r="A66" s="2"/>
      <c r="B66" s="2"/>
      <c r="C66" s="70">
        <f>'01.09'!C65</f>
        <v>0</v>
      </c>
      <c r="D66" s="71">
        <f>'28.09'!D66+COUNTIF(D$8:D$38,$C66)</f>
        <v>0</v>
      </c>
      <c r="E66" s="71">
        <f>'28.09'!E66+COUNTIF(E$8:E$38,$C66)</f>
        <v>0</v>
      </c>
      <c r="F66" s="71">
        <f>'28.09'!F66+COUNTIF(F$8:F$38,$C66)</f>
        <v>0</v>
      </c>
      <c r="G66" s="71">
        <f>'28.09'!G66+COUNTIF(G$8:G$38,$C66)</f>
        <v>0</v>
      </c>
      <c r="H66" s="71">
        <f>'28.09'!H66+COUNTIF(H$8:H$38,$C66)</f>
        <v>0</v>
      </c>
    </row>
    <row r="67" spans="1:8" ht="23.25" x14ac:dyDescent="0.35">
      <c r="A67" s="2"/>
      <c r="B67" s="2"/>
      <c r="C67" s="70">
        <f>'01.09'!C66</f>
        <v>0</v>
      </c>
      <c r="D67" s="71">
        <f>'28.09'!D67+COUNTIF(D$8:D$38,$C67)</f>
        <v>0</v>
      </c>
      <c r="E67" s="71">
        <f>'28.09'!E67+COUNTIF(E$8:E$38,$C67)</f>
        <v>0</v>
      </c>
      <c r="F67" s="71">
        <f>'28.09'!F67+COUNTIF(F$8:F$38,$C67)</f>
        <v>0</v>
      </c>
      <c r="G67" s="71">
        <f>'28.09'!G67+COUNTIF(G$8:G$38,$C67)</f>
        <v>0</v>
      </c>
      <c r="H67" s="71">
        <f>'28.09'!H67+COUNTIF(H$8:H$38,$C67)</f>
        <v>0</v>
      </c>
    </row>
    <row r="68" spans="1:8" ht="23.25" x14ac:dyDescent="0.35">
      <c r="A68" s="2"/>
      <c r="B68" s="2"/>
      <c r="C68" s="70">
        <f>'01.09'!C67</f>
        <v>0</v>
      </c>
      <c r="D68" s="71">
        <f>'28.09'!D68+COUNTIF(D$8:D$38,$C68)</f>
        <v>0</v>
      </c>
      <c r="E68" s="71">
        <f>'28.09'!E68+COUNTIF(E$8:E$38,$C68)</f>
        <v>0</v>
      </c>
      <c r="F68" s="71">
        <f>'28.09'!F68+COUNTIF(F$8:F$38,$C68)</f>
        <v>0</v>
      </c>
      <c r="G68" s="71">
        <f>'28.09'!G68+COUNTIF(G$8:G$38,$C68)</f>
        <v>0</v>
      </c>
      <c r="H68" s="71">
        <f>'28.09'!H68+COUNTIF(H$8:H$38,$C68)</f>
        <v>0</v>
      </c>
    </row>
    <row r="69" spans="1:8" ht="23.25" x14ac:dyDescent="0.35">
      <c r="A69" s="2"/>
      <c r="B69" s="2"/>
      <c r="C69" s="70">
        <f>'01.09'!C68</f>
        <v>0</v>
      </c>
      <c r="D69" s="71">
        <f>'28.09'!D69+COUNTIF(D$8:D$38,$C69)</f>
        <v>0</v>
      </c>
      <c r="E69" s="71">
        <f>'28.09'!E69+COUNTIF(E$8:E$38,$C69)</f>
        <v>0</v>
      </c>
      <c r="F69" s="71">
        <f>'28.09'!F69+COUNTIF(F$8:F$38,$C69)</f>
        <v>0</v>
      </c>
      <c r="G69" s="71">
        <f>'28.09'!G69+COUNTIF(G$8:G$38,$C69)</f>
        <v>0</v>
      </c>
      <c r="H69" s="71">
        <f>'28.09'!H69+COUNTIF(H$8:H$38,$C69)</f>
        <v>0</v>
      </c>
    </row>
    <row r="70" spans="1:8" ht="23.25" x14ac:dyDescent="0.35">
      <c r="A70" s="2"/>
      <c r="B70" s="2"/>
      <c r="C70" s="70">
        <f>'01.09'!C69</f>
        <v>0</v>
      </c>
      <c r="D70" s="71">
        <f>'28.09'!D70+COUNTIF(D$8:D$38,$C70)</f>
        <v>0</v>
      </c>
      <c r="E70" s="71">
        <f>'28.09'!E70+COUNTIF(E$8:E$38,$C70)</f>
        <v>0</v>
      </c>
      <c r="F70" s="71">
        <f>'28.09'!F70+COUNTIF(F$8:F$38,$C70)</f>
        <v>0</v>
      </c>
      <c r="G70" s="71">
        <f>'28.09'!G70+COUNTIF(G$8:G$38,$C70)</f>
        <v>0</v>
      </c>
      <c r="H70" s="71">
        <f>'28.09'!H70+COUNTIF(H$8:H$38,$C70)</f>
        <v>0</v>
      </c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A34:A38"/>
    <mergeCell ref="B34:B38"/>
    <mergeCell ref="A8:A12"/>
    <mergeCell ref="A13:A18"/>
    <mergeCell ref="B8:B12"/>
    <mergeCell ref="B13:B18"/>
    <mergeCell ref="A24:A28"/>
    <mergeCell ref="A29:A33"/>
    <mergeCell ref="B19:B23"/>
    <mergeCell ref="B24:B28"/>
    <mergeCell ref="B29:B33"/>
    <mergeCell ref="A19:A23"/>
    <mergeCell ref="A6:A7"/>
    <mergeCell ref="C6:C7"/>
    <mergeCell ref="B6:B7"/>
    <mergeCell ref="B1:H1"/>
    <mergeCell ref="B2:H2"/>
    <mergeCell ref="B3:H3"/>
    <mergeCell ref="B4:H4"/>
    <mergeCell ref="A5:H5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J72"/>
  <sheetViews>
    <sheetView view="pageBreakPreview" topLeftCell="A22" zoomScale="40" zoomScaleNormal="40" zoomScaleSheetLayoutView="40" zoomScalePageLayoutView="40" workbookViewId="0">
      <selection activeCell="E26" sqref="E26"/>
    </sheetView>
  </sheetViews>
  <sheetFormatPr defaultRowHeight="15" x14ac:dyDescent="0.25"/>
  <cols>
    <col min="1" max="2" width="4.42578125" customWidth="1"/>
    <col min="3" max="3" width="22" customWidth="1"/>
    <col min="4" max="8" width="65.28515625" customWidth="1"/>
  </cols>
  <sheetData>
    <row r="1" spans="1:8" ht="25.9" customHeight="1" x14ac:dyDescent="0.3">
      <c r="A1" s="178"/>
      <c r="B1" s="760" t="s">
        <v>140</v>
      </c>
      <c r="C1" s="760"/>
      <c r="D1" s="760"/>
      <c r="E1" s="760"/>
      <c r="F1" s="760"/>
      <c r="G1" s="760"/>
      <c r="H1" s="760"/>
    </row>
    <row r="2" spans="1:8" ht="25.5" customHeight="1" x14ac:dyDescent="0.3">
      <c r="A2" s="179"/>
      <c r="B2" s="760" t="s">
        <v>87</v>
      </c>
      <c r="C2" s="760"/>
      <c r="D2" s="760"/>
      <c r="E2" s="760"/>
      <c r="F2" s="760"/>
      <c r="G2" s="760"/>
      <c r="H2" s="760"/>
    </row>
    <row r="3" spans="1:8" ht="31.5" customHeight="1" x14ac:dyDescent="0.25">
      <c r="A3" s="229"/>
      <c r="B3" s="787" t="s">
        <v>81</v>
      </c>
      <c r="C3" s="787"/>
      <c r="D3" s="787"/>
      <c r="E3" s="787"/>
      <c r="F3" s="787"/>
      <c r="G3" s="787"/>
      <c r="H3" s="787"/>
    </row>
    <row r="4" spans="1:8" ht="31.5" customHeight="1" x14ac:dyDescent="0.25">
      <c r="A4" s="180"/>
      <c r="B4" s="760" t="s">
        <v>142</v>
      </c>
      <c r="C4" s="760"/>
      <c r="D4" s="760"/>
      <c r="E4" s="760"/>
      <c r="F4" s="760"/>
      <c r="G4" s="760"/>
      <c r="H4" s="760"/>
    </row>
    <row r="5" spans="1:8" ht="24.75" customHeight="1" thickBot="1" x14ac:dyDescent="0.3">
      <c r="A5" s="682" t="s">
        <v>112</v>
      </c>
      <c r="B5" s="682"/>
      <c r="C5" s="682"/>
      <c r="D5" s="682"/>
      <c r="E5" s="682"/>
      <c r="F5" s="682"/>
      <c r="G5" s="682"/>
      <c r="H5" s="682"/>
    </row>
    <row r="6" spans="1:8" ht="30.75" customHeight="1" thickBot="1" x14ac:dyDescent="0.3">
      <c r="A6" s="770" t="s">
        <v>54</v>
      </c>
      <c r="B6" s="770" t="s">
        <v>14</v>
      </c>
      <c r="C6" s="793" t="s">
        <v>55</v>
      </c>
      <c r="D6" s="241" t="s">
        <v>5</v>
      </c>
      <c r="E6" s="242" t="s">
        <v>6</v>
      </c>
      <c r="F6" s="242" t="s">
        <v>7</v>
      </c>
      <c r="G6" s="242" t="s">
        <v>8</v>
      </c>
      <c r="H6" s="243" t="s">
        <v>9</v>
      </c>
    </row>
    <row r="7" spans="1:8" ht="96.75" customHeight="1" thickBot="1" x14ac:dyDescent="0.3">
      <c r="A7" s="771"/>
      <c r="B7" s="771"/>
      <c r="C7" s="794"/>
      <c r="D7" s="300" t="s">
        <v>106</v>
      </c>
      <c r="E7" s="370" t="s">
        <v>136</v>
      </c>
      <c r="F7" s="370" t="s">
        <v>107</v>
      </c>
      <c r="G7" s="370" t="s">
        <v>90</v>
      </c>
      <c r="H7" s="449" t="s">
        <v>78</v>
      </c>
    </row>
    <row r="8" spans="1:8" ht="166.5" x14ac:dyDescent="0.25">
      <c r="A8" s="804" t="s">
        <v>0</v>
      </c>
      <c r="B8" s="792">
        <v>46307</v>
      </c>
      <c r="C8" s="483" t="s">
        <v>10</v>
      </c>
      <c r="D8" s="651" t="s">
        <v>263</v>
      </c>
      <c r="E8" s="299" t="s">
        <v>270</v>
      </c>
      <c r="F8" s="299" t="s">
        <v>237</v>
      </c>
      <c r="G8" s="361" t="s">
        <v>250</v>
      </c>
      <c r="H8" s="362" t="s">
        <v>257</v>
      </c>
    </row>
    <row r="9" spans="1:8" ht="166.5" x14ac:dyDescent="0.25">
      <c r="A9" s="808"/>
      <c r="B9" s="757"/>
      <c r="C9" s="484" t="s">
        <v>11</v>
      </c>
      <c r="D9" s="375" t="s">
        <v>263</v>
      </c>
      <c r="E9" s="383" t="s">
        <v>271</v>
      </c>
      <c r="F9" s="383" t="s">
        <v>237</v>
      </c>
      <c r="G9" s="383" t="s">
        <v>300</v>
      </c>
      <c r="H9" s="414" t="s">
        <v>252</v>
      </c>
    </row>
    <row r="10" spans="1:8" ht="83.25" x14ac:dyDescent="0.25">
      <c r="A10" s="808"/>
      <c r="B10" s="757"/>
      <c r="C10" s="484" t="s">
        <v>12</v>
      </c>
      <c r="D10" s="375" t="s">
        <v>264</v>
      </c>
      <c r="E10" s="369" t="s">
        <v>301</v>
      </c>
      <c r="F10" s="383"/>
      <c r="G10" s="460"/>
      <c r="H10" s="510"/>
    </row>
    <row r="11" spans="1:8" ht="69.75" customHeight="1" x14ac:dyDescent="0.25">
      <c r="A11" s="808"/>
      <c r="B11" s="757"/>
      <c r="C11" s="484" t="s">
        <v>13</v>
      </c>
      <c r="D11" s="375" t="s">
        <v>264</v>
      </c>
      <c r="E11" s="383"/>
      <c r="F11" s="383"/>
      <c r="G11" s="460"/>
      <c r="H11" s="510"/>
    </row>
    <row r="12" spans="1:8" ht="45" customHeight="1" thickBot="1" x14ac:dyDescent="0.3">
      <c r="A12" s="808"/>
      <c r="B12" s="757"/>
      <c r="C12" s="485" t="s">
        <v>15</v>
      </c>
      <c r="D12" s="363"/>
      <c r="E12" s="330"/>
      <c r="F12" s="330"/>
      <c r="G12" s="330"/>
      <c r="H12" s="350"/>
    </row>
    <row r="13" spans="1:8" ht="105" customHeight="1" x14ac:dyDescent="0.25">
      <c r="A13" s="804" t="s">
        <v>1</v>
      </c>
      <c r="B13" s="756">
        <f>B8+1</f>
        <v>46308</v>
      </c>
      <c r="C13" s="486" t="s">
        <v>10</v>
      </c>
      <c r="D13" s="581" t="s">
        <v>272</v>
      </c>
      <c r="E13" s="382" t="s">
        <v>272</v>
      </c>
      <c r="F13" s="382" t="s">
        <v>272</v>
      </c>
      <c r="G13" s="303" t="s">
        <v>272</v>
      </c>
      <c r="H13" s="321" t="s">
        <v>272</v>
      </c>
    </row>
    <row r="14" spans="1:8" ht="105" customHeight="1" x14ac:dyDescent="0.25">
      <c r="A14" s="808"/>
      <c r="B14" s="757"/>
      <c r="C14" s="487" t="s">
        <v>11</v>
      </c>
      <c r="D14" s="418" t="s">
        <v>240</v>
      </c>
      <c r="E14" s="383" t="s">
        <v>240</v>
      </c>
      <c r="F14" s="383" t="s">
        <v>240</v>
      </c>
      <c r="G14" s="279" t="s">
        <v>240</v>
      </c>
      <c r="H14" s="280" t="s">
        <v>240</v>
      </c>
    </row>
    <row r="15" spans="1:8" ht="105" customHeight="1" x14ac:dyDescent="0.25">
      <c r="A15" s="808"/>
      <c r="B15" s="757"/>
      <c r="C15" s="487" t="s">
        <v>12</v>
      </c>
      <c r="D15" s="517" t="s">
        <v>257</v>
      </c>
      <c r="E15" s="279" t="s">
        <v>248</v>
      </c>
      <c r="F15" s="279"/>
      <c r="G15" s="279" t="s">
        <v>238</v>
      </c>
      <c r="H15" s="510" t="s">
        <v>239</v>
      </c>
    </row>
    <row r="16" spans="1:8" ht="118.5" customHeight="1" x14ac:dyDescent="0.25">
      <c r="A16" s="808"/>
      <c r="B16" s="757"/>
      <c r="C16" s="487" t="s">
        <v>13</v>
      </c>
      <c r="D16" s="375" t="s">
        <v>312</v>
      </c>
      <c r="E16" s="279" t="s">
        <v>257</v>
      </c>
      <c r="F16" s="279"/>
      <c r="G16" s="279" t="s">
        <v>238</v>
      </c>
      <c r="H16" s="282" t="s">
        <v>269</v>
      </c>
    </row>
    <row r="17" spans="1:10" ht="52.5" customHeight="1" x14ac:dyDescent="0.25">
      <c r="A17" s="482"/>
      <c r="B17" s="478"/>
      <c r="C17" s="491" t="s">
        <v>15</v>
      </c>
      <c r="D17" s="524"/>
      <c r="E17" s="546"/>
      <c r="F17" s="546"/>
      <c r="G17" s="546"/>
      <c r="H17" s="518"/>
    </row>
    <row r="18" spans="1:10" ht="28.5" thickBot="1" x14ac:dyDescent="0.3">
      <c r="A18" s="412"/>
      <c r="B18" s="411"/>
      <c r="C18" s="489" t="s">
        <v>60</v>
      </c>
      <c r="D18" s="324"/>
      <c r="E18" s="383"/>
      <c r="F18" s="325"/>
      <c r="G18" s="325"/>
      <c r="H18" s="326"/>
    </row>
    <row r="19" spans="1:10" ht="105" customHeight="1" x14ac:dyDescent="0.25">
      <c r="A19" s="804" t="s">
        <v>2</v>
      </c>
      <c r="B19" s="756">
        <f>B13+1</f>
        <v>46309</v>
      </c>
      <c r="C19" s="483" t="s">
        <v>10</v>
      </c>
      <c r="D19" s="302" t="s">
        <v>254</v>
      </c>
      <c r="E19" s="303" t="s">
        <v>281</v>
      </c>
      <c r="F19" s="303" t="s">
        <v>258</v>
      </c>
      <c r="G19" s="532" t="s">
        <v>302</v>
      </c>
      <c r="H19" s="321" t="s">
        <v>304</v>
      </c>
    </row>
    <row r="20" spans="1:10" ht="105" customHeight="1" x14ac:dyDescent="0.25">
      <c r="A20" s="808"/>
      <c r="B20" s="757"/>
      <c r="C20" s="484" t="s">
        <v>11</v>
      </c>
      <c r="D20" s="278" t="s">
        <v>254</v>
      </c>
      <c r="E20" s="279" t="s">
        <v>282</v>
      </c>
      <c r="F20" s="279" t="s">
        <v>249</v>
      </c>
      <c r="G20" s="652" t="s">
        <v>303</v>
      </c>
      <c r="H20" s="492" t="s">
        <v>302</v>
      </c>
    </row>
    <row r="21" spans="1:10" ht="105" customHeight="1" x14ac:dyDescent="0.25">
      <c r="A21" s="808"/>
      <c r="B21" s="757"/>
      <c r="C21" s="484" t="s">
        <v>12</v>
      </c>
      <c r="D21" s="418" t="s">
        <v>246</v>
      </c>
      <c r="E21" s="402" t="s">
        <v>313</v>
      </c>
      <c r="F21" s="279" t="s">
        <v>261</v>
      </c>
      <c r="G21" s="279"/>
      <c r="H21" s="510" t="s">
        <v>239</v>
      </c>
      <c r="J21" s="3"/>
    </row>
    <row r="22" spans="1:10" ht="98.25" customHeight="1" x14ac:dyDescent="0.25">
      <c r="A22" s="808"/>
      <c r="B22" s="757"/>
      <c r="C22" s="484" t="s">
        <v>13</v>
      </c>
      <c r="D22" s="374" t="s">
        <v>295</v>
      </c>
      <c r="E22" s="442"/>
      <c r="F22" s="474" t="s">
        <v>304</v>
      </c>
      <c r="G22" s="279"/>
      <c r="H22" s="510" t="s">
        <v>239</v>
      </c>
    </row>
    <row r="23" spans="1:10" ht="69" customHeight="1" thickBot="1" x14ac:dyDescent="0.3">
      <c r="A23" s="809"/>
      <c r="B23" s="757"/>
      <c r="C23" s="485" t="s">
        <v>15</v>
      </c>
      <c r="D23" s="217"/>
      <c r="E23" s="457"/>
      <c r="F23" s="218"/>
      <c r="G23" s="218"/>
      <c r="H23" s="219"/>
    </row>
    <row r="24" spans="1:10" ht="105" customHeight="1" x14ac:dyDescent="0.25">
      <c r="A24" s="804" t="s">
        <v>3</v>
      </c>
      <c r="B24" s="756">
        <f>B19+1</f>
        <v>46310</v>
      </c>
      <c r="C24" s="486" t="s">
        <v>10</v>
      </c>
      <c r="D24" s="651" t="s">
        <v>294</v>
      </c>
      <c r="E24" s="303" t="s">
        <v>248</v>
      </c>
      <c r="F24" s="299" t="s">
        <v>269</v>
      </c>
      <c r="G24" s="299" t="s">
        <v>269</v>
      </c>
      <c r="H24" s="321" t="s">
        <v>284</v>
      </c>
    </row>
    <row r="25" spans="1:10" ht="112.5" customHeight="1" x14ac:dyDescent="0.25">
      <c r="A25" s="805"/>
      <c r="B25" s="757"/>
      <c r="C25" s="487" t="s">
        <v>11</v>
      </c>
      <c r="D25" s="281" t="s">
        <v>269</v>
      </c>
      <c r="E25" s="248" t="s">
        <v>260</v>
      </c>
      <c r="F25" s="248" t="s">
        <v>237</v>
      </c>
      <c r="G25" s="248" t="s">
        <v>238</v>
      </c>
      <c r="H25" s="282" t="s">
        <v>284</v>
      </c>
    </row>
    <row r="26" spans="1:10" ht="126" customHeight="1" x14ac:dyDescent="0.25">
      <c r="A26" s="805"/>
      <c r="B26" s="757"/>
      <c r="C26" s="487" t="s">
        <v>12</v>
      </c>
      <c r="D26" s="374" t="s">
        <v>301</v>
      </c>
      <c r="E26" s="410"/>
      <c r="F26" s="404" t="s">
        <v>305</v>
      </c>
      <c r="G26" s="410" t="s">
        <v>274</v>
      </c>
      <c r="H26" s="403" t="s">
        <v>308</v>
      </c>
    </row>
    <row r="27" spans="1:10" ht="126" customHeight="1" x14ac:dyDescent="0.25">
      <c r="A27" s="805"/>
      <c r="B27" s="757"/>
      <c r="C27" s="487" t="s">
        <v>13</v>
      </c>
      <c r="D27" s="517"/>
      <c r="E27" s="442"/>
      <c r="F27" s="404" t="s">
        <v>306</v>
      </c>
      <c r="G27" s="402" t="s">
        <v>307</v>
      </c>
      <c r="H27" s="473" t="s">
        <v>274</v>
      </c>
    </row>
    <row r="28" spans="1:10" ht="28.5" thickBot="1" x14ac:dyDescent="0.3">
      <c r="A28" s="806"/>
      <c r="B28" s="757"/>
      <c r="C28" s="489" t="s">
        <v>15</v>
      </c>
      <c r="D28" s="217"/>
      <c r="E28" s="468"/>
      <c r="F28" s="457"/>
      <c r="G28" s="457"/>
      <c r="H28" s="459"/>
    </row>
    <row r="29" spans="1:10" ht="105" customHeight="1" x14ac:dyDescent="0.25">
      <c r="A29" s="804" t="s">
        <v>4</v>
      </c>
      <c r="B29" s="756">
        <f>B24+1</f>
        <v>46311</v>
      </c>
      <c r="C29" s="483" t="s">
        <v>10</v>
      </c>
      <c r="D29" s="293" t="s">
        <v>259</v>
      </c>
      <c r="E29" s="294" t="s">
        <v>274</v>
      </c>
      <c r="F29" s="294" t="s">
        <v>255</v>
      </c>
      <c r="G29" s="361" t="s">
        <v>256</v>
      </c>
      <c r="H29" s="295"/>
    </row>
    <row r="30" spans="1:10" ht="122.25" customHeight="1" x14ac:dyDescent="0.25">
      <c r="A30" s="808"/>
      <c r="B30" s="757"/>
      <c r="C30" s="484" t="s">
        <v>11</v>
      </c>
      <c r="D30" s="283" t="s">
        <v>247</v>
      </c>
      <c r="E30" s="474" t="s">
        <v>305</v>
      </c>
      <c r="F30" s="247" t="s">
        <v>255</v>
      </c>
      <c r="G30" s="460" t="s">
        <v>256</v>
      </c>
      <c r="H30" s="284"/>
    </row>
    <row r="31" spans="1:10" ht="105" customHeight="1" x14ac:dyDescent="0.25">
      <c r="A31" s="808"/>
      <c r="B31" s="757"/>
      <c r="C31" s="484" t="s">
        <v>12</v>
      </c>
      <c r="D31" s="281" t="s">
        <v>274</v>
      </c>
      <c r="E31" s="248" t="s">
        <v>236</v>
      </c>
      <c r="F31" s="279" t="s">
        <v>249</v>
      </c>
      <c r="G31" s="248" t="s">
        <v>251</v>
      </c>
      <c r="H31" s="282" t="s">
        <v>262</v>
      </c>
    </row>
    <row r="32" spans="1:10" ht="118.5" customHeight="1" x14ac:dyDescent="0.25">
      <c r="A32" s="808"/>
      <c r="B32" s="757"/>
      <c r="C32" s="484" t="s">
        <v>13</v>
      </c>
      <c r="D32" s="569" t="s">
        <v>309</v>
      </c>
      <c r="E32" s="248" t="s">
        <v>236</v>
      </c>
      <c r="F32" s="248" t="s">
        <v>275</v>
      </c>
      <c r="G32" s="319" t="s">
        <v>262</v>
      </c>
      <c r="H32" s="282" t="s">
        <v>252</v>
      </c>
    </row>
    <row r="33" spans="1:8" ht="28.5" thickBot="1" x14ac:dyDescent="0.3">
      <c r="A33" s="809"/>
      <c r="B33" s="757"/>
      <c r="C33" s="485" t="s">
        <v>15</v>
      </c>
      <c r="D33" s="285"/>
      <c r="E33" s="286"/>
      <c r="F33" s="286"/>
      <c r="G33" s="286"/>
      <c r="H33" s="287"/>
    </row>
    <row r="34" spans="1:8" ht="30.75" customHeight="1" x14ac:dyDescent="0.25">
      <c r="A34" s="722" t="s">
        <v>47</v>
      </c>
      <c r="B34" s="724">
        <f>B29+1</f>
        <v>46312</v>
      </c>
      <c r="C34" s="477" t="s">
        <v>10</v>
      </c>
      <c r="D34" s="421"/>
      <c r="E34" s="422"/>
      <c r="F34" s="422"/>
      <c r="G34" s="422"/>
      <c r="H34" s="423"/>
    </row>
    <row r="35" spans="1:8" ht="30.75" customHeight="1" x14ac:dyDescent="0.25">
      <c r="A35" s="722"/>
      <c r="B35" s="722"/>
      <c r="C35" s="502" t="s">
        <v>11</v>
      </c>
      <c r="D35" s="262"/>
      <c r="E35" s="141"/>
      <c r="F35" s="141"/>
      <c r="G35" s="142"/>
      <c r="H35" s="263"/>
    </row>
    <row r="36" spans="1:8" ht="30.75" customHeight="1" x14ac:dyDescent="0.25">
      <c r="A36" s="722"/>
      <c r="B36" s="722"/>
      <c r="C36" s="502" t="s">
        <v>12</v>
      </c>
      <c r="D36" s="262"/>
      <c r="E36" s="141"/>
      <c r="F36" s="390"/>
      <c r="G36" s="141"/>
      <c r="H36" s="391"/>
    </row>
    <row r="37" spans="1:8" ht="30.75" customHeight="1" x14ac:dyDescent="0.25">
      <c r="A37" s="722"/>
      <c r="B37" s="722"/>
      <c r="C37" s="502" t="s">
        <v>13</v>
      </c>
      <c r="D37" s="147"/>
      <c r="E37" s="142"/>
      <c r="F37" s="142"/>
      <c r="G37" s="141"/>
      <c r="H37" s="148"/>
    </row>
    <row r="38" spans="1:8" ht="30.75" customHeight="1" thickBot="1" x14ac:dyDescent="0.3">
      <c r="A38" s="723"/>
      <c r="B38" s="723"/>
      <c r="C38" s="479" t="s">
        <v>15</v>
      </c>
      <c r="D38" s="149"/>
      <c r="E38" s="100"/>
      <c r="F38" s="100"/>
      <c r="G38" s="100"/>
      <c r="H38" s="113"/>
    </row>
    <row r="39" spans="1:8" ht="32.25" customHeight="1" x14ac:dyDescent="0.45">
      <c r="A39" s="2"/>
      <c r="B39" s="2"/>
      <c r="C39" s="2"/>
      <c r="D39" s="177" t="s">
        <v>82</v>
      </c>
      <c r="E39" s="2"/>
      <c r="F39" s="2"/>
      <c r="G39" s="2"/>
      <c r="H39" s="2"/>
    </row>
    <row r="40" spans="1:8" s="19" customFormat="1" ht="23.25" x14ac:dyDescent="0.35">
      <c r="A40" s="18"/>
      <c r="B40" s="18"/>
      <c r="C40" s="70" t="str">
        <f>'01.09'!C39</f>
        <v>*Л. Физиология человека*</v>
      </c>
      <c r="D40" s="71">
        <f>'05.10'!D40+COUNTIF(D$8:D$38,$C40)</f>
        <v>8</v>
      </c>
      <c r="E40" s="71">
        <f>'05.10'!E40+COUNTIF(E$8:E$38,$C40)</f>
        <v>8</v>
      </c>
      <c r="F40" s="71">
        <f>'05.10'!F40+COUNTIF(F$8:F$38,$C40)</f>
        <v>8</v>
      </c>
      <c r="G40" s="71">
        <f>'05.10'!G40+COUNTIF(G$8:G$38,$C40)</f>
        <v>8</v>
      </c>
      <c r="H40" s="71">
        <f>'05.10'!H40+COUNTIF(H$8:H$38,$C40)</f>
        <v>8</v>
      </c>
    </row>
    <row r="41" spans="1:8" s="19" customFormat="1" ht="23.25" x14ac:dyDescent="0.35">
      <c r="A41" s="18"/>
      <c r="B41" s="18"/>
      <c r="C41" s="70" t="str">
        <f>'01.09'!C40</f>
        <v>*Пр. Физиология человека*</v>
      </c>
      <c r="D41" s="71">
        <f>'05.10'!D41+COUNTIF(D$8:D$38,$C41)</f>
        <v>12</v>
      </c>
      <c r="E41" s="71">
        <f>'05.10'!E41+COUNTIF(E$8:E$38,$C41)</f>
        <v>12</v>
      </c>
      <c r="F41" s="71">
        <f>'05.10'!F41+COUNTIF(F$8:F$38,$C41)</f>
        <v>12</v>
      </c>
      <c r="G41" s="71">
        <f>'05.10'!G41+COUNTIF(G$8:G$38,$C41)</f>
        <v>12</v>
      </c>
      <c r="H41" s="71">
        <f>'05.10'!H41+COUNTIF(H$8:H$38,$C41)</f>
        <v>12</v>
      </c>
    </row>
    <row r="42" spans="1:8" s="19" customFormat="1" ht="23.25" x14ac:dyDescent="0.35">
      <c r="A42" s="18"/>
      <c r="B42" s="18"/>
      <c r="C42" s="70" t="str">
        <f>'01.09'!C41</f>
        <v>*Л. Элективные дисциплины по ФКиС: Фехтование*</v>
      </c>
      <c r="D42" s="71">
        <f>'05.10'!D42+COUNTIF(D$8:D$38,$C42)</f>
        <v>1</v>
      </c>
      <c r="E42" s="71">
        <f>'05.10'!E42+COUNTIF(E$8:E$38,$C42)</f>
        <v>1</v>
      </c>
      <c r="F42" s="71">
        <f>'05.10'!F42+COUNTIF(F$8:F$38,$C42)</f>
        <v>1</v>
      </c>
      <c r="G42" s="71">
        <f>'05.10'!G42+COUNTIF(G$8:G$38,$C42)</f>
        <v>1</v>
      </c>
      <c r="H42" s="71">
        <f>'05.10'!H42+COUNTIF(H$8:H$38,$C42)</f>
        <v>1</v>
      </c>
    </row>
    <row r="43" spans="1:8" s="19" customFormat="1" ht="23.25" x14ac:dyDescent="0.35">
      <c r="A43" s="18"/>
      <c r="B43" s="18"/>
      <c r="C43" s="70" t="str">
        <f>'01.09'!C42</f>
        <v>*Пр. Элективные дисциплины по ФКиС: Фехтование*</v>
      </c>
      <c r="D43" s="71">
        <f>'05.10'!D43+COUNTIF(D$8:D$38,$C43)</f>
        <v>2</v>
      </c>
      <c r="E43" s="71">
        <f>'05.10'!E43+COUNTIF(E$8:E$38,$C43)</f>
        <v>2</v>
      </c>
      <c r="F43" s="71">
        <f>'05.10'!F43+COUNTIF(F$8:F$38,$C43)</f>
        <v>2</v>
      </c>
      <c r="G43" s="71">
        <f>'05.10'!G43+COUNTIF(G$8:G$38,$C43)</f>
        <v>2</v>
      </c>
      <c r="H43" s="71">
        <f>'05.10'!H43+COUNTIF(H$8:H$38,$C43)</f>
        <v>2</v>
      </c>
    </row>
    <row r="44" spans="1:8" s="19" customFormat="1" ht="23.25" x14ac:dyDescent="0.35">
      <c r="A44" s="18"/>
      <c r="B44" s="18"/>
      <c r="C44" s="70" t="str">
        <f>'01.09'!C43</f>
        <v>*Л. Педагогика физической культуры и спорта*</v>
      </c>
      <c r="D44" s="71">
        <f>'05.10'!D44+COUNTIF(D$8:D$38,$C44)</f>
        <v>5</v>
      </c>
      <c r="E44" s="71">
        <f>'05.10'!E44+COUNTIF(E$8:E$38,$C44)</f>
        <v>5</v>
      </c>
      <c r="F44" s="71">
        <f>'05.10'!F44+COUNTIF(F$8:F$38,$C44)</f>
        <v>5</v>
      </c>
      <c r="G44" s="71">
        <f>'05.10'!G44+COUNTIF(G$8:G$38,$C44)</f>
        <v>5</v>
      </c>
      <c r="H44" s="71">
        <f>'05.10'!H44+COUNTIF(H$8:H$38,$C44)</f>
        <v>5</v>
      </c>
    </row>
    <row r="45" spans="1:8" s="19" customFormat="1" ht="23.25" x14ac:dyDescent="0.35">
      <c r="A45" s="18"/>
      <c r="B45" s="18"/>
      <c r="C45" s="70" t="str">
        <f>'01.09'!C44</f>
        <v>*Пр. Педагогика физической культуры и спорта*</v>
      </c>
      <c r="D45" s="71">
        <f>'05.10'!D45+COUNTIF(D$8:D$38,$C45)</f>
        <v>2</v>
      </c>
      <c r="E45" s="71">
        <f>'05.10'!E45+COUNTIF(E$8:E$38,$C45)</f>
        <v>2</v>
      </c>
      <c r="F45" s="71">
        <f>'05.10'!F45+COUNTIF(F$8:F$38,$C45)</f>
        <v>2</v>
      </c>
      <c r="G45" s="71">
        <f>'05.10'!G45+COUNTIF(G$8:G$38,$C45)</f>
        <v>2</v>
      </c>
      <c r="H45" s="71">
        <f>'05.10'!H45+COUNTIF(H$8:H$38,$C45)</f>
        <v>1</v>
      </c>
    </row>
    <row r="46" spans="1:8" s="19" customFormat="1" ht="23.25" x14ac:dyDescent="0.35">
      <c r="A46" s="18"/>
      <c r="B46" s="18"/>
      <c r="C46" s="70" t="str">
        <f>'01.09'!C45</f>
        <v>*Л. Теория и методика*</v>
      </c>
      <c r="D46" s="71">
        <f>'05.10'!D46+COUNTIF(D$8:D$38,$C46)</f>
        <v>3</v>
      </c>
      <c r="E46" s="71">
        <f>'05.10'!E46+COUNTIF(E$8:E$38,$C46)</f>
        <v>3</v>
      </c>
      <c r="F46" s="71">
        <f>'05.10'!F46+COUNTIF(F$8:F$38,$C46)</f>
        <v>3</v>
      </c>
      <c r="G46" s="71">
        <f>'05.10'!G46+COUNTIF(G$8:G$38,$C46)</f>
        <v>3</v>
      </c>
      <c r="H46" s="71">
        <f>'05.10'!H46+COUNTIF(H$8:H$38,$C46)</f>
        <v>3</v>
      </c>
    </row>
    <row r="47" spans="1:8" s="19" customFormat="1" ht="23.25" x14ac:dyDescent="0.35">
      <c r="A47" s="18"/>
      <c r="B47" s="18"/>
      <c r="C47" s="70" t="str">
        <f>'01.09'!C46</f>
        <v>*Пр. Теория и методика*</v>
      </c>
      <c r="D47" s="71">
        <f>'05.10'!D47+COUNTIF(D$8:D$38,$C47)</f>
        <v>16</v>
      </c>
      <c r="E47" s="71">
        <f>'05.10'!E47+COUNTIF(E$8:E$38,$C47)</f>
        <v>16</v>
      </c>
      <c r="F47" s="71">
        <f>'05.10'!F47+COUNTIF(F$8:F$38,$C47)</f>
        <v>16</v>
      </c>
      <c r="G47" s="71">
        <f>'05.10'!G47+COUNTIF(G$8:G$38,$C47)</f>
        <v>16</v>
      </c>
      <c r="H47" s="71">
        <f>'05.10'!H47+COUNTIF(H$8:H$38,$C47)</f>
        <v>16</v>
      </c>
    </row>
    <row r="48" spans="1:8" s="19" customFormat="1" ht="23.25" x14ac:dyDescent="0.35">
      <c r="A48" s="18"/>
      <c r="B48" s="18"/>
      <c r="C48" s="70" t="str">
        <f>'01.09'!C47</f>
        <v>*Л.  Теория и методика физической культуры*</v>
      </c>
      <c r="D48" s="71">
        <f>'05.10'!D48+COUNTIF(D$8:D$38,$C48)</f>
        <v>6</v>
      </c>
      <c r="E48" s="71">
        <f>'05.10'!E48+COUNTIF(E$8:E$38,$C48)</f>
        <v>6</v>
      </c>
      <c r="F48" s="71">
        <f>'05.10'!F48+COUNTIF(F$8:F$38,$C48)</f>
        <v>6</v>
      </c>
      <c r="G48" s="71">
        <f>'05.10'!G48+COUNTIF(G$8:G$38,$C48)</f>
        <v>6</v>
      </c>
      <c r="H48" s="71">
        <f>'05.10'!H48+COUNTIF(H$8:H$38,$C48)</f>
        <v>6</v>
      </c>
    </row>
    <row r="49" spans="1:8" s="19" customFormat="1" ht="23.25" x14ac:dyDescent="0.35">
      <c r="A49" s="18"/>
      <c r="B49" s="18"/>
      <c r="C49" s="70" t="str">
        <f>'01.09'!C48</f>
        <v>*Пр.  Теория и методика физической культуры*</v>
      </c>
      <c r="D49" s="71">
        <f>'05.10'!D49+COUNTIF(D$8:D$38,$C49)</f>
        <v>2</v>
      </c>
      <c r="E49" s="71">
        <f>'05.10'!E49+COUNTIF(E$8:E$38,$C49)</f>
        <v>2</v>
      </c>
      <c r="F49" s="71">
        <f>'05.10'!F49+COUNTIF(F$8:F$38,$C49)</f>
        <v>2</v>
      </c>
      <c r="G49" s="71">
        <f>'05.10'!G49+COUNTIF(G$8:G$38,$C49)</f>
        <v>2</v>
      </c>
      <c r="H49" s="71">
        <f>'05.10'!H49+COUNTIF(H$8:H$38,$C49)</f>
        <v>2</v>
      </c>
    </row>
    <row r="50" spans="1:8" s="19" customFormat="1" ht="23.25" x14ac:dyDescent="0.35">
      <c r="A50" s="18"/>
      <c r="B50" s="18"/>
      <c r="C50" s="70" t="str">
        <f>'01.09'!C49</f>
        <v>*Л. Плавание*</v>
      </c>
      <c r="D50" s="71">
        <f>'05.10'!D50+COUNTIF(D$8:D$38,$C50)</f>
        <v>2</v>
      </c>
      <c r="E50" s="71">
        <f>'05.10'!E50+COUNTIF(E$8:E$38,$C50)</f>
        <v>2</v>
      </c>
      <c r="F50" s="71">
        <f>'05.10'!F50+COUNTIF(F$8:F$38,$C50)</f>
        <v>2</v>
      </c>
      <c r="G50" s="71">
        <f>'05.10'!G50+COUNTIF(G$8:G$38,$C50)</f>
        <v>2</v>
      </c>
      <c r="H50" s="71">
        <f>'05.10'!H50+COUNTIF(H$8:H$38,$C50)</f>
        <v>2</v>
      </c>
    </row>
    <row r="51" spans="1:8" s="19" customFormat="1" ht="23.25" x14ac:dyDescent="0.35">
      <c r="A51" s="18"/>
      <c r="B51" s="18"/>
      <c r="C51" s="70" t="str">
        <f>'01.09'!C50</f>
        <v>*Пр. Плавание*</v>
      </c>
      <c r="D51" s="71">
        <f>'05.10'!D51+COUNTIF(D$8:D$38,$C51)</f>
        <v>12</v>
      </c>
      <c r="E51" s="71">
        <f>'05.10'!E51+COUNTIF(E$8:E$38,$C51)</f>
        <v>12</v>
      </c>
      <c r="F51" s="71">
        <f>'05.10'!F51+COUNTIF(F$8:F$38,$C51)</f>
        <v>12</v>
      </c>
      <c r="G51" s="71">
        <f>'05.10'!G51+COUNTIF(G$8:G$38,$C51)</f>
        <v>12</v>
      </c>
      <c r="H51" s="71">
        <f>'05.10'!H51+COUNTIF(H$8:H$38,$C51)</f>
        <v>12</v>
      </c>
    </row>
    <row r="52" spans="1:8" s="19" customFormat="1" ht="23.25" x14ac:dyDescent="0.35">
      <c r="A52" s="18"/>
      <c r="B52" s="18"/>
      <c r="C52" s="70" t="str">
        <f>'01.09'!C51</f>
        <v>*Л. Подвижные игры в спорте и образовании*</v>
      </c>
      <c r="D52" s="71">
        <f>'05.10'!D52+COUNTIF(D$8:D$38,$C52)</f>
        <v>1</v>
      </c>
      <c r="E52" s="71">
        <f>'05.10'!E52+COUNTIF(E$8:E$38,$C52)</f>
        <v>1</v>
      </c>
      <c r="F52" s="71">
        <f>'05.10'!F52+COUNTIF(F$8:F$38,$C52)</f>
        <v>1</v>
      </c>
      <c r="G52" s="71">
        <f>'05.10'!G52+COUNTIF(G$8:G$38,$C52)</f>
        <v>1</v>
      </c>
      <c r="H52" s="71">
        <f>'05.10'!H52+COUNTIF(H$8:H$38,$C52)</f>
        <v>1</v>
      </c>
    </row>
    <row r="53" spans="1:8" s="19" customFormat="1" ht="23.25" x14ac:dyDescent="0.35">
      <c r="A53" s="18"/>
      <c r="B53" s="18"/>
      <c r="C53" s="70" t="str">
        <f>'01.09'!C52</f>
        <v>*Пр. Подвижные игры в спорте и образовании*</v>
      </c>
      <c r="D53" s="71">
        <f>'05.10'!D53+COUNTIF(D$8:D$38,$C53)</f>
        <v>6</v>
      </c>
      <c r="E53" s="71">
        <f>'05.10'!E53+COUNTIF(E$8:E$38,$C53)</f>
        <v>6</v>
      </c>
      <c r="F53" s="71">
        <f>'05.10'!F53+COUNTIF(F$8:F$38,$C53)</f>
        <v>6</v>
      </c>
      <c r="G53" s="71">
        <f>'05.10'!G53+COUNTIF(G$8:G$38,$C53)</f>
        <v>6</v>
      </c>
      <c r="H53" s="71">
        <f>'05.10'!H53+COUNTIF(H$8:H$38,$C53)</f>
        <v>6</v>
      </c>
    </row>
    <row r="54" spans="1:8" s="19" customFormat="1" ht="23.25" x14ac:dyDescent="0.35">
      <c r="A54" s="18"/>
      <c r="B54" s="18"/>
      <c r="C54" s="70" t="str">
        <f>'01.09'!C53</f>
        <v>*Л. Самооборона (самбо)*</v>
      </c>
      <c r="D54" s="71">
        <f>'05.10'!D54+COUNTIF(D$8:D$38,$C54)</f>
        <v>1</v>
      </c>
      <c r="E54" s="71">
        <f>'05.10'!E54+COUNTIF(E$8:E$38,$C54)</f>
        <v>1</v>
      </c>
      <c r="F54" s="71">
        <f>'05.10'!F54+COUNTIF(F$8:F$38,$C54)</f>
        <v>1</v>
      </c>
      <c r="G54" s="71">
        <f>'05.10'!G54+COUNTIF(G$8:G$38,$C54)</f>
        <v>1</v>
      </c>
      <c r="H54" s="71">
        <f>'05.10'!H54+COUNTIF(H$8:H$38,$C54)</f>
        <v>1</v>
      </c>
    </row>
    <row r="55" spans="1:8" s="19" customFormat="1" ht="23.25" x14ac:dyDescent="0.35">
      <c r="A55" s="18"/>
      <c r="B55" s="18"/>
      <c r="C55" s="70" t="str">
        <f>'01.09'!C54</f>
        <v>*Пр. Самооборона (самбо)*</v>
      </c>
      <c r="D55" s="71">
        <f>'05.10'!D55+COUNTIF(D$8:D$38,$C55)</f>
        <v>6</v>
      </c>
      <c r="E55" s="71">
        <f>'05.10'!E55+COUNTIF(E$8:E$38,$C55)</f>
        <v>6</v>
      </c>
      <c r="F55" s="71">
        <f>'05.10'!F55+COUNTIF(F$8:F$38,$C55)</f>
        <v>6</v>
      </c>
      <c r="G55" s="71">
        <f>'05.10'!G55+COUNTIF(G$8:G$38,$C55)</f>
        <v>6</v>
      </c>
      <c r="H55" s="71">
        <f>'05.10'!H55+COUNTIF(H$8:H$38,$C55)</f>
        <v>6</v>
      </c>
    </row>
    <row r="56" spans="1:8" s="19" customFormat="1" ht="23.25" x14ac:dyDescent="0.35">
      <c r="A56" s="18"/>
      <c r="B56" s="18"/>
      <c r="C56" s="70" t="str">
        <f>'01.09'!C55</f>
        <v>*Л. Методика реализации программ*</v>
      </c>
      <c r="D56" s="71">
        <f>'05.10'!D56+COUNTIF(D$8:D$38,$C56)</f>
        <v>3</v>
      </c>
      <c r="E56" s="71">
        <f>'05.10'!E56+COUNTIF(E$8:E$38,$C56)</f>
        <v>3</v>
      </c>
      <c r="F56" s="71">
        <f>'05.10'!F56+COUNTIF(F$8:F$38,$C56)</f>
        <v>3</v>
      </c>
      <c r="G56" s="71">
        <f>'05.10'!G56+COUNTIF(G$8:G$38,$C56)</f>
        <v>3</v>
      </c>
      <c r="H56" s="71">
        <f>'05.10'!H56+COUNTIF(H$8:H$38,$C56)</f>
        <v>3</v>
      </c>
    </row>
    <row r="57" spans="1:8" s="19" customFormat="1" ht="23.25" x14ac:dyDescent="0.35">
      <c r="A57" s="18"/>
      <c r="B57" s="18"/>
      <c r="C57" s="70" t="str">
        <f>'01.09'!C56</f>
        <v>*Пр. Методика реализации программ*</v>
      </c>
      <c r="D57" s="71">
        <f>'05.10'!D57+COUNTIF(D$8:D$38,$C57)</f>
        <v>2</v>
      </c>
      <c r="E57" s="71">
        <f>'05.10'!E57+COUNTIF(E$8:E$38,$C57)</f>
        <v>2</v>
      </c>
      <c r="F57" s="71">
        <f>'05.10'!F57+COUNTIF(F$8:F$38,$C57)</f>
        <v>2</v>
      </c>
      <c r="G57" s="71">
        <f>'05.10'!G57+COUNTIF(G$8:G$38,$C57)</f>
        <v>2</v>
      </c>
      <c r="H57" s="71">
        <f>'05.10'!H57+COUNTIF(H$8:H$38,$C57)</f>
        <v>2</v>
      </c>
    </row>
    <row r="58" spans="1:8" s="19" customFormat="1" ht="23.25" x14ac:dyDescent="0.35">
      <c r="A58" s="18"/>
      <c r="B58" s="18"/>
      <c r="C58" s="70" t="str">
        <f>'01.09'!C57</f>
        <v>*Л. Методика преподавания*</v>
      </c>
      <c r="D58" s="71">
        <f>'05.10'!D58+COUNTIF(D$8:D$38,$C58)</f>
        <v>3</v>
      </c>
      <c r="E58" s="71">
        <f>'05.10'!E58+COUNTIF(E$8:E$38,$C58)</f>
        <v>3</v>
      </c>
      <c r="F58" s="71">
        <f>'05.10'!F58+COUNTIF(F$8:F$38,$C58)</f>
        <v>3</v>
      </c>
      <c r="G58" s="71">
        <f>'05.10'!G58+COUNTIF(G$8:G$38,$C58)</f>
        <v>3</v>
      </c>
      <c r="H58" s="71">
        <f>'05.10'!H58+COUNTIF(H$8:H$38,$C58)</f>
        <v>3</v>
      </c>
    </row>
    <row r="59" spans="1:8" s="19" customFormat="1" ht="23.25" x14ac:dyDescent="0.35">
      <c r="A59" s="18"/>
      <c r="B59" s="18"/>
      <c r="C59" s="70" t="str">
        <f>'01.09'!C58</f>
        <v>*Пр. Методика преподавания*</v>
      </c>
      <c r="D59" s="71">
        <f>'05.10'!D59+COUNTIF(D$8:D$38,$C59)</f>
        <v>2</v>
      </c>
      <c r="E59" s="71">
        <f>'05.10'!E59+COUNTIF(E$8:E$38,$C59)</f>
        <v>2</v>
      </c>
      <c r="F59" s="71">
        <f>'05.10'!F59+COUNTIF(F$8:F$38,$C59)</f>
        <v>2</v>
      </c>
      <c r="G59" s="71">
        <f>'05.10'!G59+COUNTIF(G$8:G$38,$C59)</f>
        <v>2</v>
      </c>
      <c r="H59" s="71">
        <f>'05.10'!H59+COUNTIF(H$8:H$38,$C59)</f>
        <v>2</v>
      </c>
    </row>
    <row r="60" spans="1:8" s="19" customFormat="1" ht="23.25" x14ac:dyDescent="0.35">
      <c r="A60" s="18"/>
      <c r="B60" s="18"/>
      <c r="C60" s="70">
        <f>'01.09'!C59</f>
        <v>0</v>
      </c>
      <c r="D60" s="71">
        <f>'05.10'!D60+COUNTIF(D$8:D$38,$C60)</f>
        <v>0</v>
      </c>
      <c r="E60" s="71">
        <f>'05.10'!E60+COUNTIF(E$8:E$38,$C60)</f>
        <v>0</v>
      </c>
      <c r="F60" s="71">
        <f>'05.10'!F60+COUNTIF(F$8:F$38,$C60)</f>
        <v>0</v>
      </c>
      <c r="G60" s="71">
        <f>'05.10'!G60+COUNTIF(G$8:G$38,$C60)</f>
        <v>0</v>
      </c>
      <c r="H60" s="71">
        <f>'05.10'!H60+COUNTIF(H$8:H$38,$C60)</f>
        <v>0</v>
      </c>
    </row>
    <row r="61" spans="1:8" s="19" customFormat="1" ht="23.25" x14ac:dyDescent="0.35">
      <c r="A61" s="18"/>
      <c r="B61" s="18"/>
      <c r="C61" s="70">
        <f>'01.09'!C60</f>
        <v>0</v>
      </c>
      <c r="D61" s="71">
        <f>'05.10'!D61+COUNTIF(D$8:D$38,$C61)</f>
        <v>0</v>
      </c>
      <c r="E61" s="71">
        <f>'05.10'!E61+COUNTIF(E$8:E$38,$C61)</f>
        <v>0</v>
      </c>
      <c r="F61" s="71">
        <f>'05.10'!F61+COUNTIF(F$8:F$38,$C61)</f>
        <v>0</v>
      </c>
      <c r="G61" s="71">
        <f>'05.10'!G61+COUNTIF(G$8:G$38,$C61)</f>
        <v>0</v>
      </c>
      <c r="H61" s="71">
        <f>'05.10'!H61+COUNTIF(H$8:H$38,$C61)</f>
        <v>0</v>
      </c>
    </row>
    <row r="62" spans="1:8" ht="23.25" x14ac:dyDescent="0.35">
      <c r="A62" s="2"/>
      <c r="B62" s="2"/>
      <c r="C62" s="70">
        <f>'01.09'!C61</f>
        <v>0</v>
      </c>
      <c r="D62" s="71">
        <f>'05.10'!D62+COUNTIF(D$8:D$38,$C62)</f>
        <v>0</v>
      </c>
      <c r="E62" s="71">
        <f>'05.10'!E62+COUNTIF(E$8:E$38,$C62)</f>
        <v>0</v>
      </c>
      <c r="F62" s="71">
        <f>'05.10'!F62+COUNTIF(F$8:F$38,$C62)</f>
        <v>0</v>
      </c>
      <c r="G62" s="71">
        <f>'05.10'!G62+COUNTIF(G$8:G$38,$C62)</f>
        <v>0</v>
      </c>
      <c r="H62" s="71">
        <f>'05.10'!H62+COUNTIF(H$8:H$38,$C62)</f>
        <v>0</v>
      </c>
    </row>
    <row r="63" spans="1:8" ht="23.25" x14ac:dyDescent="0.35">
      <c r="A63" s="2"/>
      <c r="B63" s="2"/>
      <c r="C63" s="70">
        <f>'01.09'!C62</f>
        <v>0</v>
      </c>
      <c r="D63" s="71">
        <f>'05.10'!D63+COUNTIF(D$8:D$38,$C63)</f>
        <v>0</v>
      </c>
      <c r="E63" s="71">
        <f>'05.10'!E63+COUNTIF(E$8:E$38,$C63)</f>
        <v>0</v>
      </c>
      <c r="F63" s="71">
        <f>'05.10'!F63+COUNTIF(F$8:F$38,$C63)</f>
        <v>0</v>
      </c>
      <c r="G63" s="71">
        <f>'05.10'!G63+COUNTIF(G$8:G$38,$C63)</f>
        <v>0</v>
      </c>
      <c r="H63" s="71">
        <f>'05.10'!H63+COUNTIF(H$8:H$38,$C63)</f>
        <v>0</v>
      </c>
    </row>
    <row r="64" spans="1:8" ht="23.25" x14ac:dyDescent="0.35">
      <c r="A64" s="2"/>
      <c r="B64" s="2"/>
      <c r="C64" s="70">
        <f>'01.09'!C63</f>
        <v>0</v>
      </c>
      <c r="D64" s="71">
        <f>'05.10'!D64+COUNTIF(D$8:D$38,$C64)</f>
        <v>0</v>
      </c>
      <c r="E64" s="71">
        <f>'05.10'!E64+COUNTIF(E$8:E$38,$C64)</f>
        <v>0</v>
      </c>
      <c r="F64" s="71">
        <f>'05.10'!F64+COUNTIF(F$8:F$38,$C64)</f>
        <v>0</v>
      </c>
      <c r="G64" s="71">
        <f>'05.10'!G64+COUNTIF(G$8:G$38,$C64)</f>
        <v>0</v>
      </c>
      <c r="H64" s="71">
        <f>'05.10'!H64+COUNTIF(H$8:H$38,$C64)</f>
        <v>0</v>
      </c>
    </row>
    <row r="65" spans="1:8" ht="23.25" x14ac:dyDescent="0.35">
      <c r="A65" s="2"/>
      <c r="B65" s="2"/>
      <c r="C65" s="70">
        <f>'01.09'!C64</f>
        <v>0</v>
      </c>
      <c r="D65" s="71">
        <f>'05.10'!D65+COUNTIF(D$8:D$38,$C65)</f>
        <v>0</v>
      </c>
      <c r="E65" s="71">
        <f>'05.10'!E65+COUNTIF(E$8:E$38,$C65)</f>
        <v>0</v>
      </c>
      <c r="F65" s="71">
        <f>'05.10'!F65+COUNTIF(F$8:F$38,$C65)</f>
        <v>0</v>
      </c>
      <c r="G65" s="71">
        <f>'05.10'!G65+COUNTIF(G$8:G$38,$C65)</f>
        <v>0</v>
      </c>
      <c r="H65" s="71">
        <f>'05.10'!H65+COUNTIF(H$8:H$38,$C65)</f>
        <v>0</v>
      </c>
    </row>
    <row r="66" spans="1:8" ht="23.25" x14ac:dyDescent="0.35">
      <c r="A66" s="2"/>
      <c r="B66" s="2"/>
      <c r="C66" s="70">
        <f>'01.09'!C65</f>
        <v>0</v>
      </c>
      <c r="D66" s="71">
        <f>'05.10'!D66+COUNTIF(D$8:D$38,$C66)</f>
        <v>0</v>
      </c>
      <c r="E66" s="71">
        <f>'05.10'!E66+COUNTIF(E$8:E$38,$C66)</f>
        <v>0</v>
      </c>
      <c r="F66" s="71">
        <f>'05.10'!F66+COUNTIF(F$8:F$38,$C66)</f>
        <v>0</v>
      </c>
      <c r="G66" s="71">
        <f>'05.10'!G66+COUNTIF(G$8:G$38,$C66)</f>
        <v>0</v>
      </c>
      <c r="H66" s="71">
        <f>'05.10'!H66+COUNTIF(H$8:H$38,$C66)</f>
        <v>0</v>
      </c>
    </row>
    <row r="67" spans="1:8" ht="23.25" x14ac:dyDescent="0.35">
      <c r="A67" s="2"/>
      <c r="B67" s="2"/>
      <c r="C67" s="70">
        <f>'01.09'!C66</f>
        <v>0</v>
      </c>
      <c r="D67" s="71">
        <f>'05.10'!D67+COUNTIF(D$8:D$38,$C67)</f>
        <v>0</v>
      </c>
      <c r="E67" s="71">
        <f>'05.10'!E67+COUNTIF(E$8:E$38,$C67)</f>
        <v>0</v>
      </c>
      <c r="F67" s="71">
        <f>'05.10'!F67+COUNTIF(F$8:F$38,$C67)</f>
        <v>0</v>
      </c>
      <c r="G67" s="71">
        <f>'05.10'!G67+COUNTIF(G$8:G$38,$C67)</f>
        <v>0</v>
      </c>
      <c r="H67" s="71">
        <f>'05.10'!H67+COUNTIF(H$8:H$38,$C67)</f>
        <v>0</v>
      </c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B1:H1"/>
    <mergeCell ref="B2:H2"/>
    <mergeCell ref="B3:H3"/>
    <mergeCell ref="B4:H4"/>
    <mergeCell ref="A6:A7"/>
    <mergeCell ref="B6:B7"/>
    <mergeCell ref="C6:C7"/>
    <mergeCell ref="A5:H5"/>
    <mergeCell ref="B8:B12"/>
    <mergeCell ref="B13:B16"/>
    <mergeCell ref="A8:A12"/>
    <mergeCell ref="A13:A16"/>
    <mergeCell ref="A34:A38"/>
    <mergeCell ref="B34:B38"/>
    <mergeCell ref="A24:A28"/>
    <mergeCell ref="A29:A33"/>
    <mergeCell ref="B19:B23"/>
    <mergeCell ref="B24:B28"/>
    <mergeCell ref="B29:B33"/>
    <mergeCell ref="A19:A23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J72"/>
  <sheetViews>
    <sheetView view="pageBreakPreview" topLeftCell="A13" zoomScale="40" zoomScaleNormal="40" zoomScaleSheetLayoutView="40" zoomScalePageLayoutView="40" workbookViewId="0">
      <selection activeCell="H19" sqref="H19"/>
    </sheetView>
  </sheetViews>
  <sheetFormatPr defaultRowHeight="15" x14ac:dyDescent="0.25"/>
  <cols>
    <col min="1" max="2" width="4.42578125" customWidth="1"/>
    <col min="3" max="3" width="22.28515625" customWidth="1"/>
    <col min="4" max="8" width="64.28515625" customWidth="1"/>
  </cols>
  <sheetData>
    <row r="1" spans="1:8" ht="30" x14ac:dyDescent="0.3">
      <c r="A1" s="178"/>
      <c r="B1" s="760" t="s">
        <v>140</v>
      </c>
      <c r="C1" s="760"/>
      <c r="D1" s="760"/>
      <c r="E1" s="760"/>
      <c r="F1" s="760"/>
      <c r="G1" s="760"/>
      <c r="H1" s="760"/>
    </row>
    <row r="2" spans="1:8" ht="30" x14ac:dyDescent="0.3">
      <c r="A2" s="179"/>
      <c r="B2" s="760" t="s">
        <v>87</v>
      </c>
      <c r="C2" s="760"/>
      <c r="D2" s="760"/>
      <c r="E2" s="760"/>
      <c r="F2" s="760"/>
      <c r="G2" s="760"/>
      <c r="H2" s="760"/>
    </row>
    <row r="3" spans="1:8" ht="36" customHeight="1" x14ac:dyDescent="0.25">
      <c r="A3" s="229"/>
      <c r="B3" s="787" t="s">
        <v>81</v>
      </c>
      <c r="C3" s="787"/>
      <c r="D3" s="787"/>
      <c r="E3" s="787"/>
      <c r="F3" s="787"/>
      <c r="G3" s="787"/>
      <c r="H3" s="787"/>
    </row>
    <row r="4" spans="1:8" ht="30" x14ac:dyDescent="0.25">
      <c r="A4" s="180"/>
      <c r="B4" s="760" t="s">
        <v>142</v>
      </c>
      <c r="C4" s="760"/>
      <c r="D4" s="760"/>
      <c r="E4" s="760"/>
      <c r="F4" s="760"/>
      <c r="G4" s="760"/>
      <c r="H4" s="760"/>
    </row>
    <row r="5" spans="1:8" ht="30.75" thickBot="1" x14ac:dyDescent="0.3">
      <c r="A5" s="682" t="s">
        <v>112</v>
      </c>
      <c r="B5" s="682"/>
      <c r="C5" s="682"/>
      <c r="D5" s="682"/>
      <c r="E5" s="682"/>
      <c r="F5" s="682"/>
      <c r="G5" s="682"/>
      <c r="H5" s="682"/>
    </row>
    <row r="6" spans="1:8" ht="27.75" customHeight="1" thickBot="1" x14ac:dyDescent="0.3">
      <c r="A6" s="770" t="s">
        <v>54</v>
      </c>
      <c r="B6" s="770" t="s">
        <v>14</v>
      </c>
      <c r="C6" s="793" t="s">
        <v>55</v>
      </c>
      <c r="D6" s="241" t="s">
        <v>5</v>
      </c>
      <c r="E6" s="242" t="s">
        <v>6</v>
      </c>
      <c r="F6" s="242" t="s">
        <v>7</v>
      </c>
      <c r="G6" s="242" t="s">
        <v>8</v>
      </c>
      <c r="H6" s="243" t="s">
        <v>9</v>
      </c>
    </row>
    <row r="7" spans="1:8" ht="84" customHeight="1" thickBot="1" x14ac:dyDescent="0.3">
      <c r="A7" s="771"/>
      <c r="B7" s="771"/>
      <c r="C7" s="794"/>
      <c r="D7" s="300" t="s">
        <v>106</v>
      </c>
      <c r="E7" s="370" t="s">
        <v>136</v>
      </c>
      <c r="F7" s="370" t="s">
        <v>107</v>
      </c>
      <c r="G7" s="370" t="s">
        <v>90</v>
      </c>
      <c r="H7" s="449" t="s">
        <v>78</v>
      </c>
    </row>
    <row r="8" spans="1:8" ht="166.5" x14ac:dyDescent="0.25">
      <c r="A8" s="804" t="s">
        <v>0</v>
      </c>
      <c r="B8" s="792">
        <v>46314</v>
      </c>
      <c r="C8" s="480" t="s">
        <v>10</v>
      </c>
      <c r="D8" s="651" t="s">
        <v>263</v>
      </c>
      <c r="E8" s="299" t="s">
        <v>270</v>
      </c>
      <c r="F8" s="299" t="s">
        <v>237</v>
      </c>
      <c r="G8" s="361" t="s">
        <v>250</v>
      </c>
      <c r="H8" s="362" t="s">
        <v>257</v>
      </c>
    </row>
    <row r="9" spans="1:8" ht="166.5" x14ac:dyDescent="0.25">
      <c r="A9" s="808"/>
      <c r="B9" s="757"/>
      <c r="C9" s="490" t="s">
        <v>11</v>
      </c>
      <c r="D9" s="375" t="s">
        <v>278</v>
      </c>
      <c r="E9" s="383" t="s">
        <v>271</v>
      </c>
      <c r="F9" s="383" t="s">
        <v>114</v>
      </c>
      <c r="G9" s="383" t="s">
        <v>300</v>
      </c>
      <c r="H9" s="414" t="s">
        <v>252</v>
      </c>
    </row>
    <row r="10" spans="1:8" ht="83.25" x14ac:dyDescent="0.25">
      <c r="A10" s="808"/>
      <c r="B10" s="757"/>
      <c r="C10" s="490" t="s">
        <v>12</v>
      </c>
      <c r="D10" s="375" t="s">
        <v>264</v>
      </c>
      <c r="E10" s="369" t="s">
        <v>301</v>
      </c>
      <c r="F10" s="383"/>
      <c r="G10" s="460"/>
      <c r="H10" s="510"/>
    </row>
    <row r="11" spans="1:8" ht="69" customHeight="1" x14ac:dyDescent="0.25">
      <c r="A11" s="808"/>
      <c r="B11" s="757"/>
      <c r="C11" s="490" t="s">
        <v>13</v>
      </c>
      <c r="D11" s="375" t="s">
        <v>279</v>
      </c>
      <c r="E11" s="383"/>
      <c r="F11" s="383"/>
      <c r="G11" s="460"/>
      <c r="H11" s="510"/>
    </row>
    <row r="12" spans="1:8" ht="27" thickBot="1" x14ac:dyDescent="0.3">
      <c r="A12" s="808"/>
      <c r="B12" s="757"/>
      <c r="C12" s="481" t="s">
        <v>15</v>
      </c>
      <c r="D12" s="363"/>
      <c r="E12" s="330"/>
      <c r="F12" s="330"/>
      <c r="G12" s="330"/>
      <c r="H12" s="350"/>
    </row>
    <row r="13" spans="1:8" ht="89.25" customHeight="1" x14ac:dyDescent="0.25">
      <c r="A13" s="804" t="s">
        <v>1</v>
      </c>
      <c r="B13" s="756">
        <f>B8+1</f>
        <v>46315</v>
      </c>
      <c r="C13" s="504" t="s">
        <v>10</v>
      </c>
      <c r="D13" s="581" t="s">
        <v>272</v>
      </c>
      <c r="E13" s="382" t="s">
        <v>272</v>
      </c>
      <c r="F13" s="382" t="s">
        <v>272</v>
      </c>
      <c r="G13" s="303" t="s">
        <v>272</v>
      </c>
      <c r="H13" s="321" t="s">
        <v>272</v>
      </c>
    </row>
    <row r="14" spans="1:8" ht="89.25" customHeight="1" x14ac:dyDescent="0.25">
      <c r="A14" s="808"/>
      <c r="B14" s="757"/>
      <c r="C14" s="505" t="s">
        <v>11</v>
      </c>
      <c r="D14" s="418" t="s">
        <v>240</v>
      </c>
      <c r="E14" s="383" t="s">
        <v>240</v>
      </c>
      <c r="F14" s="383" t="s">
        <v>240</v>
      </c>
      <c r="G14" s="279" t="s">
        <v>240</v>
      </c>
      <c r="H14" s="280" t="s">
        <v>240</v>
      </c>
    </row>
    <row r="15" spans="1:8" ht="89.25" customHeight="1" x14ac:dyDescent="0.25">
      <c r="A15" s="808"/>
      <c r="B15" s="757"/>
      <c r="C15" s="505" t="s">
        <v>12</v>
      </c>
      <c r="D15" s="517" t="s">
        <v>257</v>
      </c>
      <c r="E15" s="279" t="s">
        <v>248</v>
      </c>
      <c r="F15" s="279"/>
      <c r="G15" s="279" t="s">
        <v>238</v>
      </c>
      <c r="H15" s="510" t="s">
        <v>239</v>
      </c>
    </row>
    <row r="16" spans="1:8" ht="111" x14ac:dyDescent="0.25">
      <c r="A16" s="808"/>
      <c r="B16" s="757"/>
      <c r="C16" s="505" t="s">
        <v>13</v>
      </c>
      <c r="D16" s="375" t="s">
        <v>312</v>
      </c>
      <c r="E16" s="279" t="s">
        <v>257</v>
      </c>
      <c r="F16" s="279"/>
      <c r="G16" s="279" t="s">
        <v>102</v>
      </c>
      <c r="H16" s="282" t="s">
        <v>269</v>
      </c>
    </row>
    <row r="17" spans="1:10" ht="55.5" customHeight="1" x14ac:dyDescent="0.25">
      <c r="A17" s="808"/>
      <c r="B17" s="757"/>
      <c r="C17" s="488" t="s">
        <v>15</v>
      </c>
      <c r="D17" s="524"/>
      <c r="E17" s="546"/>
      <c r="F17" s="546"/>
      <c r="G17" s="546"/>
      <c r="H17" s="518"/>
    </row>
    <row r="18" spans="1:10" ht="28.5" thickBot="1" x14ac:dyDescent="0.3">
      <c r="A18" s="808"/>
      <c r="B18" s="757"/>
      <c r="C18" s="506" t="s">
        <v>60</v>
      </c>
      <c r="D18" s="324"/>
      <c r="E18" s="383"/>
      <c r="F18" s="325"/>
      <c r="G18" s="325"/>
      <c r="H18" s="326"/>
    </row>
    <row r="19" spans="1:10" ht="89.25" customHeight="1" x14ac:dyDescent="0.25">
      <c r="A19" s="804" t="s">
        <v>2</v>
      </c>
      <c r="B19" s="756">
        <f>B13+1</f>
        <v>46316</v>
      </c>
      <c r="C19" s="480" t="s">
        <v>10</v>
      </c>
      <c r="D19" s="302" t="s">
        <v>254</v>
      </c>
      <c r="E19" s="303" t="s">
        <v>281</v>
      </c>
      <c r="F19" s="303" t="s">
        <v>258</v>
      </c>
      <c r="G19" s="532" t="s">
        <v>302</v>
      </c>
      <c r="H19" s="321" t="s">
        <v>304</v>
      </c>
    </row>
    <row r="20" spans="1:10" ht="89.25" customHeight="1" x14ac:dyDescent="0.25">
      <c r="A20" s="808"/>
      <c r="B20" s="757"/>
      <c r="C20" s="490" t="s">
        <v>11</v>
      </c>
      <c r="D20" s="278" t="s">
        <v>254</v>
      </c>
      <c r="E20" s="279" t="s">
        <v>282</v>
      </c>
      <c r="F20" s="279" t="s">
        <v>249</v>
      </c>
      <c r="G20" s="652" t="s">
        <v>303</v>
      </c>
      <c r="H20" s="492" t="s">
        <v>302</v>
      </c>
    </row>
    <row r="21" spans="1:10" ht="89.25" customHeight="1" x14ac:dyDescent="0.25">
      <c r="A21" s="808"/>
      <c r="B21" s="757"/>
      <c r="C21" s="490" t="s">
        <v>12</v>
      </c>
      <c r="D21" s="418" t="s">
        <v>246</v>
      </c>
      <c r="E21" s="402" t="s">
        <v>313</v>
      </c>
      <c r="F21" s="279" t="s">
        <v>261</v>
      </c>
      <c r="G21" s="279"/>
      <c r="H21" s="510" t="s">
        <v>103</v>
      </c>
      <c r="J21" s="3"/>
    </row>
    <row r="22" spans="1:10" ht="114" customHeight="1" x14ac:dyDescent="0.25">
      <c r="A22" s="808"/>
      <c r="B22" s="757"/>
      <c r="C22" s="490" t="s">
        <v>13</v>
      </c>
      <c r="D22" s="375"/>
      <c r="E22" s="442"/>
      <c r="F22" s="474" t="s">
        <v>304</v>
      </c>
      <c r="G22" s="279"/>
      <c r="H22" s="510" t="s">
        <v>239</v>
      </c>
    </row>
    <row r="23" spans="1:10" ht="89.25" customHeight="1" thickBot="1" x14ac:dyDescent="0.3">
      <c r="A23" s="809"/>
      <c r="B23" s="757"/>
      <c r="C23" s="481" t="s">
        <v>15</v>
      </c>
      <c r="D23" s="217"/>
      <c r="E23" s="457"/>
      <c r="F23" s="218"/>
      <c r="G23" s="218"/>
      <c r="H23" s="219"/>
    </row>
    <row r="24" spans="1:10" ht="111" x14ac:dyDescent="0.25">
      <c r="A24" s="804" t="s">
        <v>3</v>
      </c>
      <c r="B24" s="756">
        <f>B19+1</f>
        <v>46317</v>
      </c>
      <c r="C24" s="504" t="s">
        <v>10</v>
      </c>
      <c r="D24" s="651" t="s">
        <v>294</v>
      </c>
      <c r="E24" s="303" t="s">
        <v>248</v>
      </c>
      <c r="F24" s="299" t="s">
        <v>269</v>
      </c>
      <c r="G24" s="299" t="s">
        <v>269</v>
      </c>
      <c r="H24" s="321" t="s">
        <v>284</v>
      </c>
    </row>
    <row r="25" spans="1:10" ht="111" x14ac:dyDescent="0.25">
      <c r="A25" s="805"/>
      <c r="B25" s="757"/>
      <c r="C25" s="505" t="s">
        <v>11</v>
      </c>
      <c r="D25" s="281" t="s">
        <v>269</v>
      </c>
      <c r="E25" s="248" t="s">
        <v>260</v>
      </c>
      <c r="F25" s="248" t="s">
        <v>237</v>
      </c>
      <c r="G25" s="248" t="s">
        <v>238</v>
      </c>
      <c r="H25" s="282" t="s">
        <v>284</v>
      </c>
    </row>
    <row r="26" spans="1:10" ht="111" x14ac:dyDescent="0.25">
      <c r="A26" s="805"/>
      <c r="B26" s="757"/>
      <c r="C26" s="505" t="s">
        <v>12</v>
      </c>
      <c r="D26" s="374" t="s">
        <v>301</v>
      </c>
      <c r="E26" s="410"/>
      <c r="F26" s="404" t="s">
        <v>305</v>
      </c>
      <c r="G26" s="410" t="s">
        <v>274</v>
      </c>
      <c r="H26" s="403" t="s">
        <v>308</v>
      </c>
    </row>
    <row r="27" spans="1:10" ht="111" x14ac:dyDescent="0.25">
      <c r="A27" s="805"/>
      <c r="B27" s="757"/>
      <c r="C27" s="505" t="s">
        <v>13</v>
      </c>
      <c r="D27" s="374" t="s">
        <v>295</v>
      </c>
      <c r="E27" s="442"/>
      <c r="F27" s="404" t="s">
        <v>306</v>
      </c>
      <c r="G27" s="402" t="s">
        <v>307</v>
      </c>
      <c r="H27" s="473" t="s">
        <v>274</v>
      </c>
    </row>
    <row r="28" spans="1:10" ht="53.25" customHeight="1" thickBot="1" x14ac:dyDescent="0.3">
      <c r="A28" s="806"/>
      <c r="B28" s="757"/>
      <c r="C28" s="506" t="s">
        <v>15</v>
      </c>
      <c r="D28" s="217"/>
      <c r="E28" s="468"/>
      <c r="F28" s="457"/>
      <c r="G28" s="457"/>
      <c r="H28" s="459"/>
    </row>
    <row r="29" spans="1:10" ht="89.25" customHeight="1" x14ac:dyDescent="0.25">
      <c r="A29" s="804" t="s">
        <v>4</v>
      </c>
      <c r="B29" s="756">
        <f>B24+1</f>
        <v>46318</v>
      </c>
      <c r="C29" s="480" t="s">
        <v>10</v>
      </c>
      <c r="D29" s="293" t="s">
        <v>259</v>
      </c>
      <c r="E29" s="294" t="s">
        <v>274</v>
      </c>
      <c r="F29" s="294" t="s">
        <v>255</v>
      </c>
      <c r="G29" s="361" t="s">
        <v>256</v>
      </c>
      <c r="H29" s="295"/>
    </row>
    <row r="30" spans="1:10" ht="111" x14ac:dyDescent="0.25">
      <c r="A30" s="808"/>
      <c r="B30" s="757"/>
      <c r="C30" s="490" t="s">
        <v>11</v>
      </c>
      <c r="D30" s="283" t="s">
        <v>247</v>
      </c>
      <c r="E30" s="474" t="s">
        <v>305</v>
      </c>
      <c r="F30" s="247" t="s">
        <v>255</v>
      </c>
      <c r="G30" s="460" t="s">
        <v>256</v>
      </c>
      <c r="H30" s="284"/>
    </row>
    <row r="31" spans="1:10" ht="89.25" customHeight="1" x14ac:dyDescent="0.25">
      <c r="A31" s="808"/>
      <c r="B31" s="757"/>
      <c r="C31" s="490" t="s">
        <v>12</v>
      </c>
      <c r="D31" s="281" t="s">
        <v>274</v>
      </c>
      <c r="E31" s="248" t="s">
        <v>157</v>
      </c>
      <c r="F31" s="279" t="s">
        <v>249</v>
      </c>
      <c r="G31" s="248" t="s">
        <v>251</v>
      </c>
      <c r="H31" s="282" t="s">
        <v>262</v>
      </c>
    </row>
    <row r="32" spans="1:10" ht="111" x14ac:dyDescent="0.25">
      <c r="A32" s="808"/>
      <c r="B32" s="757"/>
      <c r="C32" s="490" t="s">
        <v>13</v>
      </c>
      <c r="D32" s="569" t="s">
        <v>309</v>
      </c>
      <c r="E32" s="248" t="s">
        <v>236</v>
      </c>
      <c r="F32" s="248" t="s">
        <v>275</v>
      </c>
      <c r="G32" s="319" t="s">
        <v>262</v>
      </c>
      <c r="H32" s="282" t="s">
        <v>252</v>
      </c>
    </row>
    <row r="33" spans="1:8" ht="89.25" customHeight="1" thickBot="1" x14ac:dyDescent="0.3">
      <c r="A33" s="809"/>
      <c r="B33" s="757"/>
      <c r="C33" s="481" t="s">
        <v>15</v>
      </c>
      <c r="D33" s="285"/>
      <c r="E33" s="286"/>
      <c r="F33" s="286"/>
      <c r="G33" s="286"/>
      <c r="H33" s="287"/>
    </row>
    <row r="34" spans="1:8" s="37" customFormat="1" ht="42.75" customHeight="1" x14ac:dyDescent="0.3">
      <c r="A34" s="810" t="s">
        <v>47</v>
      </c>
      <c r="B34" s="812">
        <f>B29+1</f>
        <v>46319</v>
      </c>
      <c r="C34" s="507" t="s">
        <v>10</v>
      </c>
      <c r="D34" s="592"/>
      <c r="E34" s="593"/>
      <c r="F34" s="593"/>
      <c r="G34" s="593"/>
      <c r="H34" s="594"/>
    </row>
    <row r="35" spans="1:8" s="37" customFormat="1" ht="42.75" customHeight="1" x14ac:dyDescent="0.3">
      <c r="A35" s="810"/>
      <c r="B35" s="810"/>
      <c r="C35" s="508" t="s">
        <v>11</v>
      </c>
      <c r="D35" s="262"/>
      <c r="E35" s="141"/>
      <c r="F35" s="141"/>
      <c r="G35" s="142"/>
      <c r="H35" s="263"/>
    </row>
    <row r="36" spans="1:8" s="37" customFormat="1" ht="42.75" customHeight="1" x14ac:dyDescent="0.3">
      <c r="A36" s="810"/>
      <c r="B36" s="810"/>
      <c r="C36" s="508" t="s">
        <v>12</v>
      </c>
      <c r="D36" s="262"/>
      <c r="E36" s="141"/>
      <c r="F36" s="390"/>
      <c r="G36" s="141"/>
      <c r="H36" s="391"/>
    </row>
    <row r="37" spans="1:8" s="37" customFormat="1" ht="42.75" customHeight="1" x14ac:dyDescent="0.3">
      <c r="A37" s="810"/>
      <c r="B37" s="810"/>
      <c r="C37" s="508" t="s">
        <v>13</v>
      </c>
      <c r="D37" s="147"/>
      <c r="E37" s="142"/>
      <c r="F37" s="142"/>
      <c r="G37" s="141"/>
      <c r="H37" s="148"/>
    </row>
    <row r="38" spans="1:8" s="37" customFormat="1" ht="42.75" customHeight="1" thickBot="1" x14ac:dyDescent="0.35">
      <c r="A38" s="811"/>
      <c r="B38" s="811"/>
      <c r="C38" s="509" t="s">
        <v>15</v>
      </c>
      <c r="D38" s="149"/>
      <c r="E38" s="100"/>
      <c r="F38" s="100"/>
      <c r="G38" s="100"/>
      <c r="H38" s="113"/>
    </row>
    <row r="39" spans="1:8" ht="26.25" x14ac:dyDescent="0.25">
      <c r="A39" s="2"/>
      <c r="B39" s="2"/>
      <c r="C39" s="2"/>
      <c r="D39" s="192" t="s">
        <v>82</v>
      </c>
      <c r="E39" s="2"/>
      <c r="F39" s="2"/>
      <c r="G39" s="2"/>
      <c r="H39" s="2"/>
    </row>
    <row r="40" spans="1:8" s="19" customFormat="1" ht="20.25" x14ac:dyDescent="0.3">
      <c r="A40" s="18"/>
      <c r="B40" s="18"/>
      <c r="C40" s="61" t="str">
        <f>'01.09'!C39</f>
        <v>*Л. Физиология человека*</v>
      </c>
      <c r="D40" s="62">
        <f>'12.10'!D40+COUNTIF(D$8:D$38,$C40)</f>
        <v>9</v>
      </c>
      <c r="E40" s="62">
        <f>'12.10'!E40+COUNTIF(E$8:E$38,$C40)</f>
        <v>9</v>
      </c>
      <c r="F40" s="62">
        <f>'12.10'!F40+COUNTIF(F$8:F$38,$C40)</f>
        <v>9</v>
      </c>
      <c r="G40" s="62">
        <f>'12.10'!G40+COUNTIF(G$8:G$38,$C40)</f>
        <v>9</v>
      </c>
      <c r="H40" s="62">
        <f>'12.10'!H40+COUNTIF(H$8:H$38,$C40)</f>
        <v>9</v>
      </c>
    </row>
    <row r="41" spans="1:8" s="19" customFormat="1" ht="20.25" x14ac:dyDescent="0.3">
      <c r="A41" s="18"/>
      <c r="B41" s="18"/>
      <c r="C41" s="61" t="str">
        <f>'01.09'!C40</f>
        <v>*Пр. Физиология человека*</v>
      </c>
      <c r="D41" s="63">
        <f>'12.10'!D41+COUNTIF(D$8:D$38,$C41)</f>
        <v>14</v>
      </c>
      <c r="E41" s="63">
        <f>'12.10'!E41+COUNTIF(E$8:E$38,$C41)</f>
        <v>14</v>
      </c>
      <c r="F41" s="63">
        <f>'12.10'!F41+COUNTIF(F$8:F$38,$C41)</f>
        <v>14</v>
      </c>
      <c r="G41" s="63">
        <f>'12.10'!G41+COUNTIF(G$8:G$38,$C41)</f>
        <v>14</v>
      </c>
      <c r="H41" s="63">
        <f>'12.10'!H41+COUNTIF(H$8:H$38,$C41)</f>
        <v>14</v>
      </c>
    </row>
    <row r="42" spans="1:8" s="19" customFormat="1" ht="20.25" x14ac:dyDescent="0.3">
      <c r="A42" s="18"/>
      <c r="B42" s="18"/>
      <c r="C42" s="61" t="str">
        <f>'01.09'!C41</f>
        <v>*Л. Элективные дисциплины по ФКиС: Фехтование*</v>
      </c>
      <c r="D42" s="62">
        <f>'12.10'!D42+COUNTIF(D$8:D$38,$C42)</f>
        <v>1</v>
      </c>
      <c r="E42" s="62">
        <f>'12.10'!E42+COUNTIF(E$8:E$38,$C42)</f>
        <v>1</v>
      </c>
      <c r="F42" s="62">
        <f>'12.10'!F42+COUNTIF(F$8:F$38,$C42)</f>
        <v>1</v>
      </c>
      <c r="G42" s="62">
        <f>'12.10'!G42+COUNTIF(G$8:G$38,$C42)</f>
        <v>1</v>
      </c>
      <c r="H42" s="62">
        <f>'12.10'!H42+COUNTIF(H$8:H$38,$C42)</f>
        <v>1</v>
      </c>
    </row>
    <row r="43" spans="1:8" s="19" customFormat="1" ht="20.25" x14ac:dyDescent="0.3">
      <c r="A43" s="18"/>
      <c r="B43" s="18"/>
      <c r="C43" s="61" t="str">
        <f>'01.09'!C42</f>
        <v>*Пр. Элективные дисциплины по ФКиС: Фехтование*</v>
      </c>
      <c r="D43" s="63">
        <f>'12.10'!D43+COUNTIF(D$8:D$38,$C43)</f>
        <v>3</v>
      </c>
      <c r="E43" s="63">
        <f>'12.10'!E43+COUNTIF(E$8:E$38,$C43)</f>
        <v>3</v>
      </c>
      <c r="F43" s="63">
        <f>'12.10'!F43+COUNTIF(F$8:F$38,$C43)</f>
        <v>3</v>
      </c>
      <c r="G43" s="63">
        <f>'12.10'!G43+COUNTIF(G$8:G$38,$C43)</f>
        <v>3</v>
      </c>
      <c r="H43" s="63">
        <f>'12.10'!H43+COUNTIF(H$8:H$38,$C43)</f>
        <v>3</v>
      </c>
    </row>
    <row r="44" spans="1:8" s="19" customFormat="1" ht="20.25" x14ac:dyDescent="0.3">
      <c r="A44" s="18"/>
      <c r="B44" s="18"/>
      <c r="C44" s="61" t="str">
        <f>'01.09'!C43</f>
        <v>*Л. Педагогика физической культуры и спорта*</v>
      </c>
      <c r="D44" s="62">
        <f>'12.10'!D44+COUNTIF(D$8:D$38,$C44)</f>
        <v>5</v>
      </c>
      <c r="E44" s="62">
        <f>'12.10'!E44+COUNTIF(E$8:E$38,$C44)</f>
        <v>5</v>
      </c>
      <c r="F44" s="62">
        <f>'12.10'!F44+COUNTIF(F$8:F$38,$C44)</f>
        <v>5</v>
      </c>
      <c r="G44" s="62">
        <f>'12.10'!G44+COUNTIF(G$8:G$38,$C44)</f>
        <v>5</v>
      </c>
      <c r="H44" s="62">
        <f>'12.10'!H44+COUNTIF(H$8:H$38,$C44)</f>
        <v>5</v>
      </c>
    </row>
    <row r="45" spans="1:8" s="19" customFormat="1" ht="20.25" x14ac:dyDescent="0.3">
      <c r="A45" s="18"/>
      <c r="B45" s="18"/>
      <c r="C45" s="61" t="str">
        <f>'01.09'!C44</f>
        <v>*Пр. Педагогика физической культуры и спорта*</v>
      </c>
      <c r="D45" s="63">
        <f>'12.10'!D45+COUNTIF(D$8:D$38,$C45)</f>
        <v>3</v>
      </c>
      <c r="E45" s="63">
        <f>'12.10'!E45+COUNTIF(E$8:E$38,$C45)</f>
        <v>3</v>
      </c>
      <c r="F45" s="63">
        <f>'12.10'!F45+COUNTIF(F$8:F$38,$C45)</f>
        <v>3</v>
      </c>
      <c r="G45" s="63">
        <f>'12.10'!G45+COUNTIF(G$8:G$38,$C45)</f>
        <v>3</v>
      </c>
      <c r="H45" s="63">
        <f>'12.10'!H45+COUNTIF(H$8:H$38,$C45)</f>
        <v>2</v>
      </c>
    </row>
    <row r="46" spans="1:8" s="19" customFormat="1" ht="20.25" x14ac:dyDescent="0.3">
      <c r="A46" s="18"/>
      <c r="B46" s="18"/>
      <c r="C46" s="61" t="str">
        <f>'01.09'!C45</f>
        <v>*Л. Теория и методика*</v>
      </c>
      <c r="D46" s="62">
        <f>'12.10'!D46+COUNTIF(D$8:D$38,$C46)</f>
        <v>4</v>
      </c>
      <c r="E46" s="62">
        <f>'12.10'!E46+COUNTIF(E$8:E$38,$C46)</f>
        <v>4</v>
      </c>
      <c r="F46" s="62">
        <f>'12.10'!F46+COUNTIF(F$8:F$38,$C46)</f>
        <v>4</v>
      </c>
      <c r="G46" s="62">
        <f>'12.10'!G46+COUNTIF(G$8:G$38,$C46)</f>
        <v>4</v>
      </c>
      <c r="H46" s="62">
        <f>'12.10'!H46+COUNTIF(H$8:H$38,$C46)</f>
        <v>4</v>
      </c>
    </row>
    <row r="47" spans="1:8" s="19" customFormat="1" ht="20.25" x14ac:dyDescent="0.3">
      <c r="A47" s="18"/>
      <c r="B47" s="18"/>
      <c r="C47" s="61" t="str">
        <f>'01.09'!C46</f>
        <v>*Пр. Теория и методика*</v>
      </c>
      <c r="D47" s="63">
        <f>'12.10'!D47+COUNTIF(D$8:D$38,$C47)</f>
        <v>18</v>
      </c>
      <c r="E47" s="63">
        <f>'12.10'!E47+COUNTIF(E$8:E$38,$C47)</f>
        <v>18</v>
      </c>
      <c r="F47" s="63">
        <f>'12.10'!F47+COUNTIF(F$8:F$38,$C47)</f>
        <v>18</v>
      </c>
      <c r="G47" s="63">
        <f>'12.10'!G47+COUNTIF(G$8:G$38,$C47)</f>
        <v>18</v>
      </c>
      <c r="H47" s="63">
        <f>'12.10'!H47+COUNTIF(H$8:H$38,$C47)</f>
        <v>18</v>
      </c>
    </row>
    <row r="48" spans="1:8" s="19" customFormat="1" ht="20.25" x14ac:dyDescent="0.3">
      <c r="A48" s="18"/>
      <c r="B48" s="18"/>
      <c r="C48" s="61" t="str">
        <f>'01.09'!C47</f>
        <v>*Л.  Теория и методика физической культуры*</v>
      </c>
      <c r="D48" s="62">
        <f>'12.10'!D48+COUNTIF(D$8:D$38,$C48)</f>
        <v>7</v>
      </c>
      <c r="E48" s="62">
        <f>'12.10'!E48+COUNTIF(E$8:E$38,$C48)</f>
        <v>7</v>
      </c>
      <c r="F48" s="62">
        <f>'12.10'!F48+COUNTIF(F$8:F$38,$C48)</f>
        <v>7</v>
      </c>
      <c r="G48" s="62">
        <f>'12.10'!G48+COUNTIF(G$8:G$38,$C48)</f>
        <v>7</v>
      </c>
      <c r="H48" s="62">
        <f>'12.10'!H48+COUNTIF(H$8:H$38,$C48)</f>
        <v>7</v>
      </c>
    </row>
    <row r="49" spans="1:8" s="19" customFormat="1" ht="20.25" x14ac:dyDescent="0.3">
      <c r="A49" s="18"/>
      <c r="B49" s="18"/>
      <c r="C49" s="61" t="str">
        <f>'01.09'!C48</f>
        <v>*Пр.  Теория и методика физической культуры*</v>
      </c>
      <c r="D49" s="63">
        <f>'12.10'!D49+COUNTIF(D$8:D$38,$C49)</f>
        <v>3</v>
      </c>
      <c r="E49" s="63">
        <f>'12.10'!E49+COUNTIF(E$8:E$38,$C49)</f>
        <v>3</v>
      </c>
      <c r="F49" s="63">
        <f>'12.10'!F49+COUNTIF(F$8:F$38,$C49)</f>
        <v>3</v>
      </c>
      <c r="G49" s="63">
        <f>'12.10'!G49+COUNTIF(G$8:G$38,$C49)</f>
        <v>3</v>
      </c>
      <c r="H49" s="63">
        <f>'12.10'!H49+COUNTIF(H$8:H$38,$C49)</f>
        <v>3</v>
      </c>
    </row>
    <row r="50" spans="1:8" s="19" customFormat="1" ht="20.25" x14ac:dyDescent="0.3">
      <c r="A50" s="18"/>
      <c r="B50" s="18"/>
      <c r="C50" s="61" t="str">
        <f>'01.09'!C49</f>
        <v>*Л. Плавание*</v>
      </c>
      <c r="D50" s="62">
        <f>'12.10'!D50+COUNTIF(D$8:D$38,$C50)</f>
        <v>2</v>
      </c>
      <c r="E50" s="62">
        <f>'12.10'!E50+COUNTIF(E$8:E$38,$C50)</f>
        <v>2</v>
      </c>
      <c r="F50" s="62">
        <f>'12.10'!F50+COUNTIF(F$8:F$38,$C50)</f>
        <v>2</v>
      </c>
      <c r="G50" s="62">
        <f>'12.10'!G50+COUNTIF(G$8:G$38,$C50)</f>
        <v>2</v>
      </c>
      <c r="H50" s="62">
        <f>'12.10'!H50+COUNTIF(H$8:H$38,$C50)</f>
        <v>2</v>
      </c>
    </row>
    <row r="51" spans="1:8" s="19" customFormat="1" ht="20.25" x14ac:dyDescent="0.3">
      <c r="A51" s="18"/>
      <c r="B51" s="18"/>
      <c r="C51" s="61" t="str">
        <f>'01.09'!C50</f>
        <v>*Пр. Плавание*</v>
      </c>
      <c r="D51" s="63">
        <f>'12.10'!D51+COUNTIF(D$8:D$38,$C51)</f>
        <v>14</v>
      </c>
      <c r="E51" s="63">
        <f>'12.10'!E51+COUNTIF(E$8:E$38,$C51)</f>
        <v>14</v>
      </c>
      <c r="F51" s="63">
        <f>'12.10'!F51+COUNTIF(F$8:F$38,$C51)</f>
        <v>14</v>
      </c>
      <c r="G51" s="63">
        <f>'12.10'!G51+COUNTIF(G$8:G$38,$C51)</f>
        <v>14</v>
      </c>
      <c r="H51" s="63">
        <f>'12.10'!H51+COUNTIF(H$8:H$38,$C51)</f>
        <v>14</v>
      </c>
    </row>
    <row r="52" spans="1:8" s="19" customFormat="1" ht="20.25" x14ac:dyDescent="0.3">
      <c r="A52" s="18"/>
      <c r="B52" s="18"/>
      <c r="C52" s="61" t="str">
        <f>'01.09'!C51</f>
        <v>*Л. Подвижные игры в спорте и образовании*</v>
      </c>
      <c r="D52" s="62">
        <f>'12.10'!D52+COUNTIF(D$8:D$38,$C52)</f>
        <v>1</v>
      </c>
      <c r="E52" s="62">
        <f>'12.10'!E52+COUNTIF(E$8:E$38,$C52)</f>
        <v>1</v>
      </c>
      <c r="F52" s="62">
        <f>'12.10'!F52+COUNTIF(F$8:F$38,$C52)</f>
        <v>1</v>
      </c>
      <c r="G52" s="62">
        <f>'12.10'!G52+COUNTIF(G$8:G$38,$C52)</f>
        <v>1</v>
      </c>
      <c r="H52" s="62">
        <f>'12.10'!H52+COUNTIF(H$8:H$38,$C52)</f>
        <v>1</v>
      </c>
    </row>
    <row r="53" spans="1:8" s="19" customFormat="1" ht="20.25" x14ac:dyDescent="0.3">
      <c r="A53" s="18"/>
      <c r="B53" s="18"/>
      <c r="C53" s="61" t="str">
        <f>'01.09'!C52</f>
        <v>*Пр. Подвижные игры в спорте и образовании*</v>
      </c>
      <c r="D53" s="63">
        <f>'12.10'!D53+COUNTIF(D$8:D$38,$C53)</f>
        <v>7</v>
      </c>
      <c r="E53" s="63">
        <f>'12.10'!E53+COUNTIF(E$8:E$38,$C53)</f>
        <v>7</v>
      </c>
      <c r="F53" s="63">
        <f>'12.10'!F53+COUNTIF(F$8:F$38,$C53)</f>
        <v>7</v>
      </c>
      <c r="G53" s="63">
        <f>'12.10'!G53+COUNTIF(G$8:G$38,$C53)</f>
        <v>7</v>
      </c>
      <c r="H53" s="63">
        <f>'12.10'!H53+COUNTIF(H$8:H$38,$C53)</f>
        <v>7</v>
      </c>
    </row>
    <row r="54" spans="1:8" s="19" customFormat="1" ht="20.25" x14ac:dyDescent="0.3">
      <c r="A54" s="18"/>
      <c r="B54" s="18"/>
      <c r="C54" s="61" t="str">
        <f>'01.09'!C53</f>
        <v>*Л. Самооборона (самбо)*</v>
      </c>
      <c r="D54" s="62">
        <f>'12.10'!D54+COUNTIF(D$8:D$38,$C54)</f>
        <v>1</v>
      </c>
      <c r="E54" s="62">
        <f>'12.10'!E54+COUNTIF(E$8:E$38,$C54)</f>
        <v>1</v>
      </c>
      <c r="F54" s="62">
        <f>'12.10'!F54+COUNTIF(F$8:F$38,$C54)</f>
        <v>1</v>
      </c>
      <c r="G54" s="62">
        <f>'12.10'!G54+COUNTIF(G$8:G$38,$C54)</f>
        <v>1</v>
      </c>
      <c r="H54" s="62">
        <f>'12.10'!H54+COUNTIF(H$8:H$38,$C54)</f>
        <v>1</v>
      </c>
    </row>
    <row r="55" spans="1:8" s="19" customFormat="1" ht="20.25" x14ac:dyDescent="0.3">
      <c r="A55" s="18"/>
      <c r="B55" s="18"/>
      <c r="C55" s="61" t="str">
        <f>'01.09'!C54</f>
        <v>*Пр. Самооборона (самбо)*</v>
      </c>
      <c r="D55" s="63">
        <f>'12.10'!D55+COUNTIF(D$8:D$38,$C55)</f>
        <v>7</v>
      </c>
      <c r="E55" s="63">
        <f>'12.10'!E55+COUNTIF(E$8:E$38,$C55)</f>
        <v>7</v>
      </c>
      <c r="F55" s="63">
        <f>'12.10'!F55+COUNTIF(F$8:F$38,$C55)</f>
        <v>7</v>
      </c>
      <c r="G55" s="63">
        <f>'12.10'!G55+COUNTIF(G$8:G$38,$C55)</f>
        <v>7</v>
      </c>
      <c r="H55" s="63">
        <f>'12.10'!H55+COUNTIF(H$8:H$38,$C55)</f>
        <v>7</v>
      </c>
    </row>
    <row r="56" spans="1:8" s="19" customFormat="1" ht="20.25" x14ac:dyDescent="0.3">
      <c r="A56" s="18"/>
      <c r="B56" s="18"/>
      <c r="C56" s="61" t="str">
        <f>'01.09'!C55</f>
        <v>*Л. Методика реализации программ*</v>
      </c>
      <c r="D56" s="62">
        <f>'12.10'!D56+COUNTIF(D$8:D$38,$C56)</f>
        <v>3</v>
      </c>
      <c r="E56" s="62">
        <f>'12.10'!E56+COUNTIF(E$8:E$38,$C56)</f>
        <v>3</v>
      </c>
      <c r="F56" s="62">
        <f>'12.10'!F56+COUNTIF(F$8:F$38,$C56)</f>
        <v>3</v>
      </c>
      <c r="G56" s="62">
        <f>'12.10'!G56+COUNTIF(G$8:G$38,$C56)</f>
        <v>3</v>
      </c>
      <c r="H56" s="62">
        <f>'12.10'!H56+COUNTIF(H$8:H$38,$C56)</f>
        <v>3</v>
      </c>
    </row>
    <row r="57" spans="1:8" s="19" customFormat="1" ht="20.25" x14ac:dyDescent="0.3">
      <c r="A57" s="18"/>
      <c r="B57" s="18"/>
      <c r="C57" s="61" t="str">
        <f>'01.09'!C56</f>
        <v>*Пр. Методика реализации программ*</v>
      </c>
      <c r="D57" s="63">
        <f>'12.10'!D57+COUNTIF(D$8:D$38,$C57)</f>
        <v>3</v>
      </c>
      <c r="E57" s="63">
        <f>'12.10'!E57+COUNTIF(E$8:E$38,$C57)</f>
        <v>3</v>
      </c>
      <c r="F57" s="63">
        <f>'12.10'!F57+COUNTIF(F$8:F$38,$C57)</f>
        <v>3</v>
      </c>
      <c r="G57" s="63">
        <f>'12.10'!G57+COUNTIF(G$8:G$38,$C57)</f>
        <v>3</v>
      </c>
      <c r="H57" s="63">
        <f>'12.10'!H57+COUNTIF(H$8:H$38,$C57)</f>
        <v>3</v>
      </c>
    </row>
    <row r="58" spans="1:8" s="19" customFormat="1" ht="20.25" x14ac:dyDescent="0.3">
      <c r="A58" s="18"/>
      <c r="B58" s="18"/>
      <c r="C58" s="61" t="str">
        <f>'01.09'!C57</f>
        <v>*Л. Методика преподавания*</v>
      </c>
      <c r="D58" s="62">
        <f>'12.10'!D58+COUNTIF(D$8:D$38,$C58)</f>
        <v>3</v>
      </c>
      <c r="E58" s="62">
        <f>'12.10'!E58+COUNTIF(E$8:E$38,$C58)</f>
        <v>3</v>
      </c>
      <c r="F58" s="62">
        <f>'12.10'!F58+COUNTIF(F$8:F$38,$C58)</f>
        <v>3</v>
      </c>
      <c r="G58" s="62">
        <f>'12.10'!G58+COUNTIF(G$8:G$38,$C58)</f>
        <v>3</v>
      </c>
      <c r="H58" s="62">
        <f>'12.10'!H58+COUNTIF(H$8:H$38,$C58)</f>
        <v>3</v>
      </c>
    </row>
    <row r="59" spans="1:8" s="19" customFormat="1" ht="20.25" x14ac:dyDescent="0.3">
      <c r="A59" s="18"/>
      <c r="B59" s="18"/>
      <c r="C59" s="61" t="str">
        <f>'01.09'!C58</f>
        <v>*Пр. Методика преподавания*</v>
      </c>
      <c r="D59" s="63">
        <f>'12.10'!D59+COUNTIF(D$8:D$38,$C59)</f>
        <v>3</v>
      </c>
      <c r="E59" s="63">
        <f>'12.10'!E59+COUNTIF(E$8:E$38,$C59)</f>
        <v>3</v>
      </c>
      <c r="F59" s="63">
        <f>'12.10'!F59+COUNTIF(F$8:F$38,$C59)</f>
        <v>3</v>
      </c>
      <c r="G59" s="63">
        <f>'12.10'!G59+COUNTIF(G$8:G$38,$C59)</f>
        <v>3</v>
      </c>
      <c r="H59" s="63">
        <f>'12.10'!H59+COUNTIF(H$8:H$38,$C59)</f>
        <v>3</v>
      </c>
    </row>
    <row r="60" spans="1:8" s="19" customFormat="1" ht="20.25" x14ac:dyDescent="0.3">
      <c r="A60" s="18"/>
      <c r="B60" s="18"/>
      <c r="C60" s="61">
        <f>'01.09'!C59</f>
        <v>0</v>
      </c>
      <c r="D60" s="62">
        <f>'12.10'!D60+COUNTIF(D$8:D$38,$C60)</f>
        <v>0</v>
      </c>
      <c r="E60" s="62">
        <f>'12.10'!E60+COUNTIF(E$8:E$38,$C60)</f>
        <v>0</v>
      </c>
      <c r="F60" s="62">
        <f>'12.10'!F60+COUNTIF(F$8:F$38,$C60)</f>
        <v>0</v>
      </c>
      <c r="G60" s="62">
        <f>'12.10'!G60+COUNTIF(G$8:G$38,$C60)</f>
        <v>0</v>
      </c>
      <c r="H60" s="62">
        <f>'12.10'!H60+COUNTIF(H$8:H$38,$C60)</f>
        <v>0</v>
      </c>
    </row>
    <row r="61" spans="1:8" s="19" customFormat="1" ht="20.25" x14ac:dyDescent="0.3">
      <c r="A61" s="18"/>
      <c r="B61" s="18"/>
      <c r="C61" s="61">
        <f>'01.09'!C60</f>
        <v>0</v>
      </c>
      <c r="D61" s="63">
        <f>'12.10'!D61+COUNTIF(D$8:D$38,$C61)</f>
        <v>0</v>
      </c>
      <c r="E61" s="63">
        <f>'12.10'!E61+COUNTIF(E$8:E$38,$C61)</f>
        <v>0</v>
      </c>
      <c r="F61" s="63">
        <f>'12.10'!F61+COUNTIF(F$8:F$38,$C61)</f>
        <v>0</v>
      </c>
      <c r="G61" s="63">
        <f>'12.10'!G61+COUNTIF(G$8:G$38,$C61)</f>
        <v>0</v>
      </c>
      <c r="H61" s="63">
        <f>'12.10'!H61+COUNTIF(H$8:H$38,$C61)</f>
        <v>0</v>
      </c>
    </row>
    <row r="62" spans="1:8" ht="20.25" x14ac:dyDescent="0.3">
      <c r="A62" s="2"/>
      <c r="B62" s="2"/>
      <c r="C62" s="61">
        <f>'01.09'!C61</f>
        <v>0</v>
      </c>
      <c r="D62" s="62">
        <f>'12.10'!D62+COUNTIF(D$8:D$38,$C62)</f>
        <v>0</v>
      </c>
      <c r="E62" s="62">
        <f>'12.10'!E62+COUNTIF(E$8:E$38,$C62)</f>
        <v>0</v>
      </c>
      <c r="F62" s="62">
        <f>'12.10'!F62+COUNTIF(F$8:F$38,$C62)</f>
        <v>0</v>
      </c>
      <c r="G62" s="62">
        <f>'12.10'!G62+COUNTIF(G$8:G$38,$C62)</f>
        <v>0</v>
      </c>
      <c r="H62" s="62">
        <f>'12.10'!H62+COUNTIF(H$8:H$38,$C62)</f>
        <v>0</v>
      </c>
    </row>
    <row r="63" spans="1:8" ht="20.25" x14ac:dyDescent="0.3">
      <c r="A63" s="2"/>
      <c r="B63" s="2"/>
      <c r="C63" s="61">
        <f>'01.09'!C62</f>
        <v>0</v>
      </c>
      <c r="D63" s="63">
        <f>'12.10'!D63+COUNTIF(D$8:D$38,$C63)</f>
        <v>0</v>
      </c>
      <c r="E63" s="63">
        <f>'12.10'!E63+COUNTIF(E$8:E$38,$C63)</f>
        <v>0</v>
      </c>
      <c r="F63" s="63">
        <f>'12.10'!F63+COUNTIF(F$8:F$38,$C63)</f>
        <v>0</v>
      </c>
      <c r="G63" s="63">
        <f>'12.10'!G63+COUNTIF(G$8:G$38,$C63)</f>
        <v>0</v>
      </c>
      <c r="H63" s="63">
        <f>'12.10'!H63+COUNTIF(H$8:H$38,$C63)</f>
        <v>0</v>
      </c>
    </row>
    <row r="64" spans="1:8" ht="20.25" x14ac:dyDescent="0.3">
      <c r="A64" s="2"/>
      <c r="B64" s="2"/>
      <c r="C64" s="61">
        <f>'01.09'!C63</f>
        <v>0</v>
      </c>
      <c r="D64" s="62">
        <f>'12.10'!D64+COUNTIF(D$8:D$38,$C64)</f>
        <v>0</v>
      </c>
      <c r="E64" s="62">
        <f>'12.10'!E64+COUNTIF(E$8:E$38,$C64)</f>
        <v>0</v>
      </c>
      <c r="F64" s="62">
        <f>'12.10'!F64+COUNTIF(F$8:F$38,$C64)</f>
        <v>0</v>
      </c>
      <c r="G64" s="62">
        <f>'12.10'!G64+COUNTIF(G$8:G$38,$C64)</f>
        <v>0</v>
      </c>
      <c r="H64" s="62">
        <f>'12.10'!H64+COUNTIF(H$8:H$38,$C64)</f>
        <v>0</v>
      </c>
    </row>
    <row r="65" spans="1:8" ht="20.25" x14ac:dyDescent="0.3">
      <c r="A65" s="2"/>
      <c r="B65" s="2"/>
      <c r="C65" s="61">
        <f>'01.09'!C64</f>
        <v>0</v>
      </c>
      <c r="D65" s="63">
        <f>'12.10'!D65+COUNTIF(D$8:D$38,$C65)</f>
        <v>0</v>
      </c>
      <c r="E65" s="63">
        <f>'12.10'!E65+COUNTIF(E$8:E$38,$C65)</f>
        <v>0</v>
      </c>
      <c r="F65" s="63">
        <f>'12.10'!F65+COUNTIF(F$8:F$38,$C65)</f>
        <v>0</v>
      </c>
      <c r="G65" s="63">
        <f>'12.10'!G65+COUNTIF(G$8:G$38,$C65)</f>
        <v>0</v>
      </c>
      <c r="H65" s="63">
        <f>'12.10'!H65+COUNTIF(H$8:H$38,$C65)</f>
        <v>0</v>
      </c>
    </row>
    <row r="66" spans="1:8" ht="20.25" x14ac:dyDescent="0.3">
      <c r="A66" s="2"/>
      <c r="B66" s="2"/>
      <c r="C66" s="61">
        <f>'01.09'!C65</f>
        <v>0</v>
      </c>
      <c r="D66" s="62">
        <f>'12.10'!D66+COUNTIF(D$8:D$38,$C66)</f>
        <v>0</v>
      </c>
      <c r="E66" s="62">
        <f>'12.10'!E66+COUNTIF(E$8:E$38,$C66)</f>
        <v>0</v>
      </c>
      <c r="F66" s="62">
        <f>'12.10'!F66+COUNTIF(F$8:F$38,$C66)</f>
        <v>0</v>
      </c>
      <c r="G66" s="62">
        <f>'12.10'!G66+COUNTIF(G$8:G$38,$C66)</f>
        <v>0</v>
      </c>
      <c r="H66" s="62">
        <f>'12.10'!H66+COUNTIF(H$8:H$38,$C66)</f>
        <v>0</v>
      </c>
    </row>
    <row r="67" spans="1:8" ht="20.25" x14ac:dyDescent="0.3">
      <c r="A67" s="2"/>
      <c r="B67" s="2"/>
      <c r="C67" s="61">
        <f>'01.09'!C66</f>
        <v>0</v>
      </c>
      <c r="D67" s="63">
        <f>'12.10'!D67+COUNTIF(D$8:D$38,$C67)</f>
        <v>0</v>
      </c>
      <c r="E67" s="63">
        <f>'12.10'!E67+COUNTIF(E$8:E$38,$C67)</f>
        <v>0</v>
      </c>
      <c r="F67" s="63">
        <f>'12.10'!F67+COUNTIF(F$8:F$38,$C67)</f>
        <v>0</v>
      </c>
      <c r="G67" s="63">
        <f>'12.10'!G67+COUNTIF(G$8:G$38,$C67)</f>
        <v>0</v>
      </c>
      <c r="H67" s="63">
        <f>'12.10'!H67+COUNTIF(H$8:H$38,$C67)</f>
        <v>0</v>
      </c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B1:H1"/>
    <mergeCell ref="B2:H2"/>
    <mergeCell ref="B3:H3"/>
    <mergeCell ref="B4:H4"/>
    <mergeCell ref="A5:H5"/>
    <mergeCell ref="A34:A38"/>
    <mergeCell ref="B34:B38"/>
    <mergeCell ref="A29:A33"/>
    <mergeCell ref="B29:B33"/>
    <mergeCell ref="C6:C7"/>
    <mergeCell ref="B8:B12"/>
    <mergeCell ref="B13:B18"/>
    <mergeCell ref="A13:A18"/>
    <mergeCell ref="A24:A28"/>
    <mergeCell ref="B19:B23"/>
    <mergeCell ref="B24:B28"/>
    <mergeCell ref="A19:A23"/>
    <mergeCell ref="A8:A12"/>
    <mergeCell ref="A6:A7"/>
    <mergeCell ref="B6:B7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H71"/>
  <sheetViews>
    <sheetView view="pageBreakPreview" topLeftCell="A13" zoomScale="40" zoomScaleNormal="40" zoomScaleSheetLayoutView="40" zoomScalePageLayoutView="40" workbookViewId="0">
      <selection activeCell="H19" sqref="H19"/>
    </sheetView>
  </sheetViews>
  <sheetFormatPr defaultRowHeight="15" x14ac:dyDescent="0.25"/>
  <cols>
    <col min="1" max="2" width="4.42578125" customWidth="1"/>
    <col min="3" max="3" width="19.7109375" customWidth="1"/>
    <col min="4" max="8" width="64.42578125" customWidth="1"/>
  </cols>
  <sheetData>
    <row r="1" spans="1:8" ht="30" x14ac:dyDescent="0.3">
      <c r="A1" s="178"/>
      <c r="B1" s="760" t="s">
        <v>140</v>
      </c>
      <c r="C1" s="760"/>
      <c r="D1" s="760"/>
      <c r="E1" s="760"/>
      <c r="F1" s="760"/>
      <c r="G1" s="760"/>
      <c r="H1" s="760"/>
    </row>
    <row r="2" spans="1:8" ht="30" x14ac:dyDescent="0.3">
      <c r="A2" s="179"/>
      <c r="B2" s="760" t="s">
        <v>87</v>
      </c>
      <c r="C2" s="760"/>
      <c r="D2" s="760"/>
      <c r="E2" s="760"/>
      <c r="F2" s="760"/>
      <c r="G2" s="760"/>
      <c r="H2" s="760"/>
    </row>
    <row r="3" spans="1:8" ht="39" customHeight="1" x14ac:dyDescent="0.25">
      <c r="A3" s="229"/>
      <c r="B3" s="787" t="s">
        <v>81</v>
      </c>
      <c r="C3" s="787"/>
      <c r="D3" s="787"/>
      <c r="E3" s="787"/>
      <c r="F3" s="787"/>
      <c r="G3" s="787"/>
      <c r="H3" s="787"/>
    </row>
    <row r="4" spans="1:8" ht="30" x14ac:dyDescent="0.25">
      <c r="A4" s="180"/>
      <c r="B4" s="760" t="s">
        <v>142</v>
      </c>
      <c r="C4" s="760"/>
      <c r="D4" s="760"/>
      <c r="E4" s="760"/>
      <c r="F4" s="760"/>
      <c r="G4" s="760"/>
      <c r="H4" s="760"/>
    </row>
    <row r="5" spans="1:8" ht="30.75" thickBot="1" x14ac:dyDescent="0.3">
      <c r="A5" s="682" t="s">
        <v>112</v>
      </c>
      <c r="B5" s="682"/>
      <c r="C5" s="682"/>
      <c r="D5" s="682"/>
      <c r="E5" s="682"/>
      <c r="F5" s="682"/>
      <c r="G5" s="682"/>
      <c r="H5" s="682"/>
    </row>
    <row r="6" spans="1:8" ht="26.25" customHeight="1" thickBot="1" x14ac:dyDescent="0.3">
      <c r="A6" s="770" t="s">
        <v>54</v>
      </c>
      <c r="B6" s="770" t="s">
        <v>14</v>
      </c>
      <c r="C6" s="793" t="s">
        <v>55</v>
      </c>
      <c r="D6" s="241" t="s">
        <v>5</v>
      </c>
      <c r="E6" s="242" t="s">
        <v>6</v>
      </c>
      <c r="F6" s="242" t="s">
        <v>7</v>
      </c>
      <c r="G6" s="242" t="s">
        <v>8</v>
      </c>
      <c r="H6" s="243" t="s">
        <v>9</v>
      </c>
    </row>
    <row r="7" spans="1:8" ht="96" customHeight="1" thickBot="1" x14ac:dyDescent="0.3">
      <c r="A7" s="771"/>
      <c r="B7" s="771"/>
      <c r="C7" s="794"/>
      <c r="D7" s="300" t="s">
        <v>106</v>
      </c>
      <c r="E7" s="370" t="s">
        <v>136</v>
      </c>
      <c r="F7" s="370" t="s">
        <v>107</v>
      </c>
      <c r="G7" s="370" t="s">
        <v>90</v>
      </c>
      <c r="H7" s="449" t="s">
        <v>78</v>
      </c>
    </row>
    <row r="8" spans="1:8" ht="166.5" x14ac:dyDescent="0.25">
      <c r="A8" s="804" t="s">
        <v>0</v>
      </c>
      <c r="B8" s="792">
        <v>46321</v>
      </c>
      <c r="C8" s="483" t="s">
        <v>10</v>
      </c>
      <c r="D8" s="651" t="s">
        <v>263</v>
      </c>
      <c r="E8" s="299" t="s">
        <v>270</v>
      </c>
      <c r="F8" s="299" t="s">
        <v>237</v>
      </c>
      <c r="G8" s="361" t="s">
        <v>250</v>
      </c>
      <c r="H8" s="362" t="s">
        <v>257</v>
      </c>
    </row>
    <row r="9" spans="1:8" ht="166.5" x14ac:dyDescent="0.25">
      <c r="A9" s="808"/>
      <c r="B9" s="757"/>
      <c r="C9" s="484" t="s">
        <v>11</v>
      </c>
      <c r="D9" s="375" t="s">
        <v>263</v>
      </c>
      <c r="E9" s="383" t="s">
        <v>271</v>
      </c>
      <c r="F9" s="383" t="s">
        <v>237</v>
      </c>
      <c r="G9" s="383" t="s">
        <v>300</v>
      </c>
      <c r="H9" s="414" t="s">
        <v>252</v>
      </c>
    </row>
    <row r="10" spans="1:8" ht="83.25" x14ac:dyDescent="0.25">
      <c r="A10" s="808"/>
      <c r="B10" s="757"/>
      <c r="C10" s="484" t="s">
        <v>12</v>
      </c>
      <c r="D10" s="375" t="s">
        <v>264</v>
      </c>
      <c r="E10" s="369" t="s">
        <v>301</v>
      </c>
      <c r="F10" s="383"/>
      <c r="G10" s="460"/>
      <c r="H10" s="510"/>
    </row>
    <row r="11" spans="1:8" ht="55.5" x14ac:dyDescent="0.25">
      <c r="A11" s="808"/>
      <c r="B11" s="757"/>
      <c r="C11" s="484" t="s">
        <v>13</v>
      </c>
      <c r="D11" s="375" t="s">
        <v>264</v>
      </c>
      <c r="E11" s="383"/>
      <c r="F11" s="383"/>
      <c r="G11" s="460"/>
      <c r="H11" s="510"/>
    </row>
    <row r="12" spans="1:8" ht="27" thickBot="1" x14ac:dyDescent="0.3">
      <c r="A12" s="808"/>
      <c r="B12" s="757"/>
      <c r="C12" s="485" t="s">
        <v>15</v>
      </c>
      <c r="D12" s="363"/>
      <c r="E12" s="330"/>
      <c r="F12" s="330"/>
      <c r="G12" s="330"/>
      <c r="H12" s="350"/>
    </row>
    <row r="13" spans="1:8" ht="83.25" customHeight="1" x14ac:dyDescent="0.25">
      <c r="A13" s="804" t="s">
        <v>1</v>
      </c>
      <c r="B13" s="756">
        <f>B8+1</f>
        <v>46322</v>
      </c>
      <c r="C13" s="504" t="s">
        <v>10</v>
      </c>
      <c r="D13" s="581" t="s">
        <v>272</v>
      </c>
      <c r="E13" s="382" t="s">
        <v>272</v>
      </c>
      <c r="F13" s="382" t="s">
        <v>272</v>
      </c>
      <c r="G13" s="303" t="s">
        <v>272</v>
      </c>
      <c r="H13" s="321" t="s">
        <v>272</v>
      </c>
    </row>
    <row r="14" spans="1:8" ht="83.25" customHeight="1" x14ac:dyDescent="0.25">
      <c r="A14" s="808"/>
      <c r="B14" s="757"/>
      <c r="C14" s="505" t="s">
        <v>11</v>
      </c>
      <c r="D14" s="418" t="s">
        <v>240</v>
      </c>
      <c r="E14" s="383" t="s">
        <v>240</v>
      </c>
      <c r="F14" s="383" t="s">
        <v>240</v>
      </c>
      <c r="G14" s="279" t="s">
        <v>240</v>
      </c>
      <c r="H14" s="280" t="s">
        <v>240</v>
      </c>
    </row>
    <row r="15" spans="1:8" ht="100.5" customHeight="1" x14ac:dyDescent="0.25">
      <c r="A15" s="808"/>
      <c r="B15" s="757"/>
      <c r="C15" s="505" t="s">
        <v>12</v>
      </c>
      <c r="D15" s="517" t="s">
        <v>257</v>
      </c>
      <c r="E15" s="279" t="s">
        <v>248</v>
      </c>
      <c r="F15" s="279"/>
      <c r="G15" s="279" t="s">
        <v>238</v>
      </c>
      <c r="H15" s="510" t="s">
        <v>239</v>
      </c>
    </row>
    <row r="16" spans="1:8" ht="111" x14ac:dyDescent="0.25">
      <c r="A16" s="808"/>
      <c r="B16" s="757"/>
      <c r="C16" s="505" t="s">
        <v>13</v>
      </c>
      <c r="D16" s="375" t="s">
        <v>312</v>
      </c>
      <c r="E16" s="279" t="s">
        <v>257</v>
      </c>
      <c r="F16" s="279"/>
      <c r="G16" s="279" t="s">
        <v>238</v>
      </c>
      <c r="H16" s="282" t="s">
        <v>269</v>
      </c>
    </row>
    <row r="17" spans="1:8" ht="57" customHeight="1" x14ac:dyDescent="0.25">
      <c r="A17" s="808"/>
      <c r="B17" s="757"/>
      <c r="C17" s="488" t="s">
        <v>15</v>
      </c>
      <c r="D17" s="524"/>
      <c r="E17" s="546"/>
      <c r="F17" s="546"/>
      <c r="G17" s="546"/>
      <c r="H17" s="518"/>
    </row>
    <row r="18" spans="1:8" ht="28.5" thickBot="1" x14ac:dyDescent="0.3">
      <c r="A18" s="808"/>
      <c r="B18" s="757"/>
      <c r="C18" s="506" t="s">
        <v>60</v>
      </c>
      <c r="D18" s="324"/>
      <c r="E18" s="383"/>
      <c r="F18" s="325"/>
      <c r="G18" s="325"/>
      <c r="H18" s="326"/>
    </row>
    <row r="19" spans="1:8" ht="105.75" customHeight="1" x14ac:dyDescent="0.25">
      <c r="A19" s="804" t="s">
        <v>2</v>
      </c>
      <c r="B19" s="756">
        <f>B13+1</f>
        <v>46323</v>
      </c>
      <c r="C19" s="480" t="s">
        <v>10</v>
      </c>
      <c r="D19" s="302" t="s">
        <v>254</v>
      </c>
      <c r="E19" s="303" t="s">
        <v>281</v>
      </c>
      <c r="F19" s="303" t="s">
        <v>258</v>
      </c>
      <c r="G19" s="532" t="s">
        <v>302</v>
      </c>
      <c r="H19" s="321" t="s">
        <v>304</v>
      </c>
    </row>
    <row r="20" spans="1:8" ht="93" customHeight="1" x14ac:dyDescent="0.25">
      <c r="A20" s="808"/>
      <c r="B20" s="757"/>
      <c r="C20" s="490" t="s">
        <v>11</v>
      </c>
      <c r="D20" s="278" t="s">
        <v>254</v>
      </c>
      <c r="E20" s="279" t="s">
        <v>282</v>
      </c>
      <c r="F20" s="279" t="s">
        <v>249</v>
      </c>
      <c r="G20" s="652" t="s">
        <v>303</v>
      </c>
      <c r="H20" s="492" t="s">
        <v>302</v>
      </c>
    </row>
    <row r="21" spans="1:8" ht="98.25" customHeight="1" x14ac:dyDescent="0.25">
      <c r="A21" s="808"/>
      <c r="B21" s="757"/>
      <c r="C21" s="490" t="s">
        <v>12</v>
      </c>
      <c r="D21" s="418" t="s">
        <v>246</v>
      </c>
      <c r="E21" s="402" t="s">
        <v>313</v>
      </c>
      <c r="F21" s="279" t="s">
        <v>261</v>
      </c>
      <c r="G21" s="279"/>
      <c r="H21" s="510" t="s">
        <v>239</v>
      </c>
    </row>
    <row r="22" spans="1:8" ht="94.5" customHeight="1" x14ac:dyDescent="0.25">
      <c r="A22" s="808"/>
      <c r="B22" s="757"/>
      <c r="C22" s="490" t="s">
        <v>13</v>
      </c>
      <c r="D22" s="375"/>
      <c r="E22" s="442"/>
      <c r="F22" s="474" t="s">
        <v>304</v>
      </c>
      <c r="G22" s="279"/>
      <c r="H22" s="510" t="s">
        <v>239</v>
      </c>
    </row>
    <row r="23" spans="1:8" ht="54.75" customHeight="1" thickBot="1" x14ac:dyDescent="0.3">
      <c r="A23" s="808"/>
      <c r="B23" s="815"/>
      <c r="C23" s="481" t="s">
        <v>15</v>
      </c>
      <c r="D23" s="217"/>
      <c r="E23" s="457"/>
      <c r="F23" s="218"/>
      <c r="G23" s="218"/>
      <c r="H23" s="219"/>
    </row>
    <row r="24" spans="1:8" ht="111" x14ac:dyDescent="0.25">
      <c r="A24" s="801" t="s">
        <v>3</v>
      </c>
      <c r="B24" s="816">
        <f>B19+1</f>
        <v>46324</v>
      </c>
      <c r="C24" s="504" t="s">
        <v>10</v>
      </c>
      <c r="D24" s="651" t="s">
        <v>294</v>
      </c>
      <c r="E24" s="303" t="s">
        <v>248</v>
      </c>
      <c r="F24" s="299" t="s">
        <v>269</v>
      </c>
      <c r="G24" s="299" t="s">
        <v>269</v>
      </c>
      <c r="H24" s="321" t="s">
        <v>284</v>
      </c>
    </row>
    <row r="25" spans="1:8" ht="128.25" customHeight="1" x14ac:dyDescent="0.25">
      <c r="A25" s="813"/>
      <c r="B25" s="775"/>
      <c r="C25" s="505" t="s">
        <v>11</v>
      </c>
      <c r="D25" s="281" t="s">
        <v>269</v>
      </c>
      <c r="E25" s="248" t="s">
        <v>260</v>
      </c>
      <c r="F25" s="248" t="s">
        <v>237</v>
      </c>
      <c r="G25" s="248" t="s">
        <v>238</v>
      </c>
      <c r="H25" s="282" t="s">
        <v>284</v>
      </c>
    </row>
    <row r="26" spans="1:8" ht="111" x14ac:dyDescent="0.25">
      <c r="A26" s="813"/>
      <c r="B26" s="775"/>
      <c r="C26" s="505" t="s">
        <v>12</v>
      </c>
      <c r="D26" s="374" t="s">
        <v>301</v>
      </c>
      <c r="E26" s="410"/>
      <c r="F26" s="404" t="s">
        <v>305</v>
      </c>
      <c r="G26" s="410" t="s">
        <v>274</v>
      </c>
      <c r="H26" s="403" t="s">
        <v>308</v>
      </c>
    </row>
    <row r="27" spans="1:8" ht="111" x14ac:dyDescent="0.25">
      <c r="A27" s="813"/>
      <c r="B27" s="775"/>
      <c r="C27" s="505" t="s">
        <v>13</v>
      </c>
      <c r="D27" s="374" t="s">
        <v>295</v>
      </c>
      <c r="E27" s="442"/>
      <c r="F27" s="404" t="s">
        <v>306</v>
      </c>
      <c r="G27" s="402" t="s">
        <v>307</v>
      </c>
      <c r="H27" s="473" t="s">
        <v>274</v>
      </c>
    </row>
    <row r="28" spans="1:8" ht="51" customHeight="1" thickBot="1" x14ac:dyDescent="0.3">
      <c r="A28" s="814"/>
      <c r="B28" s="777"/>
      <c r="C28" s="506" t="s">
        <v>15</v>
      </c>
      <c r="D28" s="217"/>
      <c r="E28" s="468"/>
      <c r="F28" s="457"/>
      <c r="G28" s="457"/>
      <c r="H28" s="459"/>
    </row>
    <row r="29" spans="1:8" ht="104.25" customHeight="1" x14ac:dyDescent="0.25">
      <c r="A29" s="802" t="s">
        <v>4</v>
      </c>
      <c r="B29" s="803">
        <f>B24+1</f>
        <v>46325</v>
      </c>
      <c r="C29" s="480" t="s">
        <v>10</v>
      </c>
      <c r="D29" s="293" t="s">
        <v>259</v>
      </c>
      <c r="E29" s="294" t="s">
        <v>274</v>
      </c>
      <c r="F29" s="294" t="s">
        <v>255</v>
      </c>
      <c r="G29" s="361" t="s">
        <v>256</v>
      </c>
      <c r="H29" s="295"/>
    </row>
    <row r="30" spans="1:8" ht="129.75" customHeight="1" x14ac:dyDescent="0.25">
      <c r="A30" s="802"/>
      <c r="B30" s="775"/>
      <c r="C30" s="490" t="s">
        <v>11</v>
      </c>
      <c r="D30" s="283" t="s">
        <v>247</v>
      </c>
      <c r="E30" s="474" t="s">
        <v>305</v>
      </c>
      <c r="F30" s="247" t="s">
        <v>255</v>
      </c>
      <c r="G30" s="460" t="s">
        <v>256</v>
      </c>
      <c r="H30" s="284"/>
    </row>
    <row r="31" spans="1:8" ht="93" customHeight="1" x14ac:dyDescent="0.25">
      <c r="A31" s="802"/>
      <c r="B31" s="775"/>
      <c r="C31" s="490" t="s">
        <v>12</v>
      </c>
      <c r="D31" s="281" t="s">
        <v>274</v>
      </c>
      <c r="E31" s="248" t="s">
        <v>236</v>
      </c>
      <c r="F31" s="279" t="s">
        <v>249</v>
      </c>
      <c r="G31" s="248" t="s">
        <v>251</v>
      </c>
      <c r="H31" s="282" t="s">
        <v>262</v>
      </c>
    </row>
    <row r="32" spans="1:8" ht="111" x14ac:dyDescent="0.25">
      <c r="A32" s="802"/>
      <c r="B32" s="775"/>
      <c r="C32" s="490" t="s">
        <v>13</v>
      </c>
      <c r="D32" s="569" t="s">
        <v>309</v>
      </c>
      <c r="E32" s="248" t="s">
        <v>236</v>
      </c>
      <c r="F32" s="248" t="s">
        <v>275</v>
      </c>
      <c r="G32" s="319" t="s">
        <v>262</v>
      </c>
      <c r="H32" s="282" t="s">
        <v>252</v>
      </c>
    </row>
    <row r="33" spans="1:8" ht="57" customHeight="1" thickBot="1" x14ac:dyDescent="0.3">
      <c r="A33" s="807"/>
      <c r="B33" s="775"/>
      <c r="C33" s="481" t="s">
        <v>15</v>
      </c>
      <c r="D33" s="285"/>
      <c r="E33" s="286"/>
      <c r="F33" s="286"/>
      <c r="G33" s="286"/>
      <c r="H33" s="287"/>
    </row>
    <row r="34" spans="1:8" ht="39" customHeight="1" x14ac:dyDescent="0.25">
      <c r="A34" s="775" t="s">
        <v>47</v>
      </c>
      <c r="B34" s="798">
        <f>B29+1</f>
        <v>46326</v>
      </c>
      <c r="C34" s="511" t="s">
        <v>10</v>
      </c>
      <c r="D34" s="421"/>
      <c r="E34" s="422"/>
      <c r="F34" s="422"/>
      <c r="G34" s="422"/>
      <c r="H34" s="423"/>
    </row>
    <row r="35" spans="1:8" ht="39" customHeight="1" x14ac:dyDescent="0.25">
      <c r="A35" s="775"/>
      <c r="B35" s="775"/>
      <c r="C35" s="490" t="s">
        <v>11</v>
      </c>
      <c r="D35" s="262"/>
      <c r="E35" s="141"/>
      <c r="F35" s="141"/>
      <c r="G35" s="142"/>
      <c r="H35" s="263"/>
    </row>
    <row r="36" spans="1:8" ht="39" customHeight="1" x14ac:dyDescent="0.25">
      <c r="A36" s="775"/>
      <c r="B36" s="775"/>
      <c r="C36" s="490" t="s">
        <v>12</v>
      </c>
      <c r="D36" s="262"/>
      <c r="E36" s="141"/>
      <c r="F36" s="390"/>
      <c r="G36" s="141"/>
      <c r="H36" s="391"/>
    </row>
    <row r="37" spans="1:8" ht="39" customHeight="1" x14ac:dyDescent="0.25">
      <c r="A37" s="775"/>
      <c r="B37" s="775"/>
      <c r="C37" s="490" t="s">
        <v>13</v>
      </c>
      <c r="D37" s="147"/>
      <c r="E37" s="142"/>
      <c r="F37" s="142"/>
      <c r="G37" s="141"/>
      <c r="H37" s="148"/>
    </row>
    <row r="38" spans="1:8" ht="39" customHeight="1" thickBot="1" x14ac:dyDescent="0.3">
      <c r="A38" s="777"/>
      <c r="B38" s="777"/>
      <c r="C38" s="512" t="s">
        <v>15</v>
      </c>
      <c r="D38" s="149"/>
      <c r="E38" s="100"/>
      <c r="F38" s="100"/>
      <c r="G38" s="100"/>
      <c r="H38" s="113"/>
    </row>
    <row r="39" spans="1:8" ht="30.75" x14ac:dyDescent="0.3">
      <c r="A39" s="2"/>
      <c r="B39" s="2"/>
      <c r="C39" s="44"/>
      <c r="D39" s="191" t="s">
        <v>82</v>
      </c>
      <c r="E39" s="44"/>
      <c r="F39" s="44"/>
      <c r="G39" s="44"/>
      <c r="H39" s="44"/>
    </row>
    <row r="40" spans="1:8" s="19" customFormat="1" ht="18.75" x14ac:dyDescent="0.3">
      <c r="A40" s="18"/>
      <c r="B40" s="18"/>
      <c r="C40" s="38" t="str">
        <f>'01.09'!C39</f>
        <v>*Л. Физиология человека*</v>
      </c>
      <c r="D40" s="42">
        <f>'19.10'!D40+COUNTIF(D$8:D$38,$C40)</f>
        <v>10</v>
      </c>
      <c r="E40" s="42">
        <f>'19.10'!E40+COUNTIF(E$8:E$38,$C40)</f>
        <v>10</v>
      </c>
      <c r="F40" s="42">
        <f>'19.10'!F40+COUNTIF(F$8:F$38,$C40)</f>
        <v>10</v>
      </c>
      <c r="G40" s="42">
        <f>'19.10'!G40+COUNTIF(G$8:G$38,$C40)</f>
        <v>10</v>
      </c>
      <c r="H40" s="42">
        <f>'19.10'!H40+COUNTIF(H$8:H$38,$C40)</f>
        <v>10</v>
      </c>
    </row>
    <row r="41" spans="1:8" s="19" customFormat="1" ht="18.75" x14ac:dyDescent="0.3">
      <c r="A41" s="18"/>
      <c r="B41" s="18"/>
      <c r="C41" s="38" t="str">
        <f>'01.09'!C40</f>
        <v>*Пр. Физиология человека*</v>
      </c>
      <c r="D41" s="43">
        <f>'19.10'!D41+COUNTIF(D$8:D$38,$C41)</f>
        <v>16</v>
      </c>
      <c r="E41" s="43">
        <f>'19.10'!E41+COUNTIF(E$8:E$38,$C41)</f>
        <v>16</v>
      </c>
      <c r="F41" s="43">
        <f>'19.10'!F41+COUNTIF(F$8:F$38,$C41)</f>
        <v>16</v>
      </c>
      <c r="G41" s="43">
        <f>'19.10'!G41+COUNTIF(G$8:G$38,$C41)</f>
        <v>16</v>
      </c>
      <c r="H41" s="43">
        <f>'19.10'!H41+COUNTIF(H$8:H$38,$C41)</f>
        <v>16</v>
      </c>
    </row>
    <row r="42" spans="1:8" s="19" customFormat="1" ht="18.75" x14ac:dyDescent="0.3">
      <c r="A42" s="18"/>
      <c r="B42" s="18"/>
      <c r="C42" s="38" t="str">
        <f>'01.09'!C41</f>
        <v>*Л. Элективные дисциплины по ФКиС: Фехтование*</v>
      </c>
      <c r="D42" s="42">
        <f>'19.10'!D42+COUNTIF(D$8:D$38,$C42)</f>
        <v>1</v>
      </c>
      <c r="E42" s="42">
        <f>'19.10'!E42+COUNTIF(E$8:E$38,$C42)</f>
        <v>1</v>
      </c>
      <c r="F42" s="42">
        <f>'19.10'!F42+COUNTIF(F$8:F$38,$C42)</f>
        <v>1</v>
      </c>
      <c r="G42" s="42">
        <f>'19.10'!G42+COUNTIF(G$8:G$38,$C42)</f>
        <v>1</v>
      </c>
      <c r="H42" s="42">
        <f>'19.10'!H42+COUNTIF(H$8:H$38,$C42)</f>
        <v>1</v>
      </c>
    </row>
    <row r="43" spans="1:8" s="19" customFormat="1" ht="18.75" x14ac:dyDescent="0.3">
      <c r="A43" s="18"/>
      <c r="B43" s="18"/>
      <c r="C43" s="38" t="str">
        <f>'01.09'!C42</f>
        <v>*Пр. Элективные дисциплины по ФКиС: Фехтование*</v>
      </c>
      <c r="D43" s="43">
        <f>'19.10'!D43+COUNTIF(D$8:D$38,$C43)</f>
        <v>4</v>
      </c>
      <c r="E43" s="43">
        <f>'19.10'!E43+COUNTIF(E$8:E$38,$C43)</f>
        <v>4</v>
      </c>
      <c r="F43" s="43">
        <f>'19.10'!F43+COUNTIF(F$8:F$38,$C43)</f>
        <v>4</v>
      </c>
      <c r="G43" s="43">
        <f>'19.10'!G43+COUNTIF(G$8:G$38,$C43)</f>
        <v>4</v>
      </c>
      <c r="H43" s="43">
        <f>'19.10'!H43+COUNTIF(H$8:H$38,$C43)</f>
        <v>4</v>
      </c>
    </row>
    <row r="44" spans="1:8" s="19" customFormat="1" ht="18.75" x14ac:dyDescent="0.3">
      <c r="A44" s="18"/>
      <c r="B44" s="18"/>
      <c r="C44" s="38" t="str">
        <f>'01.09'!C43</f>
        <v>*Л. Педагогика физической культуры и спорта*</v>
      </c>
      <c r="D44" s="42">
        <f>'19.10'!D44+COUNTIF(D$8:D$38,$C44)</f>
        <v>5</v>
      </c>
      <c r="E44" s="42">
        <f>'19.10'!E44+COUNTIF(E$8:E$38,$C44)</f>
        <v>5</v>
      </c>
      <c r="F44" s="42">
        <f>'19.10'!F44+COUNTIF(F$8:F$38,$C44)</f>
        <v>5</v>
      </c>
      <c r="G44" s="42">
        <f>'19.10'!G44+COUNTIF(G$8:G$38,$C44)</f>
        <v>5</v>
      </c>
      <c r="H44" s="42">
        <f>'19.10'!H44+COUNTIF(H$8:H$38,$C44)</f>
        <v>5</v>
      </c>
    </row>
    <row r="45" spans="1:8" s="19" customFormat="1" ht="18.75" x14ac:dyDescent="0.3">
      <c r="A45" s="18"/>
      <c r="B45" s="18"/>
      <c r="C45" s="38" t="str">
        <f>'01.09'!C44</f>
        <v>*Пр. Педагогика физической культуры и спорта*</v>
      </c>
      <c r="D45" s="43">
        <f>'19.10'!D45+COUNTIF(D$8:D$38,$C45)</f>
        <v>4</v>
      </c>
      <c r="E45" s="43">
        <f>'19.10'!E45+COUNTIF(E$8:E$38,$C45)</f>
        <v>4</v>
      </c>
      <c r="F45" s="43">
        <f>'19.10'!F45+COUNTIF(F$8:F$38,$C45)</f>
        <v>4</v>
      </c>
      <c r="G45" s="43">
        <f>'19.10'!G45+COUNTIF(G$8:G$38,$C45)</f>
        <v>4</v>
      </c>
      <c r="H45" s="43">
        <f>'19.10'!H45+COUNTIF(H$8:H$38,$C45)</f>
        <v>3</v>
      </c>
    </row>
    <row r="46" spans="1:8" s="19" customFormat="1" ht="18.75" x14ac:dyDescent="0.3">
      <c r="A46" s="18"/>
      <c r="B46" s="18"/>
      <c r="C46" s="38" t="str">
        <f>'01.09'!C45</f>
        <v>*Л. Теория и методика*</v>
      </c>
      <c r="D46" s="42">
        <f>'19.10'!D46+COUNTIF(D$8:D$38,$C46)</f>
        <v>4</v>
      </c>
      <c r="E46" s="42">
        <f>'19.10'!E46+COUNTIF(E$8:E$38,$C46)</f>
        <v>4</v>
      </c>
      <c r="F46" s="42">
        <f>'19.10'!F46+COUNTIF(F$8:F$38,$C46)</f>
        <v>4</v>
      </c>
      <c r="G46" s="42">
        <f>'19.10'!G46+COUNTIF(G$8:G$38,$C46)</f>
        <v>4</v>
      </c>
      <c r="H46" s="42">
        <f>'19.10'!H46+COUNTIF(H$8:H$38,$C46)</f>
        <v>4</v>
      </c>
    </row>
    <row r="47" spans="1:8" s="19" customFormat="1" ht="18.75" x14ac:dyDescent="0.3">
      <c r="A47" s="18"/>
      <c r="B47" s="18"/>
      <c r="C47" s="38" t="str">
        <f>'01.09'!C46</f>
        <v>*Пр. Теория и методика*</v>
      </c>
      <c r="D47" s="43">
        <f>'19.10'!D47+COUNTIF(D$8:D$38,$C47)</f>
        <v>21</v>
      </c>
      <c r="E47" s="43">
        <f>'19.10'!E47+COUNTIF(E$8:E$38,$C47)</f>
        <v>21</v>
      </c>
      <c r="F47" s="43">
        <f>'19.10'!F47+COUNTIF(F$8:F$38,$C47)</f>
        <v>21</v>
      </c>
      <c r="G47" s="43">
        <f>'19.10'!G47+COUNTIF(G$8:G$38,$C47)</f>
        <v>21</v>
      </c>
      <c r="H47" s="43">
        <f>'19.10'!H47+COUNTIF(H$8:H$38,$C47)</f>
        <v>21</v>
      </c>
    </row>
    <row r="48" spans="1:8" s="19" customFormat="1" ht="18.75" x14ac:dyDescent="0.3">
      <c r="A48" s="18"/>
      <c r="B48" s="18"/>
      <c r="C48" s="38" t="str">
        <f>'01.09'!C47</f>
        <v>*Л.  Теория и методика физической культуры*</v>
      </c>
      <c r="D48" s="42">
        <f>'19.10'!D48+COUNTIF(D$8:D$38,$C48)</f>
        <v>8</v>
      </c>
      <c r="E48" s="42">
        <f>'19.10'!E48+COUNTIF(E$8:E$38,$C48)</f>
        <v>8</v>
      </c>
      <c r="F48" s="42">
        <f>'19.10'!F48+COUNTIF(F$8:F$38,$C48)</f>
        <v>8</v>
      </c>
      <c r="G48" s="42">
        <f>'19.10'!G48+COUNTIF(G$8:G$38,$C48)</f>
        <v>8</v>
      </c>
      <c r="H48" s="42">
        <f>'19.10'!H48+COUNTIF(H$8:H$38,$C48)</f>
        <v>8</v>
      </c>
    </row>
    <row r="49" spans="1:8" s="19" customFormat="1" ht="18.75" x14ac:dyDescent="0.3">
      <c r="A49" s="18"/>
      <c r="B49" s="18"/>
      <c r="C49" s="38" t="str">
        <f>'01.09'!C48</f>
        <v>*Пр.  Теория и методика физической культуры*</v>
      </c>
      <c r="D49" s="43">
        <f>'19.10'!D49+COUNTIF(D$8:D$38,$C49)</f>
        <v>4</v>
      </c>
      <c r="E49" s="43">
        <f>'19.10'!E49+COUNTIF(E$8:E$38,$C49)</f>
        <v>4</v>
      </c>
      <c r="F49" s="43">
        <f>'19.10'!F49+COUNTIF(F$8:F$38,$C49)</f>
        <v>4</v>
      </c>
      <c r="G49" s="43">
        <f>'19.10'!G49+COUNTIF(G$8:G$38,$C49)</f>
        <v>4</v>
      </c>
      <c r="H49" s="43">
        <f>'19.10'!H49+COUNTIF(H$8:H$38,$C49)</f>
        <v>4</v>
      </c>
    </row>
    <row r="50" spans="1:8" s="19" customFormat="1" ht="18.75" x14ac:dyDescent="0.3">
      <c r="A50" s="18"/>
      <c r="B50" s="18"/>
      <c r="C50" s="38" t="str">
        <f>'01.09'!C49</f>
        <v>*Л. Плавание*</v>
      </c>
      <c r="D50" s="42">
        <f>'19.10'!D50+COUNTIF(D$8:D$38,$C50)</f>
        <v>2</v>
      </c>
      <c r="E50" s="42">
        <f>'19.10'!E50+COUNTIF(E$8:E$38,$C50)</f>
        <v>2</v>
      </c>
      <c r="F50" s="42">
        <f>'19.10'!F50+COUNTIF(F$8:F$38,$C50)</f>
        <v>2</v>
      </c>
      <c r="G50" s="42">
        <f>'19.10'!G50+COUNTIF(G$8:G$38,$C50)</f>
        <v>2</v>
      </c>
      <c r="H50" s="42">
        <f>'19.10'!H50+COUNTIF(H$8:H$38,$C50)</f>
        <v>2</v>
      </c>
    </row>
    <row r="51" spans="1:8" s="19" customFormat="1" ht="18.75" x14ac:dyDescent="0.3">
      <c r="A51" s="18"/>
      <c r="B51" s="18"/>
      <c r="C51" s="38" t="str">
        <f>'01.09'!C50</f>
        <v>*Пр. Плавание*</v>
      </c>
      <c r="D51" s="43">
        <f>'19.10'!D51+COUNTIF(D$8:D$38,$C51)</f>
        <v>16</v>
      </c>
      <c r="E51" s="43">
        <f>'19.10'!E51+COUNTIF(E$8:E$38,$C51)</f>
        <v>16</v>
      </c>
      <c r="F51" s="43">
        <f>'19.10'!F51+COUNTIF(F$8:F$38,$C51)</f>
        <v>16</v>
      </c>
      <c r="G51" s="43">
        <f>'19.10'!G51+COUNTIF(G$8:G$38,$C51)</f>
        <v>16</v>
      </c>
      <c r="H51" s="43">
        <f>'19.10'!H51+COUNTIF(H$8:H$38,$C51)</f>
        <v>16</v>
      </c>
    </row>
    <row r="52" spans="1:8" s="19" customFormat="1" ht="18.75" x14ac:dyDescent="0.3">
      <c r="A52" s="18"/>
      <c r="B52" s="18"/>
      <c r="C52" s="38" t="str">
        <f>'01.09'!C51</f>
        <v>*Л. Подвижные игры в спорте и образовании*</v>
      </c>
      <c r="D52" s="42">
        <f>'19.10'!D52+COUNTIF(D$8:D$38,$C52)</f>
        <v>1</v>
      </c>
      <c r="E52" s="42">
        <f>'19.10'!E52+COUNTIF(E$8:E$38,$C52)</f>
        <v>1</v>
      </c>
      <c r="F52" s="42">
        <f>'19.10'!F52+COUNTIF(F$8:F$38,$C52)</f>
        <v>1</v>
      </c>
      <c r="G52" s="42">
        <f>'19.10'!G52+COUNTIF(G$8:G$38,$C52)</f>
        <v>1</v>
      </c>
      <c r="H52" s="42">
        <f>'19.10'!H52+COUNTIF(H$8:H$38,$C52)</f>
        <v>1</v>
      </c>
    </row>
    <row r="53" spans="1:8" s="19" customFormat="1" ht="18.75" x14ac:dyDescent="0.3">
      <c r="A53" s="18"/>
      <c r="B53" s="18"/>
      <c r="C53" s="38" t="str">
        <f>'01.09'!C52</f>
        <v>*Пр. Подвижные игры в спорте и образовании*</v>
      </c>
      <c r="D53" s="43">
        <f>'19.10'!D53+COUNTIF(D$8:D$38,$C53)</f>
        <v>8</v>
      </c>
      <c r="E53" s="43">
        <f>'19.10'!E53+COUNTIF(E$8:E$38,$C53)</f>
        <v>8</v>
      </c>
      <c r="F53" s="43">
        <f>'19.10'!F53+COUNTIF(F$8:F$38,$C53)</f>
        <v>8</v>
      </c>
      <c r="G53" s="43">
        <f>'19.10'!G53+COUNTIF(G$8:G$38,$C53)</f>
        <v>8</v>
      </c>
      <c r="H53" s="43">
        <f>'19.10'!H53+COUNTIF(H$8:H$38,$C53)</f>
        <v>8</v>
      </c>
    </row>
    <row r="54" spans="1:8" s="19" customFormat="1" ht="18.75" x14ac:dyDescent="0.3">
      <c r="A54" s="18"/>
      <c r="B54" s="18"/>
      <c r="C54" s="38" t="str">
        <f>'01.09'!C53</f>
        <v>*Л. Самооборона (самбо)*</v>
      </c>
      <c r="D54" s="42">
        <f>'19.10'!D54+COUNTIF(D$8:D$38,$C54)</f>
        <v>1</v>
      </c>
      <c r="E54" s="42">
        <f>'19.10'!E54+COUNTIF(E$8:E$38,$C54)</f>
        <v>1</v>
      </c>
      <c r="F54" s="42">
        <f>'19.10'!F54+COUNTIF(F$8:F$38,$C54)</f>
        <v>1</v>
      </c>
      <c r="G54" s="42">
        <f>'19.10'!G54+COUNTIF(G$8:G$38,$C54)</f>
        <v>1</v>
      </c>
      <c r="H54" s="42">
        <f>'19.10'!H54+COUNTIF(H$8:H$38,$C54)</f>
        <v>1</v>
      </c>
    </row>
    <row r="55" spans="1:8" s="19" customFormat="1" ht="18.75" x14ac:dyDescent="0.3">
      <c r="A55" s="18"/>
      <c r="B55" s="18"/>
      <c r="C55" s="38" t="str">
        <f>'01.09'!C54</f>
        <v>*Пр. Самооборона (самбо)*</v>
      </c>
      <c r="D55" s="43">
        <f>'19.10'!D55+COUNTIF(D$8:D$38,$C55)</f>
        <v>8</v>
      </c>
      <c r="E55" s="43">
        <f>'19.10'!E55+COUNTIF(E$8:E$38,$C55)</f>
        <v>8</v>
      </c>
      <c r="F55" s="43">
        <f>'19.10'!F55+COUNTIF(F$8:F$38,$C55)</f>
        <v>8</v>
      </c>
      <c r="G55" s="43">
        <f>'19.10'!G55+COUNTIF(G$8:G$38,$C55)</f>
        <v>8</v>
      </c>
      <c r="H55" s="43">
        <f>'19.10'!H55+COUNTIF(H$8:H$38,$C55)</f>
        <v>8</v>
      </c>
    </row>
    <row r="56" spans="1:8" s="19" customFormat="1" ht="18.75" x14ac:dyDescent="0.3">
      <c r="A56" s="18"/>
      <c r="B56" s="18"/>
      <c r="C56" s="38" t="str">
        <f>'01.09'!C55</f>
        <v>*Л. Методика реализации программ*</v>
      </c>
      <c r="D56" s="42">
        <f>'19.10'!D56+COUNTIF(D$8:D$38,$C56)</f>
        <v>3</v>
      </c>
      <c r="E56" s="42">
        <f>'19.10'!E56+COUNTIF(E$8:E$38,$C56)</f>
        <v>3</v>
      </c>
      <c r="F56" s="42">
        <f>'19.10'!F56+COUNTIF(F$8:F$38,$C56)</f>
        <v>3</v>
      </c>
      <c r="G56" s="42">
        <f>'19.10'!G56+COUNTIF(G$8:G$38,$C56)</f>
        <v>3</v>
      </c>
      <c r="H56" s="42">
        <f>'19.10'!H56+COUNTIF(H$8:H$38,$C56)</f>
        <v>3</v>
      </c>
    </row>
    <row r="57" spans="1:8" s="19" customFormat="1" ht="18.75" x14ac:dyDescent="0.3">
      <c r="A57" s="18"/>
      <c r="B57" s="18"/>
      <c r="C57" s="38" t="str">
        <f>'01.09'!C56</f>
        <v>*Пр. Методика реализации программ*</v>
      </c>
      <c r="D57" s="43">
        <f>'19.10'!D57+COUNTIF(D$8:D$38,$C57)</f>
        <v>4</v>
      </c>
      <c r="E57" s="43">
        <f>'19.10'!E57+COUNTIF(E$8:E$38,$C57)</f>
        <v>4</v>
      </c>
      <c r="F57" s="43">
        <f>'19.10'!F57+COUNTIF(F$8:F$38,$C57)</f>
        <v>4</v>
      </c>
      <c r="G57" s="43">
        <f>'19.10'!G57+COUNTIF(G$8:G$38,$C57)</f>
        <v>4</v>
      </c>
      <c r="H57" s="43">
        <f>'19.10'!H57+COUNTIF(H$8:H$38,$C57)</f>
        <v>4</v>
      </c>
    </row>
    <row r="58" spans="1:8" s="19" customFormat="1" ht="18.75" x14ac:dyDescent="0.3">
      <c r="A58" s="18"/>
      <c r="B58" s="18"/>
      <c r="C58" s="38" t="str">
        <f>'01.09'!C57</f>
        <v>*Л. Методика преподавания*</v>
      </c>
      <c r="D58" s="42">
        <f>'19.10'!D58+COUNTIF(D$8:D$38,$C58)</f>
        <v>3</v>
      </c>
      <c r="E58" s="42">
        <f>'19.10'!E58+COUNTIF(E$8:E$38,$C58)</f>
        <v>3</v>
      </c>
      <c r="F58" s="42">
        <f>'19.10'!F58+COUNTIF(F$8:F$38,$C58)</f>
        <v>3</v>
      </c>
      <c r="G58" s="42">
        <f>'19.10'!G58+COUNTIF(G$8:G$38,$C58)</f>
        <v>3</v>
      </c>
      <c r="H58" s="42">
        <f>'19.10'!H58+COUNTIF(H$8:H$38,$C58)</f>
        <v>3</v>
      </c>
    </row>
    <row r="59" spans="1:8" s="19" customFormat="1" ht="18.75" x14ac:dyDescent="0.3">
      <c r="A59" s="18"/>
      <c r="B59" s="18"/>
      <c r="C59" s="38" t="str">
        <f>'01.09'!C58</f>
        <v>*Пр. Методика преподавания*</v>
      </c>
      <c r="D59" s="43">
        <f>'19.10'!D59+COUNTIF(D$8:D$38,$C59)</f>
        <v>4</v>
      </c>
      <c r="E59" s="43">
        <f>'19.10'!E59+COUNTIF(E$8:E$38,$C59)</f>
        <v>4</v>
      </c>
      <c r="F59" s="43">
        <f>'19.10'!F59+COUNTIF(F$8:F$38,$C59)</f>
        <v>4</v>
      </c>
      <c r="G59" s="43">
        <f>'19.10'!G59+COUNTIF(G$8:G$38,$C59)</f>
        <v>4</v>
      </c>
      <c r="H59" s="43">
        <f>'19.10'!H59+COUNTIF(H$8:H$38,$C59)</f>
        <v>4</v>
      </c>
    </row>
    <row r="60" spans="1:8" s="19" customFormat="1" ht="18.75" x14ac:dyDescent="0.3">
      <c r="A60" s="18"/>
      <c r="B60" s="18"/>
      <c r="C60" s="38">
        <f>'01.09'!C59</f>
        <v>0</v>
      </c>
      <c r="D60" s="42">
        <f>'19.10'!D60+COUNTIF(D$8:D$38,$C60)</f>
        <v>0</v>
      </c>
      <c r="E60" s="42">
        <f>'19.10'!E60+COUNTIF(E$8:E$38,$C60)</f>
        <v>0</v>
      </c>
      <c r="F60" s="42">
        <f>'19.10'!F60+COUNTIF(F$8:F$38,$C60)</f>
        <v>0</v>
      </c>
      <c r="G60" s="42">
        <f>'19.10'!G60+COUNTIF(G$8:G$38,$C60)</f>
        <v>0</v>
      </c>
      <c r="H60" s="42">
        <f>'19.10'!H60+COUNTIF(H$8:H$38,$C60)</f>
        <v>0</v>
      </c>
    </row>
    <row r="61" spans="1:8" s="19" customFormat="1" ht="18.75" x14ac:dyDescent="0.3">
      <c r="A61" s="18"/>
      <c r="B61" s="18"/>
      <c r="C61" s="38">
        <f>'01.09'!C60</f>
        <v>0</v>
      </c>
      <c r="D61" s="43">
        <f>'19.10'!D61+COUNTIF(D$8:D$38,$C61)</f>
        <v>0</v>
      </c>
      <c r="E61" s="43">
        <f>'19.10'!E61+COUNTIF(E$8:E$38,$C61)</f>
        <v>0</v>
      </c>
      <c r="F61" s="43">
        <f>'19.10'!F61+COUNTIF(F$8:F$38,$C61)</f>
        <v>0</v>
      </c>
      <c r="G61" s="43">
        <f>'19.10'!G61+COUNTIF(G$8:G$38,$C61)</f>
        <v>0</v>
      </c>
      <c r="H61" s="43">
        <f>'19.10'!H61+COUNTIF(H$8:H$38,$C61)</f>
        <v>0</v>
      </c>
    </row>
    <row r="62" spans="1:8" ht="18.75" x14ac:dyDescent="0.3">
      <c r="A62" s="2"/>
      <c r="B62" s="2"/>
      <c r="C62" s="38">
        <f>'01.09'!C61</f>
        <v>0</v>
      </c>
      <c r="D62" s="42">
        <f>'19.10'!D62+COUNTIF(D$8:D$38,$C62)</f>
        <v>0</v>
      </c>
      <c r="E62" s="42">
        <f>'19.10'!E62+COUNTIF(E$8:E$38,$C62)</f>
        <v>0</v>
      </c>
      <c r="F62" s="42">
        <f>'19.10'!F62+COUNTIF(F$8:F$38,$C62)</f>
        <v>0</v>
      </c>
      <c r="G62" s="42">
        <f>'19.10'!G62+COUNTIF(G$8:G$38,$C62)</f>
        <v>0</v>
      </c>
      <c r="H62" s="42">
        <f>'19.10'!H62+COUNTIF(H$8:H$38,$C62)</f>
        <v>0</v>
      </c>
    </row>
    <row r="63" spans="1:8" ht="18.75" x14ac:dyDescent="0.3">
      <c r="A63" s="2"/>
      <c r="B63" s="2"/>
      <c r="C63" s="38">
        <f>'01.09'!C62</f>
        <v>0</v>
      </c>
      <c r="D63" s="43">
        <f>'19.10'!D63+COUNTIF(D$8:D$38,$C63)</f>
        <v>0</v>
      </c>
      <c r="E63" s="43">
        <f>'19.10'!E63+COUNTIF(E$8:E$38,$C63)</f>
        <v>0</v>
      </c>
      <c r="F63" s="43">
        <f>'19.10'!F63+COUNTIF(F$8:F$38,$C63)</f>
        <v>0</v>
      </c>
      <c r="G63" s="43">
        <f>'19.10'!G63+COUNTIF(G$8:G$38,$C63)</f>
        <v>0</v>
      </c>
      <c r="H63" s="43">
        <f>'19.10'!H63+COUNTIF(H$8:H$38,$C63)</f>
        <v>0</v>
      </c>
    </row>
    <row r="64" spans="1:8" ht="18.75" x14ac:dyDescent="0.3">
      <c r="A64" s="2"/>
      <c r="B64" s="2"/>
      <c r="C64" s="38">
        <f>'01.09'!C63</f>
        <v>0</v>
      </c>
      <c r="D64" s="42">
        <f>'19.10'!D64+COUNTIF(D$8:D$38,$C64)</f>
        <v>0</v>
      </c>
      <c r="E64" s="42">
        <f>'19.10'!E64+COUNTIF(E$8:E$38,$C64)</f>
        <v>0</v>
      </c>
      <c r="F64" s="42">
        <f>'19.10'!F64+COUNTIF(F$8:F$38,$C64)</f>
        <v>0</v>
      </c>
      <c r="G64" s="42">
        <f>'19.10'!G64+COUNTIF(G$8:G$38,$C64)</f>
        <v>0</v>
      </c>
      <c r="H64" s="42">
        <f>'19.10'!H64+COUNTIF(H$8:H$38,$C64)</f>
        <v>0</v>
      </c>
    </row>
    <row r="65" spans="1:8" ht="18.75" x14ac:dyDescent="0.3">
      <c r="A65" s="2"/>
      <c r="B65" s="2"/>
      <c r="C65" s="38">
        <f>'01.09'!C64</f>
        <v>0</v>
      </c>
      <c r="D65" s="43">
        <f>'19.10'!D65+COUNTIF(D$8:D$38,$C65)</f>
        <v>0</v>
      </c>
      <c r="E65" s="43">
        <f>'19.10'!E65+COUNTIF(E$8:E$38,$C65)</f>
        <v>0</v>
      </c>
      <c r="F65" s="43">
        <f>'19.10'!F65+COUNTIF(F$8:F$38,$C65)</f>
        <v>0</v>
      </c>
      <c r="G65" s="43">
        <f>'19.10'!G65+COUNTIF(G$8:G$38,$C65)</f>
        <v>0</v>
      </c>
      <c r="H65" s="43">
        <f>'19.10'!H65+COUNTIF(H$8:H$38,$C65)</f>
        <v>0</v>
      </c>
    </row>
    <row r="66" spans="1:8" ht="18.75" x14ac:dyDescent="0.3">
      <c r="A66" s="2"/>
      <c r="B66" s="2"/>
      <c r="C66" s="38">
        <f>'01.09'!C65</f>
        <v>0</v>
      </c>
      <c r="D66" s="42">
        <f>'19.10'!D66+COUNTIF(D$8:D$38,$C66)</f>
        <v>0</v>
      </c>
      <c r="E66" s="42">
        <f>'19.10'!E66+COUNTIF(E$8:E$38,$C66)</f>
        <v>0</v>
      </c>
      <c r="F66" s="42">
        <f>'19.10'!F66+COUNTIF(F$8:F$38,$C66)</f>
        <v>0</v>
      </c>
      <c r="G66" s="42">
        <f>'19.10'!G66+COUNTIF(G$8:G$38,$C66)</f>
        <v>0</v>
      </c>
      <c r="H66" s="42">
        <f>'19.10'!H66+COUNTIF(H$8:H$38,$C66)</f>
        <v>0</v>
      </c>
    </row>
    <row r="67" spans="1:8" ht="18.75" x14ac:dyDescent="0.3">
      <c r="A67" s="2"/>
      <c r="B67" s="2"/>
      <c r="C67" s="38">
        <f>'01.09'!C66</f>
        <v>0</v>
      </c>
      <c r="D67" s="43">
        <f>'19.10'!D67+COUNTIF(D$8:D$38,$C67)</f>
        <v>0</v>
      </c>
      <c r="E67" s="43">
        <f>'19.10'!E67+COUNTIF(E$8:E$38,$C67)</f>
        <v>0</v>
      </c>
      <c r="F67" s="43">
        <f>'19.10'!F67+COUNTIF(F$8:F$38,$C67)</f>
        <v>0</v>
      </c>
      <c r="G67" s="43">
        <f>'19.10'!G67+COUNTIF(G$8:G$38,$C67)</f>
        <v>0</v>
      </c>
      <c r="H67" s="43">
        <f>'19.10'!H67+COUNTIF(H$8:H$38,$C67)</f>
        <v>0</v>
      </c>
    </row>
    <row r="68" spans="1:8" ht="18.75" x14ac:dyDescent="0.3">
      <c r="A68" s="2"/>
      <c r="B68" s="2"/>
      <c r="C68" s="38">
        <f>'01.09'!C67</f>
        <v>0</v>
      </c>
      <c r="D68" s="42">
        <f>'19.10'!D68+COUNTIF(D$8:D$38,$C68)</f>
        <v>0</v>
      </c>
      <c r="E68" s="42">
        <f>'19.10'!E68+COUNTIF(E$8:E$38,$C68)</f>
        <v>0</v>
      </c>
      <c r="F68" s="42">
        <f>'19.10'!F68+COUNTIF(F$8:F$38,$C68)</f>
        <v>0</v>
      </c>
      <c r="G68" s="42">
        <f>'19.10'!G68+COUNTIF(G$8:G$38,$C68)</f>
        <v>0</v>
      </c>
      <c r="H68" s="42">
        <f>'19.10'!H68+COUNTIF(H$8:H$38,$C68)</f>
        <v>0</v>
      </c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</sheetData>
  <mergeCells count="20">
    <mergeCell ref="B1:H1"/>
    <mergeCell ref="B2:H2"/>
    <mergeCell ref="B3:H3"/>
    <mergeCell ref="B4:H4"/>
    <mergeCell ref="B8:B12"/>
    <mergeCell ref="C6:C7"/>
    <mergeCell ref="A5:H5"/>
    <mergeCell ref="B13:B18"/>
    <mergeCell ref="A13:A18"/>
    <mergeCell ref="A8:A12"/>
    <mergeCell ref="B6:B7"/>
    <mergeCell ref="A6:A7"/>
    <mergeCell ref="A34:A38"/>
    <mergeCell ref="B34:B38"/>
    <mergeCell ref="A24:A28"/>
    <mergeCell ref="A29:A33"/>
    <mergeCell ref="B19:B23"/>
    <mergeCell ref="B24:B28"/>
    <mergeCell ref="B29:B33"/>
    <mergeCell ref="A19:A23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J72"/>
  <sheetViews>
    <sheetView view="pageBreakPreview" topLeftCell="A13" zoomScale="40" zoomScaleNormal="40" zoomScaleSheetLayoutView="40" zoomScalePageLayoutView="40" workbookViewId="0">
      <selection activeCell="D16" sqref="D16"/>
    </sheetView>
  </sheetViews>
  <sheetFormatPr defaultRowHeight="15" x14ac:dyDescent="0.25"/>
  <cols>
    <col min="1" max="2" width="4.42578125" customWidth="1"/>
    <col min="3" max="3" width="20.42578125" customWidth="1"/>
    <col min="4" max="8" width="64.85546875" customWidth="1"/>
  </cols>
  <sheetData>
    <row r="1" spans="1:8" ht="30" x14ac:dyDescent="0.3">
      <c r="A1" s="178"/>
      <c r="B1" s="760" t="s">
        <v>140</v>
      </c>
      <c r="C1" s="760"/>
      <c r="D1" s="760"/>
      <c r="E1" s="760"/>
      <c r="F1" s="760"/>
      <c r="G1" s="760"/>
      <c r="H1" s="760"/>
    </row>
    <row r="2" spans="1:8" ht="30" x14ac:dyDescent="0.3">
      <c r="A2" s="179"/>
      <c r="B2" s="760" t="s">
        <v>87</v>
      </c>
      <c r="C2" s="760"/>
      <c r="D2" s="760"/>
      <c r="E2" s="760"/>
      <c r="F2" s="760"/>
      <c r="G2" s="760"/>
      <c r="H2" s="760"/>
    </row>
    <row r="3" spans="1:8" ht="37.5" customHeight="1" x14ac:dyDescent="0.25">
      <c r="A3" s="229"/>
      <c r="B3" s="787" t="s">
        <v>81</v>
      </c>
      <c r="C3" s="787"/>
      <c r="D3" s="787"/>
      <c r="E3" s="787"/>
      <c r="F3" s="787"/>
      <c r="G3" s="787"/>
      <c r="H3" s="787"/>
    </row>
    <row r="4" spans="1:8" ht="30" x14ac:dyDescent="0.25">
      <c r="A4" s="180"/>
      <c r="B4" s="760" t="s">
        <v>142</v>
      </c>
      <c r="C4" s="760"/>
      <c r="D4" s="760"/>
      <c r="E4" s="760"/>
      <c r="F4" s="760"/>
      <c r="G4" s="760"/>
      <c r="H4" s="760"/>
    </row>
    <row r="5" spans="1:8" ht="30.75" thickBot="1" x14ac:dyDescent="0.3">
      <c r="A5" s="682" t="s">
        <v>112</v>
      </c>
      <c r="B5" s="682"/>
      <c r="C5" s="682"/>
      <c r="D5" s="682"/>
      <c r="E5" s="682"/>
      <c r="F5" s="682"/>
      <c r="G5" s="682"/>
      <c r="H5" s="682"/>
    </row>
    <row r="6" spans="1:8" ht="27.75" customHeight="1" thickBot="1" x14ac:dyDescent="0.3">
      <c r="A6" s="770" t="s">
        <v>54</v>
      </c>
      <c r="B6" s="770" t="s">
        <v>14</v>
      </c>
      <c r="C6" s="793" t="s">
        <v>55</v>
      </c>
      <c r="D6" s="241" t="s">
        <v>5</v>
      </c>
      <c r="E6" s="242" t="s">
        <v>6</v>
      </c>
      <c r="F6" s="242" t="s">
        <v>7</v>
      </c>
      <c r="G6" s="242" t="s">
        <v>8</v>
      </c>
      <c r="H6" s="243" t="s">
        <v>9</v>
      </c>
    </row>
    <row r="7" spans="1:8" ht="108.75" customHeight="1" thickBot="1" x14ac:dyDescent="0.3">
      <c r="A7" s="771"/>
      <c r="B7" s="771"/>
      <c r="C7" s="794"/>
      <c r="D7" s="300" t="s">
        <v>106</v>
      </c>
      <c r="E7" s="370" t="s">
        <v>136</v>
      </c>
      <c r="F7" s="370" t="s">
        <v>107</v>
      </c>
      <c r="G7" s="370" t="s">
        <v>90</v>
      </c>
      <c r="H7" s="449" t="s">
        <v>78</v>
      </c>
    </row>
    <row r="8" spans="1:8" ht="166.5" x14ac:dyDescent="0.25">
      <c r="A8" s="801" t="s">
        <v>0</v>
      </c>
      <c r="B8" s="816">
        <v>46328</v>
      </c>
      <c r="C8" s="205" t="s">
        <v>10</v>
      </c>
      <c r="D8" s="651" t="s">
        <v>263</v>
      </c>
      <c r="E8" s="299" t="s">
        <v>270</v>
      </c>
      <c r="F8" s="299" t="s">
        <v>237</v>
      </c>
      <c r="G8" s="361" t="s">
        <v>250</v>
      </c>
      <c r="H8" s="362" t="s">
        <v>257</v>
      </c>
    </row>
    <row r="9" spans="1:8" ht="166.5" x14ac:dyDescent="0.25">
      <c r="A9" s="802"/>
      <c r="B9" s="775"/>
      <c r="C9" s="206" t="s">
        <v>11</v>
      </c>
      <c r="D9" s="375" t="s">
        <v>263</v>
      </c>
      <c r="E9" s="383" t="s">
        <v>271</v>
      </c>
      <c r="F9" s="383" t="s">
        <v>237</v>
      </c>
      <c r="G9" s="383" t="s">
        <v>300</v>
      </c>
      <c r="H9" s="414" t="s">
        <v>252</v>
      </c>
    </row>
    <row r="10" spans="1:8" ht="83.25" x14ac:dyDescent="0.25">
      <c r="A10" s="802"/>
      <c r="B10" s="775"/>
      <c r="C10" s="206" t="s">
        <v>12</v>
      </c>
      <c r="D10" s="375" t="s">
        <v>264</v>
      </c>
      <c r="E10" s="369" t="s">
        <v>301</v>
      </c>
      <c r="F10" s="383"/>
      <c r="G10" s="460"/>
      <c r="H10" s="510"/>
    </row>
    <row r="11" spans="1:8" ht="55.5" x14ac:dyDescent="0.25">
      <c r="A11" s="802"/>
      <c r="B11" s="775"/>
      <c r="C11" s="206" t="s">
        <v>13</v>
      </c>
      <c r="D11" s="375" t="s">
        <v>264</v>
      </c>
      <c r="E11" s="383"/>
      <c r="F11" s="383"/>
      <c r="G11" s="460"/>
      <c r="H11" s="510"/>
    </row>
    <row r="12" spans="1:8" ht="27" thickBot="1" x14ac:dyDescent="0.3">
      <c r="A12" s="807"/>
      <c r="B12" s="777"/>
      <c r="C12" s="207" t="s">
        <v>15</v>
      </c>
      <c r="D12" s="363"/>
      <c r="E12" s="330"/>
      <c r="F12" s="330"/>
      <c r="G12" s="330"/>
      <c r="H12" s="350"/>
    </row>
    <row r="13" spans="1:8" ht="94.5" customHeight="1" x14ac:dyDescent="0.25">
      <c r="A13" s="802" t="s">
        <v>1</v>
      </c>
      <c r="B13" s="803">
        <f>B8+1</f>
        <v>46329</v>
      </c>
      <c r="C13" s="516" t="s">
        <v>10</v>
      </c>
      <c r="D13" s="581" t="s">
        <v>272</v>
      </c>
      <c r="E13" s="382" t="s">
        <v>272</v>
      </c>
      <c r="F13" s="382" t="s">
        <v>272</v>
      </c>
      <c r="G13" s="303" t="s">
        <v>272</v>
      </c>
      <c r="H13" s="321" t="s">
        <v>272</v>
      </c>
    </row>
    <row r="14" spans="1:8" ht="94.5" customHeight="1" x14ac:dyDescent="0.25">
      <c r="A14" s="802"/>
      <c r="B14" s="775"/>
      <c r="C14" s="495" t="s">
        <v>11</v>
      </c>
      <c r="D14" s="418" t="s">
        <v>240</v>
      </c>
      <c r="E14" s="383" t="s">
        <v>240</v>
      </c>
      <c r="F14" s="383" t="s">
        <v>240</v>
      </c>
      <c r="G14" s="279" t="s">
        <v>240</v>
      </c>
      <c r="H14" s="280" t="s">
        <v>240</v>
      </c>
    </row>
    <row r="15" spans="1:8" ht="98.25" customHeight="1" x14ac:dyDescent="0.25">
      <c r="A15" s="802"/>
      <c r="B15" s="775"/>
      <c r="C15" s="495" t="s">
        <v>12</v>
      </c>
      <c r="D15" s="517" t="s">
        <v>257</v>
      </c>
      <c r="E15" s="279" t="s">
        <v>248</v>
      </c>
      <c r="F15" s="279"/>
      <c r="G15" s="279" t="s">
        <v>238</v>
      </c>
      <c r="H15" s="510" t="s">
        <v>239</v>
      </c>
    </row>
    <row r="16" spans="1:8" ht="126" customHeight="1" x14ac:dyDescent="0.25">
      <c r="A16" s="802"/>
      <c r="B16" s="775"/>
      <c r="C16" s="487" t="s">
        <v>13</v>
      </c>
      <c r="D16" s="375" t="s">
        <v>312</v>
      </c>
      <c r="E16" s="279" t="s">
        <v>257</v>
      </c>
      <c r="F16" s="279"/>
      <c r="G16" s="279" t="s">
        <v>238</v>
      </c>
      <c r="H16" s="282" t="s">
        <v>269</v>
      </c>
    </row>
    <row r="17" spans="1:10" ht="27.75" x14ac:dyDescent="0.25">
      <c r="A17" s="802"/>
      <c r="B17" s="797"/>
      <c r="C17" s="491" t="s">
        <v>15</v>
      </c>
      <c r="D17" s="524"/>
      <c r="E17" s="546"/>
      <c r="F17" s="546"/>
      <c r="G17" s="546"/>
      <c r="H17" s="518"/>
    </row>
    <row r="18" spans="1:10" ht="28.5" thickBot="1" x14ac:dyDescent="0.3">
      <c r="A18" s="802"/>
      <c r="B18" s="797"/>
      <c r="C18" s="489" t="s">
        <v>60</v>
      </c>
      <c r="D18" s="324"/>
      <c r="E18" s="383"/>
      <c r="F18" s="325"/>
      <c r="G18" s="325"/>
      <c r="H18" s="326"/>
    </row>
    <row r="19" spans="1:10" ht="51" customHeight="1" x14ac:dyDescent="0.25">
      <c r="A19" s="801" t="s">
        <v>2</v>
      </c>
      <c r="B19" s="816">
        <f>B13+1</f>
        <v>46330</v>
      </c>
      <c r="C19" s="205" t="s">
        <v>10</v>
      </c>
      <c r="D19" s="609"/>
      <c r="E19" s="610"/>
      <c r="F19" s="610"/>
      <c r="G19" s="610"/>
      <c r="H19" s="611"/>
    </row>
    <row r="20" spans="1:10" ht="51" customHeight="1" x14ac:dyDescent="0.25">
      <c r="A20" s="802"/>
      <c r="B20" s="775"/>
      <c r="C20" s="206" t="s">
        <v>11</v>
      </c>
      <c r="D20" s="602"/>
      <c r="E20" s="526"/>
      <c r="F20" s="526"/>
      <c r="G20" s="526"/>
      <c r="H20" s="603"/>
    </row>
    <row r="21" spans="1:10" ht="51" customHeight="1" x14ac:dyDescent="0.25">
      <c r="A21" s="802"/>
      <c r="B21" s="775"/>
      <c r="C21" s="206" t="s">
        <v>12</v>
      </c>
      <c r="D21" s="536"/>
      <c r="E21" s="604"/>
      <c r="F21" s="526"/>
      <c r="G21" s="526"/>
      <c r="H21" s="538"/>
      <c r="J21" s="3"/>
    </row>
    <row r="22" spans="1:10" ht="51" customHeight="1" x14ac:dyDescent="0.25">
      <c r="A22" s="802"/>
      <c r="B22" s="775"/>
      <c r="C22" s="206" t="s">
        <v>13</v>
      </c>
      <c r="D22" s="536"/>
      <c r="E22" s="612"/>
      <c r="F22" s="526"/>
      <c r="G22" s="526"/>
      <c r="H22" s="538"/>
    </row>
    <row r="23" spans="1:10" ht="51" customHeight="1" thickBot="1" x14ac:dyDescent="0.3">
      <c r="A23" s="807"/>
      <c r="B23" s="777"/>
      <c r="C23" s="207" t="s">
        <v>15</v>
      </c>
      <c r="D23" s="605"/>
      <c r="E23" s="606"/>
      <c r="F23" s="607"/>
      <c r="G23" s="607"/>
      <c r="H23" s="608"/>
    </row>
    <row r="24" spans="1:10" ht="112.5" customHeight="1" x14ac:dyDescent="0.25">
      <c r="A24" s="801" t="s">
        <v>3</v>
      </c>
      <c r="B24" s="816">
        <f>B19+1</f>
        <v>46331</v>
      </c>
      <c r="C24" s="470" t="s">
        <v>10</v>
      </c>
      <c r="D24" s="651" t="s">
        <v>294</v>
      </c>
      <c r="E24" s="303" t="s">
        <v>248</v>
      </c>
      <c r="F24" s="299" t="s">
        <v>269</v>
      </c>
      <c r="G24" s="299" t="s">
        <v>269</v>
      </c>
      <c r="H24" s="321" t="s">
        <v>284</v>
      </c>
    </row>
    <row r="25" spans="1:10" ht="108.75" customHeight="1" x14ac:dyDescent="0.25">
      <c r="A25" s="813"/>
      <c r="B25" s="775"/>
      <c r="C25" s="471" t="s">
        <v>11</v>
      </c>
      <c r="D25" s="281" t="s">
        <v>269</v>
      </c>
      <c r="E25" s="248" t="s">
        <v>260</v>
      </c>
      <c r="F25" s="248" t="s">
        <v>237</v>
      </c>
      <c r="G25" s="248" t="s">
        <v>238</v>
      </c>
      <c r="H25" s="282" t="s">
        <v>284</v>
      </c>
    </row>
    <row r="26" spans="1:10" ht="120" customHeight="1" x14ac:dyDescent="0.25">
      <c r="A26" s="813"/>
      <c r="B26" s="775"/>
      <c r="C26" s="471" t="s">
        <v>12</v>
      </c>
      <c r="D26" s="374" t="s">
        <v>301</v>
      </c>
      <c r="E26" s="410"/>
      <c r="F26" s="404" t="s">
        <v>305</v>
      </c>
      <c r="G26" s="410" t="s">
        <v>274</v>
      </c>
      <c r="H26" s="403" t="s">
        <v>308</v>
      </c>
    </row>
    <row r="27" spans="1:10" ht="111" customHeight="1" x14ac:dyDescent="0.25">
      <c r="A27" s="813"/>
      <c r="B27" s="775"/>
      <c r="C27" s="471" t="s">
        <v>13</v>
      </c>
      <c r="D27" s="374" t="s">
        <v>295</v>
      </c>
      <c r="E27" s="442"/>
      <c r="F27" s="404" t="s">
        <v>306</v>
      </c>
      <c r="G27" s="402" t="s">
        <v>307</v>
      </c>
      <c r="H27" s="473" t="s">
        <v>274</v>
      </c>
    </row>
    <row r="28" spans="1:10" ht="72.75" customHeight="1" thickBot="1" x14ac:dyDescent="0.3">
      <c r="A28" s="814"/>
      <c r="B28" s="777"/>
      <c r="C28" s="472" t="s">
        <v>15</v>
      </c>
      <c r="D28" s="217"/>
      <c r="E28" s="468"/>
      <c r="F28" s="457"/>
      <c r="G28" s="457"/>
      <c r="H28" s="459"/>
    </row>
    <row r="29" spans="1:10" ht="93.75" customHeight="1" x14ac:dyDescent="0.25">
      <c r="A29" s="802" t="s">
        <v>4</v>
      </c>
      <c r="B29" s="803">
        <f>B24+1</f>
        <v>46332</v>
      </c>
      <c r="C29" s="470" t="s">
        <v>10</v>
      </c>
      <c r="D29" s="293" t="s">
        <v>259</v>
      </c>
      <c r="E29" s="294" t="s">
        <v>274</v>
      </c>
      <c r="F29" s="294" t="s">
        <v>255</v>
      </c>
      <c r="G29" s="361" t="s">
        <v>256</v>
      </c>
      <c r="H29" s="295"/>
    </row>
    <row r="30" spans="1:10" ht="122.25" customHeight="1" x14ac:dyDescent="0.25">
      <c r="A30" s="802"/>
      <c r="B30" s="775"/>
      <c r="C30" s="471" t="s">
        <v>11</v>
      </c>
      <c r="D30" s="283" t="s">
        <v>247</v>
      </c>
      <c r="E30" s="474" t="s">
        <v>305</v>
      </c>
      <c r="F30" s="247" t="s">
        <v>255</v>
      </c>
      <c r="G30" s="460" t="s">
        <v>256</v>
      </c>
      <c r="H30" s="284"/>
    </row>
    <row r="31" spans="1:10" ht="93.75" customHeight="1" x14ac:dyDescent="0.25">
      <c r="A31" s="802"/>
      <c r="B31" s="775"/>
      <c r="C31" s="471" t="s">
        <v>12</v>
      </c>
      <c r="D31" s="281" t="s">
        <v>274</v>
      </c>
      <c r="E31" s="248" t="s">
        <v>236</v>
      </c>
      <c r="F31" s="279" t="s">
        <v>249</v>
      </c>
      <c r="G31" s="248" t="s">
        <v>251</v>
      </c>
      <c r="H31" s="282" t="s">
        <v>262</v>
      </c>
    </row>
    <row r="32" spans="1:10" ht="111" x14ac:dyDescent="0.25">
      <c r="A32" s="802"/>
      <c r="B32" s="775"/>
      <c r="C32" s="471" t="s">
        <v>13</v>
      </c>
      <c r="D32" s="569" t="s">
        <v>309</v>
      </c>
      <c r="E32" s="248" t="s">
        <v>236</v>
      </c>
      <c r="F32" s="248" t="s">
        <v>275</v>
      </c>
      <c r="G32" s="319" t="s">
        <v>262</v>
      </c>
      <c r="H32" s="282" t="s">
        <v>252</v>
      </c>
    </row>
    <row r="33" spans="1:8" ht="93.75" customHeight="1" thickBot="1" x14ac:dyDescent="0.3">
      <c r="A33" s="807"/>
      <c r="B33" s="775"/>
      <c r="C33" s="472" t="s">
        <v>15</v>
      </c>
      <c r="D33" s="285"/>
      <c r="E33" s="286"/>
      <c r="F33" s="286"/>
      <c r="G33" s="286"/>
      <c r="H33" s="287"/>
    </row>
    <row r="34" spans="1:8" ht="40.5" customHeight="1" x14ac:dyDescent="0.25">
      <c r="A34" s="775" t="s">
        <v>47</v>
      </c>
      <c r="B34" s="798">
        <f>B29+1</f>
        <v>46333</v>
      </c>
      <c r="C34" s="205" t="s">
        <v>10</v>
      </c>
      <c r="D34" s="144"/>
      <c r="E34" s="145"/>
      <c r="F34" s="145"/>
      <c r="G34" s="145"/>
      <c r="H34" s="146"/>
    </row>
    <row r="35" spans="1:8" ht="40.5" customHeight="1" x14ac:dyDescent="0.25">
      <c r="A35" s="775"/>
      <c r="B35" s="775"/>
      <c r="C35" s="206" t="s">
        <v>11</v>
      </c>
      <c r="D35" s="262"/>
      <c r="E35" s="247"/>
      <c r="F35" s="141"/>
      <c r="G35" s="142"/>
      <c r="H35" s="263"/>
    </row>
    <row r="36" spans="1:8" ht="40.5" customHeight="1" x14ac:dyDescent="0.25">
      <c r="A36" s="775"/>
      <c r="B36" s="775"/>
      <c r="C36" s="206" t="s">
        <v>12</v>
      </c>
      <c r="D36" s="208"/>
      <c r="E36" s="264"/>
      <c r="F36" s="264"/>
      <c r="G36" s="264"/>
      <c r="H36" s="265"/>
    </row>
    <row r="37" spans="1:8" ht="40.5" customHeight="1" x14ac:dyDescent="0.25">
      <c r="A37" s="775"/>
      <c r="B37" s="775"/>
      <c r="C37" s="206" t="s">
        <v>13</v>
      </c>
      <c r="D37" s="147"/>
      <c r="E37" s="142"/>
      <c r="F37" s="142"/>
      <c r="G37" s="141"/>
      <c r="H37" s="148"/>
    </row>
    <row r="38" spans="1:8" ht="40.5" customHeight="1" thickBot="1" x14ac:dyDescent="0.3">
      <c r="A38" s="777"/>
      <c r="B38" s="777"/>
      <c r="C38" s="207" t="s">
        <v>15</v>
      </c>
      <c r="D38" s="149"/>
      <c r="E38" s="100"/>
      <c r="F38" s="100"/>
      <c r="G38" s="100"/>
      <c r="H38" s="113"/>
    </row>
    <row r="39" spans="1:8" ht="37.5" customHeight="1" x14ac:dyDescent="0.3">
      <c r="A39" s="2"/>
      <c r="B39" s="2"/>
      <c r="C39" s="44"/>
      <c r="D39" s="181" t="s">
        <v>82</v>
      </c>
      <c r="E39" s="2"/>
      <c r="F39" s="2"/>
      <c r="G39" s="2"/>
      <c r="H39" s="2"/>
    </row>
    <row r="40" spans="1:8" s="19" customFormat="1" ht="23.25" x14ac:dyDescent="0.35">
      <c r="A40" s="18"/>
      <c r="B40" s="18"/>
      <c r="C40" s="70" t="str">
        <f>'01.09'!C39</f>
        <v>*Л. Физиология человека*</v>
      </c>
      <c r="D40" s="71">
        <f>'26.10'!D40+COUNTIF(D$8:D$38,$C40)</f>
        <v>11</v>
      </c>
      <c r="E40" s="71">
        <f>'26.10'!E40+COUNTIF(E$8:E$38,$C40)</f>
        <v>11</v>
      </c>
      <c r="F40" s="71">
        <f>'26.10'!F40+COUNTIF(F$8:F$38,$C40)</f>
        <v>11</v>
      </c>
      <c r="G40" s="71">
        <f>'26.10'!G40+COUNTIF(G$8:G$38,$C40)</f>
        <v>11</v>
      </c>
      <c r="H40" s="71">
        <f>'26.10'!H40+COUNTIF(H$8:H$38,$C40)</f>
        <v>11</v>
      </c>
    </row>
    <row r="41" spans="1:8" s="19" customFormat="1" ht="23.25" x14ac:dyDescent="0.35">
      <c r="A41" s="18"/>
      <c r="B41" s="18"/>
      <c r="C41" s="70" t="str">
        <f>'01.09'!C40</f>
        <v>*Пр. Физиология человека*</v>
      </c>
      <c r="D41" s="72">
        <f>'26.10'!D41+COUNTIF(D$8:D$38,$C41)</f>
        <v>17</v>
      </c>
      <c r="E41" s="72">
        <f>'26.10'!E41+COUNTIF(E$8:E$38,$C41)</f>
        <v>18</v>
      </c>
      <c r="F41" s="72">
        <f>'26.10'!F41+COUNTIF(F$8:F$38,$C41)</f>
        <v>17</v>
      </c>
      <c r="G41" s="72">
        <f>'26.10'!G41+COUNTIF(G$8:G$38,$C41)</f>
        <v>18</v>
      </c>
      <c r="H41" s="72">
        <f>'26.10'!H41+COUNTIF(H$8:H$38,$C41)</f>
        <v>18</v>
      </c>
    </row>
    <row r="42" spans="1:8" s="19" customFormat="1" ht="23.25" x14ac:dyDescent="0.35">
      <c r="A42" s="18"/>
      <c r="B42" s="18"/>
      <c r="C42" s="70" t="str">
        <f>'01.09'!C41</f>
        <v>*Л. Элективные дисциплины по ФКиС: Фехтование*</v>
      </c>
      <c r="D42" s="71">
        <f>'26.10'!D42+COUNTIF(D$8:D$38,$C42)</f>
        <v>1</v>
      </c>
      <c r="E42" s="71">
        <f>'26.10'!E42+COUNTIF(E$8:E$38,$C42)</f>
        <v>1</v>
      </c>
      <c r="F42" s="71">
        <f>'26.10'!F42+COUNTIF(F$8:F$38,$C42)</f>
        <v>1</v>
      </c>
      <c r="G42" s="71">
        <f>'26.10'!G42+COUNTIF(G$8:G$38,$C42)</f>
        <v>1</v>
      </c>
      <c r="H42" s="71">
        <f>'26.10'!H42+COUNTIF(H$8:H$38,$C42)</f>
        <v>1</v>
      </c>
    </row>
    <row r="43" spans="1:8" s="19" customFormat="1" ht="23.25" x14ac:dyDescent="0.35">
      <c r="A43" s="18"/>
      <c r="B43" s="18"/>
      <c r="C43" s="70" t="str">
        <f>'01.09'!C42</f>
        <v>*Пр. Элективные дисциплины по ФКиС: Фехтование*</v>
      </c>
      <c r="D43" s="72">
        <f>'26.10'!D43+COUNTIF(D$8:D$38,$C43)</f>
        <v>5</v>
      </c>
      <c r="E43" s="72">
        <f>'26.10'!E43+COUNTIF(E$8:E$38,$C43)</f>
        <v>5</v>
      </c>
      <c r="F43" s="72">
        <f>'26.10'!F43+COUNTIF(F$8:F$38,$C43)</f>
        <v>5</v>
      </c>
      <c r="G43" s="72">
        <f>'26.10'!G43+COUNTIF(G$8:G$38,$C43)</f>
        <v>5</v>
      </c>
      <c r="H43" s="72">
        <f>'26.10'!H43+COUNTIF(H$8:H$38,$C43)</f>
        <v>5</v>
      </c>
    </row>
    <row r="44" spans="1:8" s="19" customFormat="1" ht="23.25" x14ac:dyDescent="0.35">
      <c r="A44" s="18"/>
      <c r="B44" s="18"/>
      <c r="C44" s="70" t="str">
        <f>'01.09'!C43</f>
        <v>*Л. Педагогика физической культуры и спорта*</v>
      </c>
      <c r="D44" s="71">
        <f>'26.10'!D44+COUNTIF(D$8:D$38,$C44)</f>
        <v>5</v>
      </c>
      <c r="E44" s="71">
        <f>'26.10'!E44+COUNTIF(E$8:E$38,$C44)</f>
        <v>5</v>
      </c>
      <c r="F44" s="71">
        <f>'26.10'!F44+COUNTIF(F$8:F$38,$C44)</f>
        <v>5</v>
      </c>
      <c r="G44" s="71">
        <f>'26.10'!G44+COUNTIF(G$8:G$38,$C44)</f>
        <v>5</v>
      </c>
      <c r="H44" s="71">
        <f>'26.10'!H44+COUNTIF(H$8:H$38,$C44)</f>
        <v>5</v>
      </c>
    </row>
    <row r="45" spans="1:8" s="19" customFormat="1" ht="23.25" x14ac:dyDescent="0.35">
      <c r="A45" s="18"/>
      <c r="B45" s="18"/>
      <c r="C45" s="70" t="str">
        <f>'01.09'!C44</f>
        <v>*Пр. Педагогика физической культуры и спорта*</v>
      </c>
      <c r="D45" s="72">
        <f>'26.10'!D45+COUNTIF(D$8:D$38,$C45)</f>
        <v>5</v>
      </c>
      <c r="E45" s="72">
        <f>'26.10'!E45+COUNTIF(E$8:E$38,$C45)</f>
        <v>4</v>
      </c>
      <c r="F45" s="72">
        <f>'26.10'!F45+COUNTIF(F$8:F$38,$C45)</f>
        <v>4</v>
      </c>
      <c r="G45" s="72">
        <f>'26.10'!G45+COUNTIF(G$8:G$38,$C45)</f>
        <v>4</v>
      </c>
      <c r="H45" s="72">
        <f>'26.10'!H45+COUNTIF(H$8:H$38,$C45)</f>
        <v>3</v>
      </c>
    </row>
    <row r="46" spans="1:8" s="19" customFormat="1" ht="23.25" x14ac:dyDescent="0.35">
      <c r="A46" s="18"/>
      <c r="B46" s="18"/>
      <c r="C46" s="70" t="str">
        <f>'01.09'!C45</f>
        <v>*Л. Теория и методика*</v>
      </c>
      <c r="D46" s="71">
        <f>'26.10'!D46+COUNTIF(D$8:D$38,$C46)</f>
        <v>4</v>
      </c>
      <c r="E46" s="71">
        <f>'26.10'!E46+COUNTIF(E$8:E$38,$C46)</f>
        <v>4</v>
      </c>
      <c r="F46" s="71">
        <f>'26.10'!F46+COUNTIF(F$8:F$38,$C46)</f>
        <v>4</v>
      </c>
      <c r="G46" s="71">
        <f>'26.10'!G46+COUNTIF(G$8:G$38,$C46)</f>
        <v>4</v>
      </c>
      <c r="H46" s="71">
        <f>'26.10'!H46+COUNTIF(H$8:H$38,$C46)</f>
        <v>4</v>
      </c>
    </row>
    <row r="47" spans="1:8" s="19" customFormat="1" ht="23.25" x14ac:dyDescent="0.35">
      <c r="A47" s="18"/>
      <c r="B47" s="18"/>
      <c r="C47" s="70" t="str">
        <f>'01.09'!C46</f>
        <v>*Пр. Теория и методика*</v>
      </c>
      <c r="D47" s="72">
        <f>'26.10'!D47+COUNTIF(D$8:D$38,$C47)</f>
        <v>24</v>
      </c>
      <c r="E47" s="72">
        <f>'26.10'!E47+COUNTIF(E$8:E$38,$C47)</f>
        <v>24</v>
      </c>
      <c r="F47" s="72">
        <f>'26.10'!F47+COUNTIF(F$8:F$38,$C47)</f>
        <v>24</v>
      </c>
      <c r="G47" s="72">
        <f>'26.10'!G47+COUNTIF(G$8:G$38,$C47)</f>
        <v>24</v>
      </c>
      <c r="H47" s="72">
        <f>'26.10'!H47+COUNTIF(H$8:H$38,$C47)</f>
        <v>22</v>
      </c>
    </row>
    <row r="48" spans="1:8" s="19" customFormat="1" ht="23.25" x14ac:dyDescent="0.35">
      <c r="A48" s="18"/>
      <c r="B48" s="18"/>
      <c r="C48" s="70" t="str">
        <f>'01.09'!C47</f>
        <v>*Л.  Теория и методика физической культуры*</v>
      </c>
      <c r="D48" s="71">
        <f>'26.10'!D48+COUNTIF(D$8:D$38,$C48)</f>
        <v>9</v>
      </c>
      <c r="E48" s="71">
        <f>'26.10'!E48+COUNTIF(E$8:E$38,$C48)</f>
        <v>9</v>
      </c>
      <c r="F48" s="71">
        <f>'26.10'!F48+COUNTIF(F$8:F$38,$C48)</f>
        <v>9</v>
      </c>
      <c r="G48" s="71">
        <f>'26.10'!G48+COUNTIF(G$8:G$38,$C48)</f>
        <v>9</v>
      </c>
      <c r="H48" s="71">
        <f>'26.10'!H48+COUNTIF(H$8:H$38,$C48)</f>
        <v>9</v>
      </c>
    </row>
    <row r="49" spans="1:8" s="19" customFormat="1" ht="23.25" x14ac:dyDescent="0.35">
      <c r="A49" s="18"/>
      <c r="B49" s="18"/>
      <c r="C49" s="70" t="str">
        <f>'01.09'!C48</f>
        <v>*Пр.  Теория и методика физической культуры*</v>
      </c>
      <c r="D49" s="72">
        <f>'26.10'!D49+COUNTIF(D$8:D$38,$C49)</f>
        <v>5</v>
      </c>
      <c r="E49" s="72">
        <f>'26.10'!E49+COUNTIF(E$8:E$38,$C49)</f>
        <v>5</v>
      </c>
      <c r="F49" s="72">
        <f>'26.10'!F49+COUNTIF(F$8:F$38,$C49)</f>
        <v>5</v>
      </c>
      <c r="G49" s="72">
        <f>'26.10'!G49+COUNTIF(G$8:G$38,$C49)</f>
        <v>4</v>
      </c>
      <c r="H49" s="72">
        <f>'26.10'!H49+COUNTIF(H$8:H$38,$C49)</f>
        <v>4</v>
      </c>
    </row>
    <row r="50" spans="1:8" s="19" customFormat="1" ht="23.25" x14ac:dyDescent="0.35">
      <c r="A50" s="18"/>
      <c r="B50" s="18"/>
      <c r="C50" s="70" t="str">
        <f>'01.09'!C49</f>
        <v>*Л. Плавание*</v>
      </c>
      <c r="D50" s="71">
        <f>'26.10'!D50+COUNTIF(D$8:D$38,$C50)</f>
        <v>2</v>
      </c>
      <c r="E50" s="71">
        <f>'26.10'!E50+COUNTIF(E$8:E$38,$C50)</f>
        <v>2</v>
      </c>
      <c r="F50" s="71">
        <f>'26.10'!F50+COUNTIF(F$8:F$38,$C50)</f>
        <v>2</v>
      </c>
      <c r="G50" s="71">
        <f>'26.10'!G50+COUNTIF(G$8:G$38,$C50)</f>
        <v>2</v>
      </c>
      <c r="H50" s="71">
        <f>'26.10'!H50+COUNTIF(H$8:H$38,$C50)</f>
        <v>2</v>
      </c>
    </row>
    <row r="51" spans="1:8" s="19" customFormat="1" ht="23.25" x14ac:dyDescent="0.35">
      <c r="A51" s="18"/>
      <c r="B51" s="18"/>
      <c r="C51" s="70" t="str">
        <f>'01.09'!C50</f>
        <v>*Пр. Плавание*</v>
      </c>
      <c r="D51" s="72">
        <f>'26.10'!D51+COUNTIF(D$8:D$38,$C51)</f>
        <v>16</v>
      </c>
      <c r="E51" s="72">
        <f>'26.10'!E51+COUNTIF(E$8:E$38,$C51)</f>
        <v>16</v>
      </c>
      <c r="F51" s="72">
        <f>'26.10'!F51+COUNTIF(F$8:F$38,$C51)</f>
        <v>18</v>
      </c>
      <c r="G51" s="72">
        <f>'26.10'!G51+COUNTIF(G$8:G$38,$C51)</f>
        <v>18</v>
      </c>
      <c r="H51" s="72">
        <f>'26.10'!H51+COUNTIF(H$8:H$38,$C51)</f>
        <v>18</v>
      </c>
    </row>
    <row r="52" spans="1:8" s="19" customFormat="1" ht="23.25" x14ac:dyDescent="0.35">
      <c r="A52" s="18"/>
      <c r="B52" s="18"/>
      <c r="C52" s="70" t="str">
        <f>'01.09'!C51</f>
        <v>*Л. Подвижные игры в спорте и образовании*</v>
      </c>
      <c r="D52" s="71">
        <f>'26.10'!D52+COUNTIF(D$8:D$38,$C52)</f>
        <v>1</v>
      </c>
      <c r="E52" s="71">
        <f>'26.10'!E52+COUNTIF(E$8:E$38,$C52)</f>
        <v>1</v>
      </c>
      <c r="F52" s="71">
        <f>'26.10'!F52+COUNTIF(F$8:F$38,$C52)</f>
        <v>1</v>
      </c>
      <c r="G52" s="71">
        <f>'26.10'!G52+COUNTIF(G$8:G$38,$C52)</f>
        <v>1</v>
      </c>
      <c r="H52" s="71">
        <f>'26.10'!H52+COUNTIF(H$8:H$38,$C52)</f>
        <v>1</v>
      </c>
    </row>
    <row r="53" spans="1:8" s="19" customFormat="1" ht="23.25" x14ac:dyDescent="0.35">
      <c r="A53" s="18"/>
      <c r="B53" s="18"/>
      <c r="C53" s="70" t="str">
        <f>'01.09'!C52</f>
        <v>*Пр. Подвижные игры в спорте и образовании*</v>
      </c>
      <c r="D53" s="72">
        <f>'26.10'!D53+COUNTIF(D$8:D$38,$C53)</f>
        <v>9</v>
      </c>
      <c r="E53" s="72">
        <f>'26.10'!E53+COUNTIF(E$8:E$38,$C53)</f>
        <v>9</v>
      </c>
      <c r="F53" s="72">
        <f>'26.10'!F53+COUNTIF(F$8:F$38,$C53)</f>
        <v>8</v>
      </c>
      <c r="G53" s="72">
        <f>'26.10'!G53+COUNTIF(G$8:G$38,$C53)</f>
        <v>9</v>
      </c>
      <c r="H53" s="72">
        <f>'26.10'!H53+COUNTIF(H$8:H$38,$C53)</f>
        <v>9</v>
      </c>
    </row>
    <row r="54" spans="1:8" s="19" customFormat="1" ht="23.25" x14ac:dyDescent="0.35">
      <c r="A54" s="18"/>
      <c r="B54" s="18"/>
      <c r="C54" s="70" t="str">
        <f>'01.09'!C53</f>
        <v>*Л. Самооборона (самбо)*</v>
      </c>
      <c r="D54" s="71">
        <f>'26.10'!D54+COUNTIF(D$8:D$38,$C54)</f>
        <v>1</v>
      </c>
      <c r="E54" s="71">
        <f>'26.10'!E54+COUNTIF(E$8:E$38,$C54)</f>
        <v>1</v>
      </c>
      <c r="F54" s="71">
        <f>'26.10'!F54+COUNTIF(F$8:F$38,$C54)</f>
        <v>1</v>
      </c>
      <c r="G54" s="71">
        <f>'26.10'!G54+COUNTIF(G$8:G$38,$C54)</f>
        <v>1</v>
      </c>
      <c r="H54" s="71">
        <f>'26.10'!H54+COUNTIF(H$8:H$38,$C54)</f>
        <v>1</v>
      </c>
    </row>
    <row r="55" spans="1:8" s="19" customFormat="1" ht="23.25" x14ac:dyDescent="0.35">
      <c r="A55" s="18"/>
      <c r="B55" s="18"/>
      <c r="C55" s="70" t="str">
        <f>'01.09'!C54</f>
        <v>*Пр. Самооборона (самбо)*</v>
      </c>
      <c r="D55" s="72">
        <f>'26.10'!D55+COUNTIF(D$8:D$38,$C55)</f>
        <v>9</v>
      </c>
      <c r="E55" s="72">
        <f>'26.10'!E55+COUNTIF(E$8:E$38,$C55)</f>
        <v>9</v>
      </c>
      <c r="F55" s="72">
        <f>'26.10'!F55+COUNTIF(F$8:F$38,$C55)</f>
        <v>8</v>
      </c>
      <c r="G55" s="72">
        <f>'26.10'!G55+COUNTIF(G$8:G$38,$C55)</f>
        <v>9</v>
      </c>
      <c r="H55" s="72">
        <f>'26.10'!H55+COUNTIF(H$8:H$38,$C55)</f>
        <v>9</v>
      </c>
    </row>
    <row r="56" spans="1:8" s="19" customFormat="1" ht="23.25" x14ac:dyDescent="0.35">
      <c r="A56" s="18"/>
      <c r="B56" s="18"/>
      <c r="C56" s="70" t="str">
        <f>'01.09'!C55</f>
        <v>*Л. Методика реализации программ*</v>
      </c>
      <c r="D56" s="71">
        <f>'26.10'!D56+COUNTIF(D$8:D$38,$C56)</f>
        <v>3</v>
      </c>
      <c r="E56" s="71">
        <f>'26.10'!E56+COUNTIF(E$8:E$38,$C56)</f>
        <v>3</v>
      </c>
      <c r="F56" s="71">
        <f>'26.10'!F56+COUNTIF(F$8:F$38,$C56)</f>
        <v>3</v>
      </c>
      <c r="G56" s="71">
        <f>'26.10'!G56+COUNTIF(G$8:G$38,$C56)</f>
        <v>3</v>
      </c>
      <c r="H56" s="71">
        <f>'26.10'!H56+COUNTIF(H$8:H$38,$C56)</f>
        <v>3</v>
      </c>
    </row>
    <row r="57" spans="1:8" s="19" customFormat="1" ht="23.25" x14ac:dyDescent="0.35">
      <c r="A57" s="18"/>
      <c r="B57" s="18"/>
      <c r="C57" s="70" t="str">
        <f>'01.09'!C56</f>
        <v>*Пр. Методика реализации программ*</v>
      </c>
      <c r="D57" s="72">
        <f>'26.10'!D57+COUNTIF(D$8:D$38,$C57)</f>
        <v>5</v>
      </c>
      <c r="E57" s="72">
        <f>'26.10'!E57+COUNTIF(E$8:E$38,$C57)</f>
        <v>5</v>
      </c>
      <c r="F57" s="72">
        <f>'26.10'!F57+COUNTIF(F$8:F$38,$C57)</f>
        <v>5</v>
      </c>
      <c r="G57" s="72">
        <f>'26.10'!G57+COUNTIF(G$8:G$38,$C57)</f>
        <v>5</v>
      </c>
      <c r="H57" s="72">
        <f>'26.10'!H57+COUNTIF(H$8:H$38,$C57)</f>
        <v>5</v>
      </c>
    </row>
    <row r="58" spans="1:8" s="19" customFormat="1" ht="23.25" x14ac:dyDescent="0.35">
      <c r="A58" s="18"/>
      <c r="B58" s="18"/>
      <c r="C58" s="70" t="str">
        <f>'01.09'!C57</f>
        <v>*Л. Методика преподавания*</v>
      </c>
      <c r="D58" s="71">
        <f>'26.10'!D58+COUNTIF(D$8:D$38,$C58)</f>
        <v>3</v>
      </c>
      <c r="E58" s="71">
        <f>'26.10'!E58+COUNTIF(E$8:E$38,$C58)</f>
        <v>3</v>
      </c>
      <c r="F58" s="71">
        <f>'26.10'!F58+COUNTIF(F$8:F$38,$C58)</f>
        <v>3</v>
      </c>
      <c r="G58" s="71">
        <f>'26.10'!G58+COUNTIF(G$8:G$38,$C58)</f>
        <v>3</v>
      </c>
      <c r="H58" s="71">
        <f>'26.10'!H58+COUNTIF(H$8:H$38,$C58)</f>
        <v>3</v>
      </c>
    </row>
    <row r="59" spans="1:8" s="19" customFormat="1" ht="23.25" x14ac:dyDescent="0.35">
      <c r="A59" s="18"/>
      <c r="B59" s="18"/>
      <c r="C59" s="70" t="str">
        <f>'01.09'!C58</f>
        <v>*Пр. Методика преподавания*</v>
      </c>
      <c r="D59" s="72">
        <f>'26.10'!D59+COUNTIF(D$8:D$38,$C59)</f>
        <v>5</v>
      </c>
      <c r="E59" s="72">
        <f>'26.10'!E59+COUNTIF(E$8:E$38,$C59)</f>
        <v>5</v>
      </c>
      <c r="F59" s="72">
        <f>'26.10'!F59+COUNTIF(F$8:F$38,$C59)</f>
        <v>5</v>
      </c>
      <c r="G59" s="72">
        <f>'26.10'!G59+COUNTIF(G$8:G$38,$C59)</f>
        <v>5</v>
      </c>
      <c r="H59" s="72">
        <f>'26.10'!H59+COUNTIF(H$8:H$38,$C59)</f>
        <v>5</v>
      </c>
    </row>
    <row r="60" spans="1:8" s="19" customFormat="1" ht="23.25" x14ac:dyDescent="0.35">
      <c r="A60" s="18"/>
      <c r="B60" s="18"/>
      <c r="C60" s="70">
        <f>'01.09'!C59</f>
        <v>0</v>
      </c>
      <c r="D60" s="71">
        <f>'26.10'!D60+COUNTIF(D$8:D$38,$C60)</f>
        <v>0</v>
      </c>
      <c r="E60" s="71">
        <f>'26.10'!E60+COUNTIF(E$8:E$38,$C60)</f>
        <v>0</v>
      </c>
      <c r="F60" s="71">
        <f>'26.10'!F60+COUNTIF(F$8:F$38,$C60)</f>
        <v>0</v>
      </c>
      <c r="G60" s="71">
        <f>'26.10'!G60+COUNTIF(G$8:G$38,$C60)</f>
        <v>0</v>
      </c>
      <c r="H60" s="71">
        <f>'26.10'!H60+COUNTIF(H$8:H$38,$C60)</f>
        <v>0</v>
      </c>
    </row>
    <row r="61" spans="1:8" s="19" customFormat="1" ht="23.25" x14ac:dyDescent="0.35">
      <c r="A61" s="18"/>
      <c r="B61" s="18"/>
      <c r="C61" s="70">
        <f>'01.09'!C60</f>
        <v>0</v>
      </c>
      <c r="D61" s="72">
        <f>'26.10'!D61+COUNTIF(D$8:D$38,$C61)</f>
        <v>0</v>
      </c>
      <c r="E61" s="72">
        <f>'26.10'!E61+COUNTIF(E$8:E$38,$C61)</f>
        <v>0</v>
      </c>
      <c r="F61" s="72">
        <f>'26.10'!F61+COUNTIF(F$8:F$38,$C61)</f>
        <v>0</v>
      </c>
      <c r="G61" s="72">
        <f>'26.10'!G61+COUNTIF(G$8:G$38,$C61)</f>
        <v>0</v>
      </c>
      <c r="H61" s="72">
        <f>'26.10'!H61+COUNTIF(H$8:H$38,$C61)</f>
        <v>0</v>
      </c>
    </row>
    <row r="62" spans="1:8" ht="23.25" x14ac:dyDescent="0.35">
      <c r="A62" s="2"/>
      <c r="B62" s="2"/>
      <c r="C62" s="70">
        <f>'01.09'!C61</f>
        <v>0</v>
      </c>
      <c r="D62" s="71">
        <f>'26.10'!D62+COUNTIF(D$8:D$38,$C62)</f>
        <v>0</v>
      </c>
      <c r="E62" s="71">
        <f>'26.10'!E62+COUNTIF(E$8:E$38,$C62)</f>
        <v>0</v>
      </c>
      <c r="F62" s="71">
        <f>'26.10'!F62+COUNTIF(F$8:F$38,$C62)</f>
        <v>0</v>
      </c>
      <c r="G62" s="71">
        <f>'26.10'!G62+COUNTIF(G$8:G$38,$C62)</f>
        <v>0</v>
      </c>
      <c r="H62" s="71">
        <f>'26.10'!H62+COUNTIF(H$8:H$38,$C62)</f>
        <v>0</v>
      </c>
    </row>
    <row r="63" spans="1:8" ht="23.25" x14ac:dyDescent="0.35">
      <c r="A63" s="2"/>
      <c r="B63" s="2"/>
      <c r="C63" s="70">
        <f>'01.09'!C62</f>
        <v>0</v>
      </c>
      <c r="D63" s="72">
        <f>'26.10'!D63+COUNTIF(D$8:D$38,$C63)</f>
        <v>0</v>
      </c>
      <c r="E63" s="72">
        <f>'26.10'!E63+COUNTIF(E$8:E$38,$C63)</f>
        <v>0</v>
      </c>
      <c r="F63" s="72">
        <f>'26.10'!F63+COUNTIF(F$8:F$38,$C63)</f>
        <v>0</v>
      </c>
      <c r="G63" s="72">
        <f>'26.10'!G63+COUNTIF(G$8:G$38,$C63)</f>
        <v>0</v>
      </c>
      <c r="H63" s="72">
        <f>'26.10'!H63+COUNTIF(H$8:H$38,$C63)</f>
        <v>0</v>
      </c>
    </row>
    <row r="64" spans="1:8" ht="23.25" x14ac:dyDescent="0.35">
      <c r="A64" s="2"/>
      <c r="B64" s="2"/>
      <c r="C64" s="70">
        <f>'01.09'!C63</f>
        <v>0</v>
      </c>
      <c r="D64" s="71">
        <f>'26.10'!D64+COUNTIF(D$8:D$38,$C64)</f>
        <v>0</v>
      </c>
      <c r="E64" s="71">
        <f>'26.10'!E64+COUNTIF(E$8:E$38,$C64)</f>
        <v>0</v>
      </c>
      <c r="F64" s="71">
        <f>'26.10'!F64+COUNTIF(F$8:F$38,$C64)</f>
        <v>0</v>
      </c>
      <c r="G64" s="71">
        <f>'26.10'!G64+COUNTIF(G$8:G$38,$C64)</f>
        <v>0</v>
      </c>
      <c r="H64" s="71">
        <f>'26.10'!H64+COUNTIF(H$8:H$38,$C64)</f>
        <v>0</v>
      </c>
    </row>
    <row r="65" spans="1:8" ht="23.25" x14ac:dyDescent="0.35">
      <c r="A65" s="2"/>
      <c r="B65" s="2"/>
      <c r="C65" s="70">
        <f>'01.09'!C64</f>
        <v>0</v>
      </c>
      <c r="D65" s="72">
        <f>'26.10'!D65+COUNTIF(D$8:D$38,$C65)</f>
        <v>0</v>
      </c>
      <c r="E65" s="72">
        <f>'26.10'!E65+COUNTIF(E$8:E$38,$C65)</f>
        <v>0</v>
      </c>
      <c r="F65" s="72">
        <f>'26.10'!F65+COUNTIF(F$8:F$38,$C65)</f>
        <v>0</v>
      </c>
      <c r="G65" s="72">
        <f>'26.10'!G65+COUNTIF(G$8:G$38,$C65)</f>
        <v>0</v>
      </c>
      <c r="H65" s="72">
        <f>'26.10'!H65+COUNTIF(H$8:H$38,$C65)</f>
        <v>0</v>
      </c>
    </row>
    <row r="66" spans="1:8" ht="23.25" x14ac:dyDescent="0.35">
      <c r="A66" s="2"/>
      <c r="B66" s="2"/>
      <c r="C66" s="70">
        <f>'01.09'!C65</f>
        <v>0</v>
      </c>
      <c r="D66" s="71">
        <f>'26.10'!D66+COUNTIF(D$8:D$38,$C66)</f>
        <v>0</v>
      </c>
      <c r="E66" s="71">
        <f>'26.10'!E66+COUNTIF(E$8:E$38,$C66)</f>
        <v>0</v>
      </c>
      <c r="F66" s="71">
        <f>'26.10'!F66+COUNTIF(F$8:F$38,$C66)</f>
        <v>0</v>
      </c>
      <c r="G66" s="71">
        <f>'26.10'!G66+COUNTIF(G$8:G$38,$C66)</f>
        <v>0</v>
      </c>
      <c r="H66" s="71">
        <f>'26.10'!H66+COUNTIF(H$8:H$38,$C66)</f>
        <v>0</v>
      </c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B1:H1"/>
    <mergeCell ref="B2:H2"/>
    <mergeCell ref="B3:H3"/>
    <mergeCell ref="B4:H4"/>
    <mergeCell ref="A5:H5"/>
    <mergeCell ref="A34:A38"/>
    <mergeCell ref="B34:B38"/>
    <mergeCell ref="A29:A33"/>
    <mergeCell ref="B29:B33"/>
    <mergeCell ref="C6:C7"/>
    <mergeCell ref="B8:B12"/>
    <mergeCell ref="B13:B18"/>
    <mergeCell ref="A13:A18"/>
    <mergeCell ref="A24:A28"/>
    <mergeCell ref="B19:B23"/>
    <mergeCell ref="B24:B28"/>
    <mergeCell ref="A19:A23"/>
    <mergeCell ref="A8:A12"/>
    <mergeCell ref="A6:A7"/>
    <mergeCell ref="B6:B7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J72"/>
  <sheetViews>
    <sheetView view="pageBreakPreview" topLeftCell="A10" zoomScale="40" zoomScaleNormal="40" zoomScaleSheetLayoutView="40" zoomScalePageLayoutView="40" workbookViewId="0">
      <selection activeCell="H19" sqref="H19"/>
    </sheetView>
  </sheetViews>
  <sheetFormatPr defaultRowHeight="15" x14ac:dyDescent="0.25"/>
  <cols>
    <col min="1" max="2" width="4.42578125" customWidth="1"/>
    <col min="3" max="3" width="19.7109375" customWidth="1"/>
    <col min="4" max="8" width="64.85546875" customWidth="1"/>
  </cols>
  <sheetData>
    <row r="1" spans="1:8" ht="30" x14ac:dyDescent="0.3">
      <c r="A1" s="178"/>
      <c r="B1" s="760" t="s">
        <v>140</v>
      </c>
      <c r="C1" s="760"/>
      <c r="D1" s="760"/>
      <c r="E1" s="760"/>
      <c r="F1" s="760"/>
      <c r="G1" s="760"/>
      <c r="H1" s="760"/>
    </row>
    <row r="2" spans="1:8" ht="30" x14ac:dyDescent="0.3">
      <c r="A2" s="179"/>
      <c r="B2" s="760" t="s">
        <v>87</v>
      </c>
      <c r="C2" s="760"/>
      <c r="D2" s="760"/>
      <c r="E2" s="760"/>
      <c r="F2" s="760"/>
      <c r="G2" s="760"/>
      <c r="H2" s="760"/>
    </row>
    <row r="3" spans="1:8" ht="41.25" customHeight="1" x14ac:dyDescent="0.25">
      <c r="A3" s="229"/>
      <c r="B3" s="787" t="s">
        <v>81</v>
      </c>
      <c r="C3" s="787"/>
      <c r="D3" s="787"/>
      <c r="E3" s="787"/>
      <c r="F3" s="787"/>
      <c r="G3" s="787"/>
      <c r="H3" s="787"/>
    </row>
    <row r="4" spans="1:8" ht="30" x14ac:dyDescent="0.25">
      <c r="A4" s="180"/>
      <c r="B4" s="760" t="s">
        <v>142</v>
      </c>
      <c r="C4" s="760"/>
      <c r="D4" s="760"/>
      <c r="E4" s="760"/>
      <c r="F4" s="760"/>
      <c r="G4" s="760"/>
      <c r="H4" s="760"/>
    </row>
    <row r="5" spans="1:8" ht="30.75" thickBot="1" x14ac:dyDescent="0.3">
      <c r="A5" s="682" t="s">
        <v>112</v>
      </c>
      <c r="B5" s="682"/>
      <c r="C5" s="682"/>
      <c r="D5" s="682"/>
      <c r="E5" s="682"/>
      <c r="F5" s="682"/>
      <c r="G5" s="682"/>
      <c r="H5" s="682"/>
    </row>
    <row r="6" spans="1:8" ht="36.75" customHeight="1" thickBot="1" x14ac:dyDescent="0.3">
      <c r="A6" s="770" t="s">
        <v>54</v>
      </c>
      <c r="B6" s="770" t="s">
        <v>14</v>
      </c>
      <c r="C6" s="793" t="s">
        <v>55</v>
      </c>
      <c r="D6" s="241" t="s">
        <v>5</v>
      </c>
      <c r="E6" s="242" t="s">
        <v>6</v>
      </c>
      <c r="F6" s="242" t="s">
        <v>7</v>
      </c>
      <c r="G6" s="242" t="s">
        <v>8</v>
      </c>
      <c r="H6" s="243" t="s">
        <v>9</v>
      </c>
    </row>
    <row r="7" spans="1:8" ht="107.25" customHeight="1" thickBot="1" x14ac:dyDescent="0.3">
      <c r="A7" s="771"/>
      <c r="B7" s="771"/>
      <c r="C7" s="794"/>
      <c r="D7" s="300" t="s">
        <v>106</v>
      </c>
      <c r="E7" s="370" t="s">
        <v>136</v>
      </c>
      <c r="F7" s="370" t="s">
        <v>107</v>
      </c>
      <c r="G7" s="370" t="s">
        <v>90</v>
      </c>
      <c r="H7" s="449" t="s">
        <v>78</v>
      </c>
    </row>
    <row r="8" spans="1:8" ht="166.5" x14ac:dyDescent="0.25">
      <c r="A8" s="804" t="s">
        <v>0</v>
      </c>
      <c r="B8" s="792">
        <v>46335</v>
      </c>
      <c r="C8" s="480" t="s">
        <v>10</v>
      </c>
      <c r="D8" s="651" t="s">
        <v>263</v>
      </c>
      <c r="E8" s="299" t="s">
        <v>270</v>
      </c>
      <c r="F8" s="299" t="s">
        <v>237</v>
      </c>
      <c r="G8" s="361" t="s">
        <v>250</v>
      </c>
      <c r="H8" s="362" t="s">
        <v>257</v>
      </c>
    </row>
    <row r="9" spans="1:8" ht="166.5" x14ac:dyDescent="0.25">
      <c r="A9" s="808"/>
      <c r="B9" s="757"/>
      <c r="C9" s="490" t="s">
        <v>11</v>
      </c>
      <c r="D9" s="375" t="s">
        <v>263</v>
      </c>
      <c r="E9" s="383" t="s">
        <v>271</v>
      </c>
      <c r="F9" s="383" t="s">
        <v>237</v>
      </c>
      <c r="G9" s="383" t="s">
        <v>300</v>
      </c>
      <c r="H9" s="414" t="s">
        <v>252</v>
      </c>
    </row>
    <row r="10" spans="1:8" ht="83.25" x14ac:dyDescent="0.25">
      <c r="A10" s="808"/>
      <c r="B10" s="757"/>
      <c r="C10" s="490" t="s">
        <v>12</v>
      </c>
      <c r="D10" s="375" t="s">
        <v>264</v>
      </c>
      <c r="E10" s="369" t="s">
        <v>301</v>
      </c>
      <c r="F10" s="383"/>
      <c r="G10" s="460"/>
      <c r="H10" s="510"/>
    </row>
    <row r="11" spans="1:8" ht="55.5" x14ac:dyDescent="0.25">
      <c r="A11" s="808"/>
      <c r="B11" s="757"/>
      <c r="C11" s="490" t="s">
        <v>13</v>
      </c>
      <c r="D11" s="375" t="s">
        <v>264</v>
      </c>
      <c r="E11" s="383"/>
      <c r="F11" s="383"/>
      <c r="G11" s="460"/>
      <c r="H11" s="510"/>
    </row>
    <row r="12" spans="1:8" ht="27" thickBot="1" x14ac:dyDescent="0.3">
      <c r="A12" s="808"/>
      <c r="B12" s="757"/>
      <c r="C12" s="481" t="s">
        <v>15</v>
      </c>
      <c r="D12" s="363"/>
      <c r="E12" s="330"/>
      <c r="F12" s="330"/>
      <c r="G12" s="330"/>
      <c r="H12" s="350"/>
    </row>
    <row r="13" spans="1:8" ht="93.75" customHeight="1" x14ac:dyDescent="0.25">
      <c r="A13" s="804" t="s">
        <v>1</v>
      </c>
      <c r="B13" s="756">
        <f>B8+1</f>
        <v>46336</v>
      </c>
      <c r="C13" s="504" t="s">
        <v>10</v>
      </c>
      <c r="D13" s="581" t="s">
        <v>272</v>
      </c>
      <c r="E13" s="382" t="s">
        <v>272</v>
      </c>
      <c r="F13" s="382" t="s">
        <v>272</v>
      </c>
      <c r="G13" s="303" t="s">
        <v>272</v>
      </c>
      <c r="H13" s="321" t="s">
        <v>272</v>
      </c>
    </row>
    <row r="14" spans="1:8" ht="93.75" customHeight="1" x14ac:dyDescent="0.25">
      <c r="A14" s="808"/>
      <c r="B14" s="757"/>
      <c r="C14" s="505" t="s">
        <v>11</v>
      </c>
      <c r="D14" s="418" t="s">
        <v>240</v>
      </c>
      <c r="E14" s="383" t="s">
        <v>240</v>
      </c>
      <c r="F14" s="383" t="s">
        <v>240</v>
      </c>
      <c r="G14" s="279" t="s">
        <v>240</v>
      </c>
      <c r="H14" s="280" t="s">
        <v>240</v>
      </c>
    </row>
    <row r="15" spans="1:8" ht="93.75" customHeight="1" x14ac:dyDescent="0.25">
      <c r="A15" s="808"/>
      <c r="B15" s="757"/>
      <c r="C15" s="505" t="s">
        <v>12</v>
      </c>
      <c r="D15" s="517" t="s">
        <v>257</v>
      </c>
      <c r="E15" s="279" t="s">
        <v>248</v>
      </c>
      <c r="F15" s="279"/>
      <c r="G15" s="279" t="s">
        <v>238</v>
      </c>
      <c r="H15" s="510" t="s">
        <v>239</v>
      </c>
    </row>
    <row r="16" spans="1:8" ht="114.75" customHeight="1" x14ac:dyDescent="0.25">
      <c r="A16" s="808"/>
      <c r="B16" s="757"/>
      <c r="C16" s="505" t="s">
        <v>13</v>
      </c>
      <c r="D16" s="375" t="s">
        <v>312</v>
      </c>
      <c r="E16" s="279" t="s">
        <v>257</v>
      </c>
      <c r="F16" s="279"/>
      <c r="G16" s="279" t="s">
        <v>238</v>
      </c>
      <c r="H16" s="282" t="s">
        <v>269</v>
      </c>
    </row>
    <row r="17" spans="1:10" ht="48.75" customHeight="1" x14ac:dyDescent="0.25">
      <c r="A17" s="808"/>
      <c r="B17" s="757"/>
      <c r="C17" s="488" t="s">
        <v>15</v>
      </c>
      <c r="D17" s="524"/>
      <c r="E17" s="546"/>
      <c r="F17" s="546"/>
      <c r="G17" s="546"/>
      <c r="H17" s="518"/>
    </row>
    <row r="18" spans="1:10" ht="48.75" customHeight="1" thickBot="1" x14ac:dyDescent="0.3">
      <c r="A18" s="808"/>
      <c r="B18" s="757"/>
      <c r="C18" s="506" t="s">
        <v>60</v>
      </c>
      <c r="D18" s="324"/>
      <c r="E18" s="383"/>
      <c r="F18" s="325"/>
      <c r="G18" s="325"/>
      <c r="H18" s="326"/>
    </row>
    <row r="19" spans="1:10" ht="93.75" customHeight="1" x14ac:dyDescent="0.25">
      <c r="A19" s="804" t="s">
        <v>2</v>
      </c>
      <c r="B19" s="756">
        <f>B13+1</f>
        <v>46337</v>
      </c>
      <c r="C19" s="480" t="s">
        <v>10</v>
      </c>
      <c r="D19" s="302" t="s">
        <v>254</v>
      </c>
      <c r="E19" s="303" t="s">
        <v>281</v>
      </c>
      <c r="F19" s="303" t="s">
        <v>258</v>
      </c>
      <c r="G19" s="532" t="s">
        <v>302</v>
      </c>
      <c r="H19" s="321" t="s">
        <v>304</v>
      </c>
    </row>
    <row r="20" spans="1:10" ht="93.75" customHeight="1" x14ac:dyDescent="0.25">
      <c r="A20" s="808"/>
      <c r="B20" s="757"/>
      <c r="C20" s="490" t="s">
        <v>11</v>
      </c>
      <c r="D20" s="278" t="s">
        <v>254</v>
      </c>
      <c r="E20" s="279" t="s">
        <v>282</v>
      </c>
      <c r="F20" s="279" t="s">
        <v>249</v>
      </c>
      <c r="G20" s="652" t="s">
        <v>303</v>
      </c>
      <c r="H20" s="492" t="s">
        <v>302</v>
      </c>
    </row>
    <row r="21" spans="1:10" ht="93.75" customHeight="1" x14ac:dyDescent="0.25">
      <c r="A21" s="808"/>
      <c r="B21" s="757"/>
      <c r="C21" s="490" t="s">
        <v>12</v>
      </c>
      <c r="D21" s="418" t="s">
        <v>246</v>
      </c>
      <c r="E21" s="402" t="s">
        <v>313</v>
      </c>
      <c r="F21" s="279" t="s">
        <v>261</v>
      </c>
      <c r="G21" s="279"/>
      <c r="H21" s="510" t="s">
        <v>239</v>
      </c>
      <c r="J21" s="3"/>
    </row>
    <row r="22" spans="1:10" ht="91.5" customHeight="1" x14ac:dyDescent="0.25">
      <c r="A22" s="808"/>
      <c r="B22" s="757"/>
      <c r="C22" s="490" t="s">
        <v>13</v>
      </c>
      <c r="D22" s="375"/>
      <c r="E22" s="442"/>
      <c r="F22" s="474" t="s">
        <v>304</v>
      </c>
      <c r="G22" s="279"/>
      <c r="H22" s="510" t="s">
        <v>239</v>
      </c>
    </row>
    <row r="23" spans="1:10" ht="44.25" customHeight="1" thickBot="1" x14ac:dyDescent="0.3">
      <c r="A23" s="809"/>
      <c r="B23" s="757"/>
      <c r="C23" s="481" t="s">
        <v>15</v>
      </c>
      <c r="D23" s="217"/>
      <c r="E23" s="457"/>
      <c r="F23" s="218"/>
      <c r="G23" s="218"/>
      <c r="H23" s="219"/>
    </row>
    <row r="24" spans="1:10" ht="118.5" customHeight="1" x14ac:dyDescent="0.25">
      <c r="A24" s="804" t="s">
        <v>3</v>
      </c>
      <c r="B24" s="756">
        <f>B19+1</f>
        <v>46338</v>
      </c>
      <c r="C24" s="486" t="s">
        <v>10</v>
      </c>
      <c r="D24" s="651" t="s">
        <v>294</v>
      </c>
      <c r="E24" s="303" t="s">
        <v>248</v>
      </c>
      <c r="F24" s="299" t="s">
        <v>269</v>
      </c>
      <c r="G24" s="299" t="s">
        <v>269</v>
      </c>
      <c r="H24" s="321" t="s">
        <v>284</v>
      </c>
    </row>
    <row r="25" spans="1:10" ht="123.75" customHeight="1" x14ac:dyDescent="0.25">
      <c r="A25" s="805"/>
      <c r="B25" s="757"/>
      <c r="C25" s="487" t="s">
        <v>11</v>
      </c>
      <c r="D25" s="281" t="s">
        <v>269</v>
      </c>
      <c r="E25" s="248" t="s">
        <v>260</v>
      </c>
      <c r="F25" s="248" t="s">
        <v>237</v>
      </c>
      <c r="G25" s="248" t="s">
        <v>238</v>
      </c>
      <c r="H25" s="282" t="s">
        <v>284</v>
      </c>
    </row>
    <row r="26" spans="1:10" ht="122.25" customHeight="1" x14ac:dyDescent="0.25">
      <c r="A26" s="805"/>
      <c r="B26" s="757"/>
      <c r="C26" s="487" t="s">
        <v>12</v>
      </c>
      <c r="D26" s="374" t="s">
        <v>301</v>
      </c>
      <c r="E26" s="410"/>
      <c r="F26" s="404" t="s">
        <v>305</v>
      </c>
      <c r="G26" s="410" t="s">
        <v>274</v>
      </c>
      <c r="H26" s="403" t="s">
        <v>308</v>
      </c>
    </row>
    <row r="27" spans="1:10" ht="123.75" customHeight="1" x14ac:dyDescent="0.25">
      <c r="A27" s="805"/>
      <c r="B27" s="757"/>
      <c r="C27" s="487" t="s">
        <v>13</v>
      </c>
      <c r="D27" s="374" t="s">
        <v>295</v>
      </c>
      <c r="E27" s="442"/>
      <c r="F27" s="404" t="s">
        <v>306</v>
      </c>
      <c r="G27" s="402" t="s">
        <v>307</v>
      </c>
      <c r="H27" s="473" t="s">
        <v>274</v>
      </c>
    </row>
    <row r="28" spans="1:10" ht="41.25" customHeight="1" thickBot="1" x14ac:dyDescent="0.3">
      <c r="A28" s="805"/>
      <c r="B28" s="757"/>
      <c r="C28" s="489" t="s">
        <v>15</v>
      </c>
      <c r="D28" s="217"/>
      <c r="E28" s="468"/>
      <c r="F28" s="457"/>
      <c r="G28" s="457"/>
      <c r="H28" s="459"/>
    </row>
    <row r="29" spans="1:10" ht="93.75" customHeight="1" x14ac:dyDescent="0.25">
      <c r="A29" s="804" t="s">
        <v>4</v>
      </c>
      <c r="B29" s="756">
        <f>B24+1</f>
        <v>46339</v>
      </c>
      <c r="C29" s="480" t="s">
        <v>10</v>
      </c>
      <c r="D29" s="293" t="s">
        <v>259</v>
      </c>
      <c r="E29" s="294" t="s">
        <v>274</v>
      </c>
      <c r="F29" s="294" t="s">
        <v>255</v>
      </c>
      <c r="G29" s="361" t="s">
        <v>256</v>
      </c>
      <c r="H29" s="295"/>
    </row>
    <row r="30" spans="1:10" ht="120" customHeight="1" x14ac:dyDescent="0.25">
      <c r="A30" s="808"/>
      <c r="B30" s="757"/>
      <c r="C30" s="490" t="s">
        <v>11</v>
      </c>
      <c r="D30" s="283" t="s">
        <v>247</v>
      </c>
      <c r="E30" s="474" t="s">
        <v>305</v>
      </c>
      <c r="F30" s="247" t="s">
        <v>255</v>
      </c>
      <c r="G30" s="460" t="s">
        <v>256</v>
      </c>
      <c r="H30" s="284"/>
    </row>
    <row r="31" spans="1:10" ht="93.75" customHeight="1" x14ac:dyDescent="0.25">
      <c r="A31" s="808"/>
      <c r="B31" s="757"/>
      <c r="C31" s="490" t="s">
        <v>12</v>
      </c>
      <c r="D31" s="281" t="s">
        <v>274</v>
      </c>
      <c r="E31" s="248" t="s">
        <v>236</v>
      </c>
      <c r="F31" s="279" t="s">
        <v>249</v>
      </c>
      <c r="G31" s="248" t="s">
        <v>251</v>
      </c>
      <c r="H31" s="282" t="s">
        <v>262</v>
      </c>
    </row>
    <row r="32" spans="1:10" ht="111" x14ac:dyDescent="0.25">
      <c r="A32" s="808"/>
      <c r="B32" s="757"/>
      <c r="C32" s="490" t="s">
        <v>13</v>
      </c>
      <c r="D32" s="569" t="s">
        <v>309</v>
      </c>
      <c r="E32" s="248" t="s">
        <v>236</v>
      </c>
      <c r="F32" s="248" t="s">
        <v>275</v>
      </c>
      <c r="G32" s="319" t="s">
        <v>262</v>
      </c>
      <c r="H32" s="282" t="s">
        <v>252</v>
      </c>
    </row>
    <row r="33" spans="1:8" ht="93.75" customHeight="1" thickBot="1" x14ac:dyDescent="0.3">
      <c r="A33" s="809"/>
      <c r="B33" s="757"/>
      <c r="C33" s="481" t="s">
        <v>15</v>
      </c>
      <c r="D33" s="285"/>
      <c r="E33" s="286"/>
      <c r="F33" s="286"/>
      <c r="G33" s="286"/>
      <c r="H33" s="287"/>
    </row>
    <row r="34" spans="1:8" ht="30.75" customHeight="1" x14ac:dyDescent="0.25">
      <c r="A34" s="757" t="s">
        <v>47</v>
      </c>
      <c r="B34" s="756">
        <f>B29+1</f>
        <v>46340</v>
      </c>
      <c r="C34" s="507" t="s">
        <v>10</v>
      </c>
      <c r="D34" s="384"/>
      <c r="E34" s="385"/>
      <c r="F34" s="385"/>
      <c r="G34" s="385"/>
      <c r="H34" s="386"/>
    </row>
    <row r="35" spans="1:8" ht="30.75" customHeight="1" x14ac:dyDescent="0.25">
      <c r="A35" s="757"/>
      <c r="B35" s="757"/>
      <c r="C35" s="508" t="s">
        <v>11</v>
      </c>
      <c r="D35" s="262"/>
      <c r="E35" s="323"/>
      <c r="F35" s="141"/>
      <c r="G35" s="142"/>
      <c r="H35" s="263"/>
    </row>
    <row r="36" spans="1:8" ht="30.75" customHeight="1" x14ac:dyDescent="0.25">
      <c r="A36" s="757"/>
      <c r="B36" s="757"/>
      <c r="C36" s="508" t="s">
        <v>12</v>
      </c>
      <c r="D36" s="208"/>
      <c r="E36" s="264"/>
      <c r="F36" s="264"/>
      <c r="G36" s="264"/>
      <c r="H36" s="265"/>
    </row>
    <row r="37" spans="1:8" ht="30.75" customHeight="1" x14ac:dyDescent="0.25">
      <c r="A37" s="757"/>
      <c r="B37" s="757"/>
      <c r="C37" s="508" t="s">
        <v>13</v>
      </c>
      <c r="D37" s="147"/>
      <c r="E37" s="142"/>
      <c r="F37" s="142"/>
      <c r="G37" s="141"/>
      <c r="H37" s="148"/>
    </row>
    <row r="38" spans="1:8" ht="30.75" customHeight="1" thickBot="1" x14ac:dyDescent="0.3">
      <c r="A38" s="758"/>
      <c r="B38" s="758"/>
      <c r="C38" s="509" t="s">
        <v>15</v>
      </c>
      <c r="D38" s="149"/>
      <c r="E38" s="100"/>
      <c r="F38" s="100"/>
      <c r="G38" s="100"/>
      <c r="H38" s="113"/>
    </row>
    <row r="39" spans="1:8" ht="28.5" customHeight="1" x14ac:dyDescent="0.3">
      <c r="A39" s="2"/>
      <c r="B39" s="2"/>
      <c r="C39" s="44"/>
      <c r="D39" s="181" t="s">
        <v>82</v>
      </c>
      <c r="E39" s="2"/>
      <c r="F39" s="2"/>
      <c r="G39" s="2"/>
      <c r="H39" s="2"/>
    </row>
    <row r="40" spans="1:8" s="19" customFormat="1" ht="26.25" x14ac:dyDescent="0.4">
      <c r="A40" s="18"/>
      <c r="B40" s="18"/>
      <c r="C40" s="109" t="str">
        <f>'01.09'!C39</f>
        <v>*Л. Физиология человека*</v>
      </c>
      <c r="D40" s="110">
        <f>'02.11'!D40+COUNTIF(D$8:D$38,$C40)</f>
        <v>12</v>
      </c>
      <c r="E40" s="110">
        <f>'02.11'!E40+COUNTIF(E$8:E$38,$C40)</f>
        <v>12</v>
      </c>
      <c r="F40" s="110">
        <f>'02.11'!F40+COUNTIF(F$8:F$38,$C40)</f>
        <v>12</v>
      </c>
      <c r="G40" s="110">
        <f>'02.11'!G40+COUNTIF(G$8:G$38,$C40)</f>
        <v>12</v>
      </c>
      <c r="H40" s="110">
        <f>'02.11'!H40+COUNTIF(H$8:H$38,$C40)</f>
        <v>12</v>
      </c>
    </row>
    <row r="41" spans="1:8" s="19" customFormat="1" ht="26.25" x14ac:dyDescent="0.4">
      <c r="A41" s="18"/>
      <c r="B41" s="18"/>
      <c r="C41" s="109" t="str">
        <f>'01.09'!C40</f>
        <v>*Пр. Физиология человека*</v>
      </c>
      <c r="D41" s="111">
        <f>'02.11'!D41+COUNTIF(D$8:D$38,$C41)</f>
        <v>19</v>
      </c>
      <c r="E41" s="111">
        <f>'02.11'!E41+COUNTIF(E$8:E$38,$C41)</f>
        <v>20</v>
      </c>
      <c r="F41" s="111">
        <f>'02.11'!F41+COUNTIF(F$8:F$38,$C41)</f>
        <v>19</v>
      </c>
      <c r="G41" s="111">
        <f>'02.11'!G41+COUNTIF(G$8:G$38,$C41)</f>
        <v>20</v>
      </c>
      <c r="H41" s="111">
        <f>'02.11'!H41+COUNTIF(H$8:H$38,$C41)</f>
        <v>20</v>
      </c>
    </row>
    <row r="42" spans="1:8" s="19" customFormat="1" ht="26.25" x14ac:dyDescent="0.4">
      <c r="A42" s="18"/>
      <c r="B42" s="18"/>
      <c r="C42" s="109" t="str">
        <f>'01.09'!C41</f>
        <v>*Л. Элективные дисциплины по ФКиС: Фехтование*</v>
      </c>
      <c r="D42" s="110">
        <f>'02.11'!D42+COUNTIF(D$8:D$38,$C42)</f>
        <v>1</v>
      </c>
      <c r="E42" s="110">
        <f>'02.11'!E42+COUNTIF(E$8:E$38,$C42)</f>
        <v>1</v>
      </c>
      <c r="F42" s="110">
        <f>'02.11'!F42+COUNTIF(F$8:F$38,$C42)</f>
        <v>1</v>
      </c>
      <c r="G42" s="110">
        <f>'02.11'!G42+COUNTIF(G$8:G$38,$C42)</f>
        <v>1</v>
      </c>
      <c r="H42" s="110">
        <f>'02.11'!H42+COUNTIF(H$8:H$38,$C42)</f>
        <v>1</v>
      </c>
    </row>
    <row r="43" spans="1:8" s="19" customFormat="1" ht="26.25" x14ac:dyDescent="0.4">
      <c r="A43" s="18"/>
      <c r="B43" s="18"/>
      <c r="C43" s="109" t="str">
        <f>'01.09'!C42</f>
        <v>*Пр. Элективные дисциплины по ФКиС: Фехтование*</v>
      </c>
      <c r="D43" s="111">
        <f>'02.11'!D43+COUNTIF(D$8:D$38,$C43)</f>
        <v>6</v>
      </c>
      <c r="E43" s="111">
        <f>'02.11'!E43+COUNTIF(E$8:E$38,$C43)</f>
        <v>6</v>
      </c>
      <c r="F43" s="111">
        <f>'02.11'!F43+COUNTIF(F$8:F$38,$C43)</f>
        <v>6</v>
      </c>
      <c r="G43" s="111">
        <f>'02.11'!G43+COUNTIF(G$8:G$38,$C43)</f>
        <v>6</v>
      </c>
      <c r="H43" s="111">
        <f>'02.11'!H43+COUNTIF(H$8:H$38,$C43)</f>
        <v>6</v>
      </c>
    </row>
    <row r="44" spans="1:8" s="19" customFormat="1" ht="26.25" x14ac:dyDescent="0.4">
      <c r="A44" s="18"/>
      <c r="B44" s="18"/>
      <c r="C44" s="109" t="str">
        <f>'01.09'!C43</f>
        <v>*Л. Педагогика физической культуры и спорта*</v>
      </c>
      <c r="D44" s="110">
        <f>'02.11'!D44+COUNTIF(D$8:D$38,$C44)</f>
        <v>5</v>
      </c>
      <c r="E44" s="110">
        <f>'02.11'!E44+COUNTIF(E$8:E$38,$C44)</f>
        <v>5</v>
      </c>
      <c r="F44" s="110">
        <f>'02.11'!F44+COUNTIF(F$8:F$38,$C44)</f>
        <v>5</v>
      </c>
      <c r="G44" s="110">
        <f>'02.11'!G44+COUNTIF(G$8:G$38,$C44)</f>
        <v>5</v>
      </c>
      <c r="H44" s="110">
        <f>'02.11'!H44+COUNTIF(H$8:H$38,$C44)</f>
        <v>5</v>
      </c>
    </row>
    <row r="45" spans="1:8" s="19" customFormat="1" ht="26.25" x14ac:dyDescent="0.4">
      <c r="A45" s="18"/>
      <c r="B45" s="18"/>
      <c r="C45" s="109" t="str">
        <f>'01.09'!C44</f>
        <v>*Пр. Педагогика физической культуры и спорта*</v>
      </c>
      <c r="D45" s="111">
        <f>'02.11'!D45+COUNTIF(D$8:D$38,$C45)</f>
        <v>6</v>
      </c>
      <c r="E45" s="111">
        <f>'02.11'!E45+COUNTIF(E$8:E$38,$C45)</f>
        <v>5</v>
      </c>
      <c r="F45" s="111">
        <f>'02.11'!F45+COUNTIF(F$8:F$38,$C45)</f>
        <v>5</v>
      </c>
      <c r="G45" s="111">
        <f>'02.11'!G45+COUNTIF(G$8:G$38,$C45)</f>
        <v>5</v>
      </c>
      <c r="H45" s="111">
        <f>'02.11'!H45+COUNTIF(H$8:H$38,$C45)</f>
        <v>4</v>
      </c>
    </row>
    <row r="46" spans="1:8" s="19" customFormat="1" ht="26.25" x14ac:dyDescent="0.4">
      <c r="A46" s="18"/>
      <c r="B46" s="18"/>
      <c r="C46" s="109" t="str">
        <f>'01.09'!C45</f>
        <v>*Л. Теория и методика*</v>
      </c>
      <c r="D46" s="110">
        <f>'02.11'!D46+COUNTIF(D$8:D$38,$C46)</f>
        <v>4</v>
      </c>
      <c r="E46" s="110">
        <f>'02.11'!E46+COUNTIF(E$8:E$38,$C46)</f>
        <v>4</v>
      </c>
      <c r="F46" s="110">
        <f>'02.11'!F46+COUNTIF(F$8:F$38,$C46)</f>
        <v>4</v>
      </c>
      <c r="G46" s="110">
        <f>'02.11'!G46+COUNTIF(G$8:G$38,$C46)</f>
        <v>4</v>
      </c>
      <c r="H46" s="110">
        <f>'02.11'!H46+COUNTIF(H$8:H$38,$C46)</f>
        <v>4</v>
      </c>
    </row>
    <row r="47" spans="1:8" s="19" customFormat="1" ht="26.25" x14ac:dyDescent="0.4">
      <c r="A47" s="18"/>
      <c r="B47" s="18"/>
      <c r="C47" s="109" t="str">
        <f>'01.09'!C46</f>
        <v>*Пр. Теория и методика*</v>
      </c>
      <c r="D47" s="111">
        <f>'02.11'!D47+COUNTIF(D$8:D$38,$C47)</f>
        <v>27</v>
      </c>
      <c r="E47" s="111">
        <f>'02.11'!E47+COUNTIF(E$8:E$38,$C47)</f>
        <v>27</v>
      </c>
      <c r="F47" s="111">
        <f>'02.11'!F47+COUNTIF(F$8:F$38,$C47)</f>
        <v>27</v>
      </c>
      <c r="G47" s="111">
        <f>'02.11'!G47+COUNTIF(G$8:G$38,$C47)</f>
        <v>27</v>
      </c>
      <c r="H47" s="111">
        <f>'02.11'!H47+COUNTIF(H$8:H$38,$C47)</f>
        <v>25</v>
      </c>
    </row>
    <row r="48" spans="1:8" s="19" customFormat="1" ht="26.25" x14ac:dyDescent="0.4">
      <c r="A48" s="18"/>
      <c r="B48" s="18"/>
      <c r="C48" s="109" t="str">
        <f>'01.09'!C47</f>
        <v>*Л.  Теория и методика физической культуры*</v>
      </c>
      <c r="D48" s="110">
        <f>'02.11'!D48+COUNTIF(D$8:D$38,$C48)</f>
        <v>10</v>
      </c>
      <c r="E48" s="110">
        <f>'02.11'!E48+COUNTIF(E$8:E$38,$C48)</f>
        <v>10</v>
      </c>
      <c r="F48" s="110">
        <f>'02.11'!F48+COUNTIF(F$8:F$38,$C48)</f>
        <v>10</v>
      </c>
      <c r="G48" s="110">
        <f>'02.11'!G48+COUNTIF(G$8:G$38,$C48)</f>
        <v>10</v>
      </c>
      <c r="H48" s="110">
        <f>'02.11'!H48+COUNTIF(H$8:H$38,$C48)</f>
        <v>10</v>
      </c>
    </row>
    <row r="49" spans="1:8" s="19" customFormat="1" ht="26.25" x14ac:dyDescent="0.4">
      <c r="A49" s="18"/>
      <c r="B49" s="18"/>
      <c r="C49" s="109" t="str">
        <f>'01.09'!C48</f>
        <v>*Пр.  Теория и методика физической культуры*</v>
      </c>
      <c r="D49" s="111">
        <f>'02.11'!D49+COUNTIF(D$8:D$38,$C49)</f>
        <v>6</v>
      </c>
      <c r="E49" s="111">
        <f>'02.11'!E49+COUNTIF(E$8:E$38,$C49)</f>
        <v>6</v>
      </c>
      <c r="F49" s="111">
        <f>'02.11'!F49+COUNTIF(F$8:F$38,$C49)</f>
        <v>6</v>
      </c>
      <c r="G49" s="111">
        <f>'02.11'!G49+COUNTIF(G$8:G$38,$C49)</f>
        <v>5</v>
      </c>
      <c r="H49" s="111">
        <f>'02.11'!H49+COUNTIF(H$8:H$38,$C49)</f>
        <v>5</v>
      </c>
    </row>
    <row r="50" spans="1:8" s="19" customFormat="1" ht="26.25" x14ac:dyDescent="0.4">
      <c r="A50" s="18"/>
      <c r="B50" s="18"/>
      <c r="C50" s="109" t="str">
        <f>'01.09'!C49</f>
        <v>*Л. Плавание*</v>
      </c>
      <c r="D50" s="110">
        <f>'02.11'!D50+COUNTIF(D$8:D$38,$C50)</f>
        <v>2</v>
      </c>
      <c r="E50" s="110">
        <f>'02.11'!E50+COUNTIF(E$8:E$38,$C50)</f>
        <v>2</v>
      </c>
      <c r="F50" s="110">
        <f>'02.11'!F50+COUNTIF(F$8:F$38,$C50)</f>
        <v>2</v>
      </c>
      <c r="G50" s="110">
        <f>'02.11'!G50+COUNTIF(G$8:G$38,$C50)</f>
        <v>2</v>
      </c>
      <c r="H50" s="110">
        <f>'02.11'!H50+COUNTIF(H$8:H$38,$C50)</f>
        <v>2</v>
      </c>
    </row>
    <row r="51" spans="1:8" s="19" customFormat="1" ht="26.25" x14ac:dyDescent="0.4">
      <c r="A51" s="18"/>
      <c r="B51" s="18"/>
      <c r="C51" s="109" t="str">
        <f>'01.09'!C50</f>
        <v>*Пр. Плавание*</v>
      </c>
      <c r="D51" s="111">
        <f>'02.11'!D51+COUNTIF(D$8:D$38,$C51)</f>
        <v>18</v>
      </c>
      <c r="E51" s="111">
        <f>'02.11'!E51+COUNTIF(E$8:E$38,$C51)</f>
        <v>18</v>
      </c>
      <c r="F51" s="111">
        <f>'02.11'!F51+COUNTIF(F$8:F$38,$C51)</f>
        <v>20</v>
      </c>
      <c r="G51" s="111">
        <f>'02.11'!G51+COUNTIF(G$8:G$38,$C51)</f>
        <v>20</v>
      </c>
      <c r="H51" s="111">
        <f>'02.11'!H51+COUNTIF(H$8:H$38,$C51)</f>
        <v>20</v>
      </c>
    </row>
    <row r="52" spans="1:8" s="19" customFormat="1" ht="26.25" x14ac:dyDescent="0.4">
      <c r="A52" s="18"/>
      <c r="B52" s="18"/>
      <c r="C52" s="109" t="str">
        <f>'01.09'!C51</f>
        <v>*Л. Подвижные игры в спорте и образовании*</v>
      </c>
      <c r="D52" s="110">
        <f>'02.11'!D52+COUNTIF(D$8:D$38,$C52)</f>
        <v>1</v>
      </c>
      <c r="E52" s="110">
        <f>'02.11'!E52+COUNTIF(E$8:E$38,$C52)</f>
        <v>1</v>
      </c>
      <c r="F52" s="110">
        <f>'02.11'!F52+COUNTIF(F$8:F$38,$C52)</f>
        <v>1</v>
      </c>
      <c r="G52" s="110">
        <f>'02.11'!G52+COUNTIF(G$8:G$38,$C52)</f>
        <v>1</v>
      </c>
      <c r="H52" s="110">
        <f>'02.11'!H52+COUNTIF(H$8:H$38,$C52)</f>
        <v>1</v>
      </c>
    </row>
    <row r="53" spans="1:8" s="19" customFormat="1" ht="26.25" x14ac:dyDescent="0.4">
      <c r="A53" s="18"/>
      <c r="B53" s="18"/>
      <c r="C53" s="109" t="str">
        <f>'01.09'!C52</f>
        <v>*Пр. Подвижные игры в спорте и образовании*</v>
      </c>
      <c r="D53" s="111">
        <f>'02.11'!D53+COUNTIF(D$8:D$38,$C53)</f>
        <v>10</v>
      </c>
      <c r="E53" s="111">
        <f>'02.11'!E53+COUNTIF(E$8:E$38,$C53)</f>
        <v>10</v>
      </c>
      <c r="F53" s="111">
        <f>'02.11'!F53+COUNTIF(F$8:F$38,$C53)</f>
        <v>9</v>
      </c>
      <c r="G53" s="111">
        <f>'02.11'!G53+COUNTIF(G$8:G$38,$C53)</f>
        <v>10</v>
      </c>
      <c r="H53" s="111">
        <f>'02.11'!H53+COUNTIF(H$8:H$38,$C53)</f>
        <v>10</v>
      </c>
    </row>
    <row r="54" spans="1:8" s="19" customFormat="1" ht="26.25" x14ac:dyDescent="0.4">
      <c r="A54" s="18"/>
      <c r="B54" s="18"/>
      <c r="C54" s="109" t="str">
        <f>'01.09'!C53</f>
        <v>*Л. Самооборона (самбо)*</v>
      </c>
      <c r="D54" s="110">
        <f>'02.11'!D54+COUNTIF(D$8:D$38,$C54)</f>
        <v>1</v>
      </c>
      <c r="E54" s="110">
        <f>'02.11'!E54+COUNTIF(E$8:E$38,$C54)</f>
        <v>1</v>
      </c>
      <c r="F54" s="110">
        <f>'02.11'!F54+COUNTIF(F$8:F$38,$C54)</f>
        <v>1</v>
      </c>
      <c r="G54" s="110">
        <f>'02.11'!G54+COUNTIF(G$8:G$38,$C54)</f>
        <v>1</v>
      </c>
      <c r="H54" s="110">
        <f>'02.11'!H54+COUNTIF(H$8:H$38,$C54)</f>
        <v>1</v>
      </c>
    </row>
    <row r="55" spans="1:8" s="19" customFormat="1" ht="26.25" x14ac:dyDescent="0.4">
      <c r="A55" s="18"/>
      <c r="B55" s="18"/>
      <c r="C55" s="109" t="str">
        <f>'01.09'!C54</f>
        <v>*Пр. Самооборона (самбо)*</v>
      </c>
      <c r="D55" s="111">
        <f>'02.11'!D55+COUNTIF(D$8:D$38,$C55)</f>
        <v>10</v>
      </c>
      <c r="E55" s="111">
        <f>'02.11'!E55+COUNTIF(E$8:E$38,$C55)</f>
        <v>10</v>
      </c>
      <c r="F55" s="111">
        <f>'02.11'!F55+COUNTIF(F$8:F$38,$C55)</f>
        <v>9</v>
      </c>
      <c r="G55" s="111">
        <f>'02.11'!G55+COUNTIF(G$8:G$38,$C55)</f>
        <v>10</v>
      </c>
      <c r="H55" s="111">
        <f>'02.11'!H55+COUNTIF(H$8:H$38,$C55)</f>
        <v>10</v>
      </c>
    </row>
    <row r="56" spans="1:8" s="19" customFormat="1" ht="26.25" x14ac:dyDescent="0.4">
      <c r="A56" s="18"/>
      <c r="B56" s="18"/>
      <c r="C56" s="109" t="str">
        <f>'01.09'!C55</f>
        <v>*Л. Методика реализации программ*</v>
      </c>
      <c r="D56" s="110">
        <f>'02.11'!D56+COUNTIF(D$8:D$38,$C56)</f>
        <v>3</v>
      </c>
      <c r="E56" s="110">
        <f>'02.11'!E56+COUNTIF(E$8:E$38,$C56)</f>
        <v>3</v>
      </c>
      <c r="F56" s="110">
        <f>'02.11'!F56+COUNTIF(F$8:F$38,$C56)</f>
        <v>3</v>
      </c>
      <c r="G56" s="110">
        <f>'02.11'!G56+COUNTIF(G$8:G$38,$C56)</f>
        <v>3</v>
      </c>
      <c r="H56" s="110">
        <f>'02.11'!H56+COUNTIF(H$8:H$38,$C56)</f>
        <v>3</v>
      </c>
    </row>
    <row r="57" spans="1:8" s="19" customFormat="1" ht="26.25" x14ac:dyDescent="0.4">
      <c r="A57" s="18"/>
      <c r="B57" s="18"/>
      <c r="C57" s="109" t="str">
        <f>'01.09'!C56</f>
        <v>*Пр. Методика реализации программ*</v>
      </c>
      <c r="D57" s="111">
        <f>'02.11'!D57+COUNTIF(D$8:D$38,$C57)</f>
        <v>6</v>
      </c>
      <c r="E57" s="111">
        <f>'02.11'!E57+COUNTIF(E$8:E$38,$C57)</f>
        <v>6</v>
      </c>
      <c r="F57" s="111">
        <f>'02.11'!F57+COUNTIF(F$8:F$38,$C57)</f>
        <v>6</v>
      </c>
      <c r="G57" s="111">
        <f>'02.11'!G57+COUNTIF(G$8:G$38,$C57)</f>
        <v>6</v>
      </c>
      <c r="H57" s="111">
        <f>'02.11'!H57+COUNTIF(H$8:H$38,$C57)</f>
        <v>6</v>
      </c>
    </row>
    <row r="58" spans="1:8" s="19" customFormat="1" ht="26.25" x14ac:dyDescent="0.4">
      <c r="A58" s="18"/>
      <c r="B58" s="18"/>
      <c r="C58" s="109" t="str">
        <f>'01.09'!C57</f>
        <v>*Л. Методика преподавания*</v>
      </c>
      <c r="D58" s="110">
        <f>'02.11'!D58+COUNTIF(D$8:D$38,$C58)</f>
        <v>3</v>
      </c>
      <c r="E58" s="110">
        <f>'02.11'!E58+COUNTIF(E$8:E$38,$C58)</f>
        <v>3</v>
      </c>
      <c r="F58" s="110">
        <f>'02.11'!F58+COUNTIF(F$8:F$38,$C58)</f>
        <v>3</v>
      </c>
      <c r="G58" s="110">
        <f>'02.11'!G58+COUNTIF(G$8:G$38,$C58)</f>
        <v>3</v>
      </c>
      <c r="H58" s="110">
        <f>'02.11'!H58+COUNTIF(H$8:H$38,$C58)</f>
        <v>3</v>
      </c>
    </row>
    <row r="59" spans="1:8" s="19" customFormat="1" ht="26.25" x14ac:dyDescent="0.4">
      <c r="A59" s="18"/>
      <c r="B59" s="18"/>
      <c r="C59" s="109" t="str">
        <f>'01.09'!C58</f>
        <v>*Пр. Методика преподавания*</v>
      </c>
      <c r="D59" s="111">
        <f>'02.11'!D59+COUNTIF(D$8:D$38,$C59)</f>
        <v>6</v>
      </c>
      <c r="E59" s="111">
        <f>'02.11'!E59+COUNTIF(E$8:E$38,$C59)</f>
        <v>6</v>
      </c>
      <c r="F59" s="111">
        <f>'02.11'!F59+COUNTIF(F$8:F$38,$C59)</f>
        <v>6</v>
      </c>
      <c r="G59" s="111">
        <f>'02.11'!G59+COUNTIF(G$8:G$38,$C59)</f>
        <v>6</v>
      </c>
      <c r="H59" s="111">
        <f>'02.11'!H59+COUNTIF(H$8:H$38,$C59)</f>
        <v>6</v>
      </c>
    </row>
    <row r="60" spans="1:8" s="19" customFormat="1" ht="26.25" x14ac:dyDescent="0.4">
      <c r="A60" s="18"/>
      <c r="B60" s="18"/>
      <c r="C60" s="109">
        <f>'01.09'!C59</f>
        <v>0</v>
      </c>
      <c r="D60" s="110">
        <f>'02.11'!D60+COUNTIF(D$8:D$38,$C60)</f>
        <v>0</v>
      </c>
      <c r="E60" s="110">
        <f>'02.11'!E60+COUNTIF(E$8:E$38,$C60)</f>
        <v>0</v>
      </c>
      <c r="F60" s="110">
        <f>'02.11'!F60+COUNTIF(F$8:F$38,$C60)</f>
        <v>0</v>
      </c>
      <c r="G60" s="110">
        <f>'02.11'!G60+COUNTIF(G$8:G$38,$C60)</f>
        <v>0</v>
      </c>
      <c r="H60" s="110">
        <f>'02.11'!H60+COUNTIF(H$8:H$38,$C60)</f>
        <v>0</v>
      </c>
    </row>
    <row r="61" spans="1:8" s="19" customFormat="1" ht="26.25" x14ac:dyDescent="0.4">
      <c r="A61" s="18"/>
      <c r="B61" s="18"/>
      <c r="C61" s="109">
        <f>'01.09'!C60</f>
        <v>0</v>
      </c>
      <c r="D61" s="111">
        <f>'02.11'!D61+COUNTIF(D$8:D$38,$C61)</f>
        <v>0</v>
      </c>
      <c r="E61" s="111">
        <f>'02.11'!E61+COUNTIF(E$8:E$38,$C61)</f>
        <v>0</v>
      </c>
      <c r="F61" s="111">
        <f>'02.11'!F61+COUNTIF(F$8:F$38,$C61)</f>
        <v>0</v>
      </c>
      <c r="G61" s="111">
        <f>'02.11'!G61+COUNTIF(G$8:G$38,$C61)</f>
        <v>0</v>
      </c>
      <c r="H61" s="111">
        <f>'02.11'!H61+COUNTIF(H$8:H$38,$C61)</f>
        <v>0</v>
      </c>
    </row>
    <row r="62" spans="1:8" ht="26.25" x14ac:dyDescent="0.4">
      <c r="A62" s="2"/>
      <c r="B62" s="2"/>
      <c r="C62" s="109">
        <f>'01.09'!C61</f>
        <v>0</v>
      </c>
      <c r="D62" s="110">
        <f>'02.11'!D62+COUNTIF(D$8:D$38,$C62)</f>
        <v>0</v>
      </c>
      <c r="E62" s="110">
        <f>'02.11'!E62+COUNTIF(E$8:E$38,$C62)</f>
        <v>0</v>
      </c>
      <c r="F62" s="110">
        <f>'02.11'!F62+COUNTIF(F$8:F$38,$C62)</f>
        <v>0</v>
      </c>
      <c r="G62" s="110">
        <f>'02.11'!G62+COUNTIF(G$8:G$38,$C62)</f>
        <v>0</v>
      </c>
      <c r="H62" s="110">
        <f>'02.11'!H62+COUNTIF(H$8:H$38,$C62)</f>
        <v>0</v>
      </c>
    </row>
    <row r="63" spans="1:8" ht="26.25" x14ac:dyDescent="0.4">
      <c r="A63" s="2"/>
      <c r="B63" s="2"/>
      <c r="C63" s="109">
        <f>'01.09'!C62</f>
        <v>0</v>
      </c>
      <c r="D63" s="111">
        <f>'02.11'!D63+COUNTIF(D$8:D$38,$C63)</f>
        <v>0</v>
      </c>
      <c r="E63" s="111">
        <f>'02.11'!E63+COUNTIF(E$8:E$38,$C63)</f>
        <v>0</v>
      </c>
      <c r="F63" s="111">
        <f>'02.11'!F63+COUNTIF(F$8:F$38,$C63)</f>
        <v>0</v>
      </c>
      <c r="G63" s="111">
        <f>'02.11'!G63+COUNTIF(G$8:G$38,$C63)</f>
        <v>0</v>
      </c>
      <c r="H63" s="111">
        <f>'02.11'!H63+COUNTIF(H$8:H$38,$C63)</f>
        <v>0</v>
      </c>
    </row>
    <row r="64" spans="1:8" ht="26.25" x14ac:dyDescent="0.4">
      <c r="A64" s="2"/>
      <c r="B64" s="2"/>
      <c r="C64" s="109">
        <f>'01.09'!C63</f>
        <v>0</v>
      </c>
      <c r="D64" s="110">
        <f>'02.11'!D64+COUNTIF(D$8:D$38,$C64)</f>
        <v>0</v>
      </c>
      <c r="E64" s="110">
        <f>'02.11'!E64+COUNTIF(E$8:E$38,$C64)</f>
        <v>0</v>
      </c>
      <c r="F64" s="110">
        <f>'02.11'!F64+COUNTIF(F$8:F$38,$C64)</f>
        <v>0</v>
      </c>
      <c r="G64" s="110">
        <f>'02.11'!G64+COUNTIF(G$8:G$38,$C64)</f>
        <v>0</v>
      </c>
      <c r="H64" s="110">
        <f>'02.11'!H64+COUNTIF(H$8:H$38,$C64)</f>
        <v>0</v>
      </c>
    </row>
    <row r="65" spans="1:8" ht="26.25" x14ac:dyDescent="0.4">
      <c r="A65" s="2"/>
      <c r="B65" s="2"/>
      <c r="C65" s="109">
        <f>'01.09'!C64</f>
        <v>0</v>
      </c>
      <c r="D65" s="111">
        <f>'02.11'!D65+COUNTIF(D$8:D$38,$C65)</f>
        <v>0</v>
      </c>
      <c r="E65" s="111">
        <f>'02.11'!E65+COUNTIF(E$8:E$38,$C65)</f>
        <v>0</v>
      </c>
      <c r="F65" s="111">
        <f>'02.11'!F65+COUNTIF(F$8:F$38,$C65)</f>
        <v>0</v>
      </c>
      <c r="G65" s="111">
        <f>'02.11'!G65+COUNTIF(G$8:G$38,$C65)</f>
        <v>0</v>
      </c>
      <c r="H65" s="111">
        <f>'02.11'!H65+COUNTIF(H$8:H$38,$C65)</f>
        <v>0</v>
      </c>
    </row>
    <row r="66" spans="1:8" ht="18.75" x14ac:dyDescent="0.3">
      <c r="A66" s="2"/>
      <c r="B66" s="2"/>
      <c r="C66" s="38">
        <f>'01.09'!C65</f>
        <v>0</v>
      </c>
      <c r="D66" s="42">
        <f>'02.11'!D66+COUNTIF(D$8:D$38,$C66)</f>
        <v>0</v>
      </c>
      <c r="E66" s="42">
        <f>'02.11'!E66+COUNTIF(E$8:E$38,$C66)</f>
        <v>0</v>
      </c>
      <c r="F66" s="42">
        <f>'02.11'!F66+COUNTIF(F$8:F$38,$C66)</f>
        <v>0</v>
      </c>
      <c r="G66" s="42">
        <f>'02.11'!G66+COUNTIF(G$8:G$38,$C66)</f>
        <v>0</v>
      </c>
      <c r="H66" s="42">
        <f>'02.11'!H66+COUNTIF(H$8:H$38,$C66)</f>
        <v>0</v>
      </c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B1:H1"/>
    <mergeCell ref="B2:H2"/>
    <mergeCell ref="B3:H3"/>
    <mergeCell ref="B4:H4"/>
    <mergeCell ref="B8:B12"/>
    <mergeCell ref="C6:C7"/>
    <mergeCell ref="A5:H5"/>
    <mergeCell ref="B13:B18"/>
    <mergeCell ref="A8:A12"/>
    <mergeCell ref="B6:B7"/>
    <mergeCell ref="A13:A18"/>
    <mergeCell ref="A6:A7"/>
    <mergeCell ref="A34:A38"/>
    <mergeCell ref="B34:B38"/>
    <mergeCell ref="A24:A28"/>
    <mergeCell ref="A29:A33"/>
    <mergeCell ref="B19:B23"/>
    <mergeCell ref="B24:B28"/>
    <mergeCell ref="B29:B33"/>
    <mergeCell ref="A19:A23"/>
  </mergeCells>
  <phoneticPr fontId="3" type="noConversion"/>
  <pageMargins left="0" right="0" top="0" bottom="0" header="0" footer="0"/>
  <pageSetup paperSize="9" scale="28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J72"/>
  <sheetViews>
    <sheetView view="pageBreakPreview" topLeftCell="A13" zoomScale="40" zoomScaleNormal="40" zoomScaleSheetLayoutView="40" zoomScalePageLayoutView="40" workbookViewId="0">
      <selection activeCell="E11" sqref="E11"/>
    </sheetView>
  </sheetViews>
  <sheetFormatPr defaultRowHeight="15" x14ac:dyDescent="0.25"/>
  <cols>
    <col min="1" max="2" width="4.42578125" customWidth="1"/>
    <col min="3" max="3" width="20.7109375" customWidth="1"/>
    <col min="4" max="8" width="65.28515625" customWidth="1"/>
  </cols>
  <sheetData>
    <row r="1" spans="1:8" ht="30" x14ac:dyDescent="0.3">
      <c r="A1" s="178"/>
      <c r="B1" s="760" t="s">
        <v>140</v>
      </c>
      <c r="C1" s="760"/>
      <c r="D1" s="760"/>
      <c r="E1" s="760"/>
      <c r="F1" s="760"/>
      <c r="G1" s="760"/>
      <c r="H1" s="760"/>
    </row>
    <row r="2" spans="1:8" ht="30" x14ac:dyDescent="0.3">
      <c r="A2" s="179"/>
      <c r="B2" s="760" t="s">
        <v>87</v>
      </c>
      <c r="C2" s="760"/>
      <c r="D2" s="760"/>
      <c r="E2" s="760"/>
      <c r="F2" s="760"/>
      <c r="G2" s="760"/>
      <c r="H2" s="760"/>
    </row>
    <row r="3" spans="1:8" ht="34.5" customHeight="1" x14ac:dyDescent="0.25">
      <c r="A3" s="229"/>
      <c r="B3" s="787" t="s">
        <v>81</v>
      </c>
      <c r="C3" s="787"/>
      <c r="D3" s="787"/>
      <c r="E3" s="787"/>
      <c r="F3" s="787"/>
      <c r="G3" s="787"/>
      <c r="H3" s="787"/>
    </row>
    <row r="4" spans="1:8" ht="30" x14ac:dyDescent="0.25">
      <c r="A4" s="180"/>
      <c r="B4" s="760" t="s">
        <v>142</v>
      </c>
      <c r="C4" s="760"/>
      <c r="D4" s="760"/>
      <c r="E4" s="760"/>
      <c r="F4" s="760"/>
      <c r="G4" s="760"/>
      <c r="H4" s="760"/>
    </row>
    <row r="5" spans="1:8" ht="29.25" customHeight="1" thickBot="1" x14ac:dyDescent="0.3">
      <c r="A5" s="682" t="s">
        <v>112</v>
      </c>
      <c r="B5" s="682"/>
      <c r="C5" s="682"/>
      <c r="D5" s="682"/>
      <c r="E5" s="682"/>
      <c r="F5" s="682"/>
      <c r="G5" s="682"/>
      <c r="H5" s="682"/>
    </row>
    <row r="6" spans="1:8" ht="29.25" customHeight="1" thickBot="1" x14ac:dyDescent="0.3">
      <c r="A6" s="770" t="s">
        <v>54</v>
      </c>
      <c r="B6" s="770" t="s">
        <v>14</v>
      </c>
      <c r="C6" s="793" t="s">
        <v>55</v>
      </c>
      <c r="D6" s="241" t="s">
        <v>5</v>
      </c>
      <c r="E6" s="242" t="s">
        <v>6</v>
      </c>
      <c r="F6" s="242" t="s">
        <v>7</v>
      </c>
      <c r="G6" s="242" t="s">
        <v>8</v>
      </c>
      <c r="H6" s="243" t="s">
        <v>9</v>
      </c>
    </row>
    <row r="7" spans="1:8" ht="98.25" customHeight="1" thickBot="1" x14ac:dyDescent="0.3">
      <c r="A7" s="771"/>
      <c r="B7" s="771"/>
      <c r="C7" s="794"/>
      <c r="D7" s="300" t="s">
        <v>106</v>
      </c>
      <c r="E7" s="370" t="s">
        <v>136</v>
      </c>
      <c r="F7" s="370" t="s">
        <v>107</v>
      </c>
      <c r="G7" s="370" t="s">
        <v>90</v>
      </c>
      <c r="H7" s="449" t="s">
        <v>78</v>
      </c>
    </row>
    <row r="8" spans="1:8" ht="78.75" customHeight="1" x14ac:dyDescent="0.25">
      <c r="A8" s="804" t="s">
        <v>0</v>
      </c>
      <c r="B8" s="792">
        <v>46342</v>
      </c>
      <c r="C8" s="480" t="s">
        <v>10</v>
      </c>
      <c r="D8" s="316"/>
      <c r="E8" s="299"/>
      <c r="F8" s="299"/>
      <c r="G8" s="551"/>
      <c r="H8" s="362"/>
    </row>
    <row r="9" spans="1:8" ht="78.75" customHeight="1" x14ac:dyDescent="0.25">
      <c r="A9" s="808"/>
      <c r="B9" s="757"/>
      <c r="C9" s="490" t="s">
        <v>11</v>
      </c>
      <c r="D9" s="550"/>
      <c r="E9" s="279"/>
      <c r="F9" s="383"/>
      <c r="G9" s="383"/>
      <c r="H9" s="414"/>
    </row>
    <row r="10" spans="1:8" ht="78.75" customHeight="1" x14ac:dyDescent="0.25">
      <c r="A10" s="808"/>
      <c r="B10" s="757"/>
      <c r="C10" s="490" t="s">
        <v>12</v>
      </c>
      <c r="D10" s="418"/>
      <c r="E10" s="383"/>
      <c r="F10" s="383"/>
      <c r="G10" s="460"/>
      <c r="H10" s="510"/>
    </row>
    <row r="11" spans="1:8" ht="78.75" customHeight="1" x14ac:dyDescent="0.25">
      <c r="A11" s="808"/>
      <c r="B11" s="757"/>
      <c r="C11" s="490" t="s">
        <v>13</v>
      </c>
      <c r="D11" s="418"/>
      <c r="E11" s="383"/>
      <c r="F11" s="383"/>
      <c r="G11" s="460"/>
      <c r="H11" s="414"/>
    </row>
    <row r="12" spans="1:8" ht="78.75" customHeight="1" thickBot="1" x14ac:dyDescent="0.3">
      <c r="A12" s="808"/>
      <c r="B12" s="757"/>
      <c r="C12" s="481" t="s">
        <v>15</v>
      </c>
      <c r="D12" s="595"/>
      <c r="E12" s="330"/>
      <c r="F12" s="330"/>
      <c r="G12" s="330"/>
      <c r="H12" s="350"/>
    </row>
    <row r="13" spans="1:8" ht="78.75" customHeight="1" x14ac:dyDescent="0.25">
      <c r="A13" s="804" t="s">
        <v>1</v>
      </c>
      <c r="B13" s="756">
        <f>B8+1</f>
        <v>46343</v>
      </c>
      <c r="C13" s="504" t="s">
        <v>10</v>
      </c>
      <c r="D13" s="517"/>
      <c r="E13" s="591"/>
      <c r="F13" s="591"/>
      <c r="G13" s="466"/>
      <c r="H13" s="467"/>
    </row>
    <row r="14" spans="1:8" ht="78.75" customHeight="1" x14ac:dyDescent="0.25">
      <c r="A14" s="808"/>
      <c r="B14" s="757"/>
      <c r="C14" s="505" t="s">
        <v>11</v>
      </c>
      <c r="D14" s="418"/>
      <c r="E14" s="383"/>
      <c r="F14" s="383"/>
      <c r="G14" s="279"/>
      <c r="H14" s="280"/>
    </row>
    <row r="15" spans="1:8" ht="78.75" customHeight="1" x14ac:dyDescent="0.25">
      <c r="A15" s="808"/>
      <c r="B15" s="757"/>
      <c r="C15" s="505" t="s">
        <v>12</v>
      </c>
      <c r="D15" s="418"/>
      <c r="E15" s="279"/>
      <c r="F15" s="279"/>
      <c r="G15" s="319"/>
      <c r="H15" s="510"/>
    </row>
    <row r="16" spans="1:8" ht="78.75" customHeight="1" x14ac:dyDescent="0.25">
      <c r="A16" s="808"/>
      <c r="B16" s="757"/>
      <c r="C16" s="505" t="s">
        <v>13</v>
      </c>
      <c r="D16" s="418"/>
      <c r="E16" s="279"/>
      <c r="F16" s="279"/>
      <c r="G16" s="279"/>
      <c r="H16" s="510"/>
    </row>
    <row r="17" spans="1:10" ht="78.75" customHeight="1" x14ac:dyDescent="0.25">
      <c r="A17" s="808"/>
      <c r="B17" s="757"/>
      <c r="C17" s="488" t="s">
        <v>15</v>
      </c>
      <c r="D17" s="542"/>
      <c r="E17" s="541"/>
      <c r="F17" s="540"/>
      <c r="G17" s="540"/>
      <c r="H17" s="194"/>
    </row>
    <row r="18" spans="1:10" ht="78.75" customHeight="1" thickBot="1" x14ac:dyDescent="0.3">
      <c r="A18" s="808"/>
      <c r="B18" s="757"/>
      <c r="C18" s="506" t="s">
        <v>60</v>
      </c>
      <c r="D18" s="582"/>
      <c r="E18" s="430"/>
      <c r="F18" s="583"/>
      <c r="G18" s="583"/>
      <c r="H18" s="584"/>
    </row>
    <row r="19" spans="1:10" ht="78.75" customHeight="1" x14ac:dyDescent="0.25">
      <c r="A19" s="819" t="s">
        <v>2</v>
      </c>
      <c r="B19" s="817">
        <f>B13+1</f>
        <v>46344</v>
      </c>
      <c r="C19" s="480" t="s">
        <v>10</v>
      </c>
      <c r="D19" s="539"/>
      <c r="E19" s="466"/>
      <c r="F19" s="466"/>
      <c r="G19" s="466"/>
      <c r="H19" s="467"/>
    </row>
    <row r="20" spans="1:10" ht="78.75" customHeight="1" x14ac:dyDescent="0.25">
      <c r="A20" s="820"/>
      <c r="B20" s="818"/>
      <c r="C20" s="490" t="s">
        <v>11</v>
      </c>
      <c r="D20" s="278"/>
      <c r="E20" s="279"/>
      <c r="F20" s="279"/>
      <c r="G20" s="279"/>
      <c r="H20" s="280"/>
    </row>
    <row r="21" spans="1:10" ht="78.75" customHeight="1" x14ac:dyDescent="0.25">
      <c r="A21" s="820"/>
      <c r="B21" s="818"/>
      <c r="C21" s="490" t="s">
        <v>12</v>
      </c>
      <c r="D21" s="418"/>
      <c r="E21" s="410"/>
      <c r="F21" s="279"/>
      <c r="G21" s="279"/>
      <c r="H21" s="510"/>
      <c r="J21" s="3"/>
    </row>
    <row r="22" spans="1:10" ht="78.75" customHeight="1" x14ac:dyDescent="0.25">
      <c r="A22" s="820"/>
      <c r="B22" s="818"/>
      <c r="C22" s="490" t="s">
        <v>13</v>
      </c>
      <c r="D22" s="418"/>
      <c r="E22" s="383"/>
      <c r="F22" s="279"/>
      <c r="G22" s="279"/>
      <c r="H22" s="510"/>
    </row>
    <row r="23" spans="1:10" ht="78.75" customHeight="1" thickBot="1" x14ac:dyDescent="0.3">
      <c r="A23" s="821"/>
      <c r="B23" s="818"/>
      <c r="C23" s="481" t="s">
        <v>15</v>
      </c>
      <c r="D23" s="217"/>
      <c r="E23" s="457"/>
      <c r="F23" s="218"/>
      <c r="G23" s="218"/>
      <c r="H23" s="219"/>
    </row>
    <row r="24" spans="1:10" ht="78.75" customHeight="1" x14ac:dyDescent="0.25">
      <c r="A24" s="804" t="s">
        <v>3</v>
      </c>
      <c r="B24" s="756">
        <f>B19+1</f>
        <v>46345</v>
      </c>
      <c r="C24" s="504" t="s">
        <v>10</v>
      </c>
      <c r="D24" s="302"/>
      <c r="E24" s="303"/>
      <c r="F24" s="303"/>
      <c r="G24" s="303"/>
      <c r="H24" s="321"/>
    </row>
    <row r="25" spans="1:10" ht="78.75" customHeight="1" x14ac:dyDescent="0.25">
      <c r="A25" s="805"/>
      <c r="B25" s="757"/>
      <c r="C25" s="505" t="s">
        <v>11</v>
      </c>
      <c r="D25" s="281"/>
      <c r="E25" s="248"/>
      <c r="F25" s="319"/>
      <c r="G25" s="248"/>
      <c r="H25" s="282"/>
    </row>
    <row r="26" spans="1:10" ht="78.75" customHeight="1" x14ac:dyDescent="0.25">
      <c r="A26" s="805"/>
      <c r="B26" s="757"/>
      <c r="C26" s="505" t="s">
        <v>12</v>
      </c>
      <c r="D26" s="418"/>
      <c r="E26" s="383"/>
      <c r="F26" s="442"/>
      <c r="G26" s="410"/>
      <c r="H26" s="473"/>
    </row>
    <row r="27" spans="1:10" ht="78.75" customHeight="1" x14ac:dyDescent="0.25">
      <c r="A27" s="805"/>
      <c r="B27" s="757"/>
      <c r="C27" s="505" t="s">
        <v>13</v>
      </c>
      <c r="D27" s="517"/>
      <c r="E27" s="383"/>
      <c r="F27" s="383"/>
      <c r="G27" s="410"/>
      <c r="H27" s="473"/>
    </row>
    <row r="28" spans="1:10" ht="78.75" customHeight="1" thickBot="1" x14ac:dyDescent="0.3">
      <c r="A28" s="805"/>
      <c r="B28" s="757"/>
      <c r="C28" s="506" t="s">
        <v>15</v>
      </c>
      <c r="D28" s="217"/>
      <c r="E28" s="468"/>
      <c r="F28" s="457"/>
      <c r="G28" s="457"/>
      <c r="H28" s="459"/>
    </row>
    <row r="29" spans="1:10" ht="78.75" customHeight="1" x14ac:dyDescent="0.25">
      <c r="A29" s="804" t="s">
        <v>4</v>
      </c>
      <c r="B29" s="756">
        <f>B24+1</f>
        <v>46346</v>
      </c>
      <c r="C29" s="480" t="s">
        <v>10</v>
      </c>
      <c r="D29" s="293"/>
      <c r="E29" s="294"/>
      <c r="F29" s="294"/>
      <c r="G29" s="382"/>
      <c r="H29" s="295"/>
    </row>
    <row r="30" spans="1:10" ht="78.75" customHeight="1" x14ac:dyDescent="0.25">
      <c r="A30" s="808"/>
      <c r="B30" s="757"/>
      <c r="C30" s="490" t="s">
        <v>11</v>
      </c>
      <c r="D30" s="283"/>
      <c r="E30" s="319"/>
      <c r="F30" s="247"/>
      <c r="G30" s="460"/>
      <c r="H30" s="318"/>
    </row>
    <row r="31" spans="1:10" ht="78.75" customHeight="1" x14ac:dyDescent="0.25">
      <c r="A31" s="808"/>
      <c r="B31" s="757"/>
      <c r="C31" s="490" t="s">
        <v>12</v>
      </c>
      <c r="D31" s="317"/>
      <c r="E31" s="319"/>
      <c r="F31" s="248"/>
      <c r="G31" s="319"/>
      <c r="H31" s="318"/>
    </row>
    <row r="32" spans="1:10" ht="78.75" customHeight="1" x14ac:dyDescent="0.25">
      <c r="A32" s="808"/>
      <c r="B32" s="757"/>
      <c r="C32" s="490" t="s">
        <v>13</v>
      </c>
      <c r="D32" s="317"/>
      <c r="E32" s="319"/>
      <c r="F32" s="248"/>
      <c r="G32" s="319"/>
      <c r="H32" s="282"/>
    </row>
    <row r="33" spans="1:9" ht="78.75" customHeight="1" thickBot="1" x14ac:dyDescent="0.3">
      <c r="A33" s="809"/>
      <c r="B33" s="757"/>
      <c r="C33" s="481" t="s">
        <v>15</v>
      </c>
      <c r="D33" s="285"/>
      <c r="E33" s="286"/>
      <c r="F33" s="286"/>
      <c r="G33" s="286"/>
      <c r="H33" s="287"/>
    </row>
    <row r="34" spans="1:9" ht="33.75" customHeight="1" x14ac:dyDescent="0.25">
      <c r="A34" s="757" t="s">
        <v>47</v>
      </c>
      <c r="B34" s="756">
        <f>B29+1</f>
        <v>46347</v>
      </c>
      <c r="C34" s="521" t="s">
        <v>10</v>
      </c>
      <c r="D34" s="144"/>
      <c r="E34" s="145"/>
      <c r="F34" s="145"/>
      <c r="G34" s="145"/>
      <c r="H34" s="146"/>
    </row>
    <row r="35" spans="1:9" ht="33.75" customHeight="1" x14ac:dyDescent="0.25">
      <c r="A35" s="757"/>
      <c r="B35" s="757"/>
      <c r="C35" s="522" t="s">
        <v>11</v>
      </c>
      <c r="D35" s="262"/>
      <c r="E35" s="141"/>
      <c r="F35" s="141"/>
      <c r="G35" s="142"/>
      <c r="H35" s="263"/>
    </row>
    <row r="36" spans="1:9" ht="33.75" customHeight="1" x14ac:dyDescent="0.25">
      <c r="A36" s="757"/>
      <c r="B36" s="757"/>
      <c r="C36" s="522" t="s">
        <v>12</v>
      </c>
      <c r="D36" s="262"/>
      <c r="E36" s="141"/>
      <c r="F36" s="390"/>
      <c r="G36" s="141"/>
      <c r="H36" s="391"/>
    </row>
    <row r="37" spans="1:9" ht="33.75" customHeight="1" x14ac:dyDescent="0.25">
      <c r="A37" s="757"/>
      <c r="B37" s="757"/>
      <c r="C37" s="522" t="s">
        <v>13</v>
      </c>
      <c r="D37" s="147"/>
      <c r="E37" s="142"/>
      <c r="F37" s="142"/>
      <c r="G37" s="141"/>
      <c r="H37" s="148"/>
    </row>
    <row r="38" spans="1:9" ht="33.75" customHeight="1" thickBot="1" x14ac:dyDescent="0.3">
      <c r="A38" s="758"/>
      <c r="B38" s="758"/>
      <c r="C38" s="523" t="s">
        <v>15</v>
      </c>
      <c r="D38" s="149"/>
      <c r="E38" s="100"/>
      <c r="F38" s="100"/>
      <c r="G38" s="100"/>
      <c r="H38" s="113"/>
    </row>
    <row r="39" spans="1:9" ht="32.25" customHeight="1" x14ac:dyDescent="0.3">
      <c r="A39" s="2"/>
      <c r="B39" s="2"/>
      <c r="C39" s="44"/>
      <c r="D39" s="181" t="s">
        <v>82</v>
      </c>
      <c r="E39" s="44"/>
      <c r="F39" s="44"/>
      <c r="G39" s="44"/>
      <c r="H39" s="44"/>
    </row>
    <row r="40" spans="1:9" s="19" customFormat="1" ht="30.75" x14ac:dyDescent="0.45">
      <c r="A40" s="18"/>
      <c r="B40" s="18"/>
      <c r="C40" s="70" t="str">
        <f>'01.09'!C39</f>
        <v>*Л. Физиология человека*</v>
      </c>
      <c r="D40" s="71">
        <f>'09.11'!D40+COUNTIF(D$8:D$38,$C40)</f>
        <v>12</v>
      </c>
      <c r="E40" s="71">
        <f>'09.11'!E40+COUNTIF(E$8:E$38,$C40)</f>
        <v>12</v>
      </c>
      <c r="F40" s="71">
        <f>'09.11'!F40+COUNTIF(F$8:F$38,$C40)</f>
        <v>12</v>
      </c>
      <c r="G40" s="71">
        <f>'09.11'!G40+COUNTIF(G$8:G$38,$C40)</f>
        <v>12</v>
      </c>
      <c r="H40" s="71">
        <f>'09.11'!H40+COUNTIF(H$8:H$38,$C40)</f>
        <v>12</v>
      </c>
      <c r="I40" s="176"/>
    </row>
    <row r="41" spans="1:9" s="19" customFormat="1" ht="30.75" x14ac:dyDescent="0.45">
      <c r="A41" s="18"/>
      <c r="B41" s="18"/>
      <c r="C41" s="70" t="str">
        <f>'01.09'!C40</f>
        <v>*Пр. Физиология человека*</v>
      </c>
      <c r="D41" s="72">
        <f>'09.11'!D41+COUNTIF(D$8:D$38,$C41)</f>
        <v>19</v>
      </c>
      <c r="E41" s="72">
        <f>'09.11'!E41+COUNTIF(E$8:E$38,$C41)</f>
        <v>20</v>
      </c>
      <c r="F41" s="72">
        <f>'09.11'!F41+COUNTIF(F$8:F$38,$C41)</f>
        <v>19</v>
      </c>
      <c r="G41" s="72">
        <f>'09.11'!G41+COUNTIF(G$8:G$38,$C41)</f>
        <v>20</v>
      </c>
      <c r="H41" s="72">
        <f>'09.11'!H41+COUNTIF(H$8:H$38,$C41)</f>
        <v>20</v>
      </c>
      <c r="I41" s="176"/>
    </row>
    <row r="42" spans="1:9" s="19" customFormat="1" ht="30.75" x14ac:dyDescent="0.45">
      <c r="A42" s="18"/>
      <c r="B42" s="18"/>
      <c r="C42" s="70" t="str">
        <f>'01.09'!C41</f>
        <v>*Л. Элективные дисциплины по ФКиС: Фехтование*</v>
      </c>
      <c r="D42" s="71">
        <f>'09.11'!D42+COUNTIF(D$8:D$38,$C42)</f>
        <v>1</v>
      </c>
      <c r="E42" s="71">
        <f>'09.11'!E42+COUNTIF(E$8:E$38,$C42)</f>
        <v>1</v>
      </c>
      <c r="F42" s="71">
        <f>'09.11'!F42+COUNTIF(F$8:F$38,$C42)</f>
        <v>1</v>
      </c>
      <c r="G42" s="71">
        <f>'09.11'!G42+COUNTIF(G$8:G$38,$C42)</f>
        <v>1</v>
      </c>
      <c r="H42" s="71">
        <f>'09.11'!H42+COUNTIF(H$8:H$38,$C42)</f>
        <v>1</v>
      </c>
      <c r="I42" s="176"/>
    </row>
    <row r="43" spans="1:9" s="19" customFormat="1" ht="30.75" x14ac:dyDescent="0.45">
      <c r="A43" s="18"/>
      <c r="B43" s="18"/>
      <c r="C43" s="70" t="str">
        <f>'01.09'!C42</f>
        <v>*Пр. Элективные дисциплины по ФКиС: Фехтование*</v>
      </c>
      <c r="D43" s="72">
        <f>'09.11'!D43+COUNTIF(D$8:D$38,$C43)</f>
        <v>6</v>
      </c>
      <c r="E43" s="72">
        <f>'09.11'!E43+COUNTIF(E$8:E$38,$C43)</f>
        <v>6</v>
      </c>
      <c r="F43" s="72">
        <f>'09.11'!F43+COUNTIF(F$8:F$38,$C43)</f>
        <v>6</v>
      </c>
      <c r="G43" s="72">
        <f>'09.11'!G43+COUNTIF(G$8:G$38,$C43)</f>
        <v>6</v>
      </c>
      <c r="H43" s="72">
        <f>'09.11'!H43+COUNTIF(H$8:H$38,$C43)</f>
        <v>6</v>
      </c>
      <c r="I43" s="176"/>
    </row>
    <row r="44" spans="1:9" s="19" customFormat="1" ht="30.75" x14ac:dyDescent="0.45">
      <c r="A44" s="18"/>
      <c r="B44" s="18"/>
      <c r="C44" s="70" t="str">
        <f>'01.09'!C43</f>
        <v>*Л. Педагогика физической культуры и спорта*</v>
      </c>
      <c r="D44" s="71">
        <f>'09.11'!D44+COUNTIF(D$8:D$38,$C44)</f>
        <v>5</v>
      </c>
      <c r="E44" s="71">
        <f>'09.11'!E44+COUNTIF(E$8:E$38,$C44)</f>
        <v>5</v>
      </c>
      <c r="F44" s="71">
        <f>'09.11'!F44+COUNTIF(F$8:F$38,$C44)</f>
        <v>5</v>
      </c>
      <c r="G44" s="71">
        <f>'09.11'!G44+COUNTIF(G$8:G$38,$C44)</f>
        <v>5</v>
      </c>
      <c r="H44" s="71">
        <f>'09.11'!H44+COUNTIF(H$8:H$38,$C44)</f>
        <v>5</v>
      </c>
      <c r="I44" s="176"/>
    </row>
    <row r="45" spans="1:9" s="19" customFormat="1" ht="30.75" x14ac:dyDescent="0.45">
      <c r="A45" s="18"/>
      <c r="B45" s="18"/>
      <c r="C45" s="70" t="str">
        <f>'01.09'!C44</f>
        <v>*Пр. Педагогика физической культуры и спорта*</v>
      </c>
      <c r="D45" s="72">
        <f>'09.11'!D45+COUNTIF(D$8:D$38,$C45)</f>
        <v>6</v>
      </c>
      <c r="E45" s="72">
        <f>'09.11'!E45+COUNTIF(E$8:E$38,$C45)</f>
        <v>5</v>
      </c>
      <c r="F45" s="72">
        <f>'09.11'!F45+COUNTIF(F$8:F$38,$C45)</f>
        <v>5</v>
      </c>
      <c r="G45" s="72">
        <f>'09.11'!G45+COUNTIF(G$8:G$38,$C45)</f>
        <v>5</v>
      </c>
      <c r="H45" s="72">
        <f>'09.11'!H45+COUNTIF(H$8:H$38,$C45)</f>
        <v>4</v>
      </c>
      <c r="I45" s="176"/>
    </row>
    <row r="46" spans="1:9" s="19" customFormat="1" ht="30.75" x14ac:dyDescent="0.45">
      <c r="A46" s="18"/>
      <c r="B46" s="18"/>
      <c r="C46" s="70" t="str">
        <f>'01.09'!C45</f>
        <v>*Л. Теория и методика*</v>
      </c>
      <c r="D46" s="71">
        <f>'09.11'!D46+COUNTIF(D$8:D$38,$C46)</f>
        <v>4</v>
      </c>
      <c r="E46" s="71">
        <f>'09.11'!E46+COUNTIF(E$8:E$38,$C46)</f>
        <v>4</v>
      </c>
      <c r="F46" s="71">
        <f>'09.11'!F46+COUNTIF(F$8:F$38,$C46)</f>
        <v>4</v>
      </c>
      <c r="G46" s="71">
        <f>'09.11'!G46+COUNTIF(G$8:G$38,$C46)</f>
        <v>4</v>
      </c>
      <c r="H46" s="71">
        <f>'09.11'!H46+COUNTIF(H$8:H$38,$C46)</f>
        <v>4</v>
      </c>
      <c r="I46" s="176"/>
    </row>
    <row r="47" spans="1:9" s="19" customFormat="1" ht="30.75" x14ac:dyDescent="0.45">
      <c r="A47" s="18"/>
      <c r="B47" s="18"/>
      <c r="C47" s="70" t="str">
        <f>'01.09'!C46</f>
        <v>*Пр. Теория и методика*</v>
      </c>
      <c r="D47" s="72">
        <f>'09.11'!D47+COUNTIF(D$8:D$38,$C47)</f>
        <v>27</v>
      </c>
      <c r="E47" s="72">
        <f>'09.11'!E47+COUNTIF(E$8:E$38,$C47)</f>
        <v>27</v>
      </c>
      <c r="F47" s="72">
        <f>'09.11'!F47+COUNTIF(F$8:F$38,$C47)</f>
        <v>27</v>
      </c>
      <c r="G47" s="72">
        <f>'09.11'!G47+COUNTIF(G$8:G$38,$C47)</f>
        <v>27</v>
      </c>
      <c r="H47" s="72">
        <f>'09.11'!H47+COUNTIF(H$8:H$38,$C47)</f>
        <v>25</v>
      </c>
      <c r="I47" s="176"/>
    </row>
    <row r="48" spans="1:9" s="19" customFormat="1" ht="30.75" x14ac:dyDescent="0.45">
      <c r="A48" s="18"/>
      <c r="B48" s="18"/>
      <c r="C48" s="70" t="str">
        <f>'01.09'!C47</f>
        <v>*Л.  Теория и методика физической культуры*</v>
      </c>
      <c r="D48" s="71">
        <f>'09.11'!D48+COUNTIF(D$8:D$38,$C48)</f>
        <v>10</v>
      </c>
      <c r="E48" s="71">
        <f>'09.11'!E48+COUNTIF(E$8:E$38,$C48)</f>
        <v>10</v>
      </c>
      <c r="F48" s="71">
        <f>'09.11'!F48+COUNTIF(F$8:F$38,$C48)</f>
        <v>10</v>
      </c>
      <c r="G48" s="71">
        <f>'09.11'!G48+COUNTIF(G$8:G$38,$C48)</f>
        <v>10</v>
      </c>
      <c r="H48" s="71">
        <f>'09.11'!H48+COUNTIF(H$8:H$38,$C48)</f>
        <v>10</v>
      </c>
      <c r="I48" s="176"/>
    </row>
    <row r="49" spans="1:9" s="19" customFormat="1" ht="30.75" x14ac:dyDescent="0.45">
      <c r="A49" s="18"/>
      <c r="B49" s="18"/>
      <c r="C49" s="70" t="str">
        <f>'01.09'!C48</f>
        <v>*Пр.  Теория и методика физической культуры*</v>
      </c>
      <c r="D49" s="72">
        <f>'09.11'!D49+COUNTIF(D$8:D$38,$C49)</f>
        <v>6</v>
      </c>
      <c r="E49" s="72">
        <f>'09.11'!E49+COUNTIF(E$8:E$38,$C49)</f>
        <v>6</v>
      </c>
      <c r="F49" s="72">
        <f>'09.11'!F49+COUNTIF(F$8:F$38,$C49)</f>
        <v>6</v>
      </c>
      <c r="G49" s="72">
        <f>'09.11'!G49+COUNTIF(G$8:G$38,$C49)</f>
        <v>5</v>
      </c>
      <c r="H49" s="72">
        <f>'09.11'!H49+COUNTIF(H$8:H$38,$C49)</f>
        <v>5</v>
      </c>
      <c r="I49" s="176"/>
    </row>
    <row r="50" spans="1:9" s="19" customFormat="1" ht="30.75" x14ac:dyDescent="0.45">
      <c r="A50" s="18"/>
      <c r="B50" s="18"/>
      <c r="C50" s="70" t="str">
        <f>'01.09'!C49</f>
        <v>*Л. Плавание*</v>
      </c>
      <c r="D50" s="71">
        <f>'09.11'!D50+COUNTIF(D$8:D$38,$C50)</f>
        <v>2</v>
      </c>
      <c r="E50" s="71">
        <f>'09.11'!E50+COUNTIF(E$8:E$38,$C50)</f>
        <v>2</v>
      </c>
      <c r="F50" s="71">
        <f>'09.11'!F50+COUNTIF(F$8:F$38,$C50)</f>
        <v>2</v>
      </c>
      <c r="G50" s="71">
        <f>'09.11'!G50+COUNTIF(G$8:G$38,$C50)</f>
        <v>2</v>
      </c>
      <c r="H50" s="71">
        <f>'09.11'!H50+COUNTIF(H$8:H$38,$C50)</f>
        <v>2</v>
      </c>
      <c r="I50" s="176"/>
    </row>
    <row r="51" spans="1:9" s="19" customFormat="1" ht="30.75" x14ac:dyDescent="0.45">
      <c r="A51" s="18"/>
      <c r="B51" s="18"/>
      <c r="C51" s="70" t="str">
        <f>'01.09'!C50</f>
        <v>*Пр. Плавание*</v>
      </c>
      <c r="D51" s="72">
        <f>'09.11'!D51+COUNTIF(D$8:D$38,$C51)</f>
        <v>18</v>
      </c>
      <c r="E51" s="72">
        <f>'09.11'!E51+COUNTIF(E$8:E$38,$C51)</f>
        <v>18</v>
      </c>
      <c r="F51" s="72">
        <f>'09.11'!F51+COUNTIF(F$8:F$38,$C51)</f>
        <v>20</v>
      </c>
      <c r="G51" s="72">
        <f>'09.11'!G51+COUNTIF(G$8:G$38,$C51)</f>
        <v>20</v>
      </c>
      <c r="H51" s="72">
        <f>'09.11'!H51+COUNTIF(H$8:H$38,$C51)</f>
        <v>20</v>
      </c>
      <c r="I51" s="176"/>
    </row>
    <row r="52" spans="1:9" s="19" customFormat="1" ht="30.75" x14ac:dyDescent="0.45">
      <c r="A52" s="18"/>
      <c r="B52" s="18"/>
      <c r="C52" s="70" t="str">
        <f>'01.09'!C51</f>
        <v>*Л. Подвижные игры в спорте и образовании*</v>
      </c>
      <c r="D52" s="71">
        <f>'09.11'!D52+COUNTIF(D$8:D$38,$C52)</f>
        <v>1</v>
      </c>
      <c r="E52" s="71">
        <f>'09.11'!E52+COUNTIF(E$8:E$38,$C52)</f>
        <v>1</v>
      </c>
      <c r="F52" s="71">
        <f>'09.11'!F52+COUNTIF(F$8:F$38,$C52)</f>
        <v>1</v>
      </c>
      <c r="G52" s="71">
        <f>'09.11'!G52+COUNTIF(G$8:G$38,$C52)</f>
        <v>1</v>
      </c>
      <c r="H52" s="71">
        <f>'09.11'!H52+COUNTIF(H$8:H$38,$C52)</f>
        <v>1</v>
      </c>
      <c r="I52" s="176"/>
    </row>
    <row r="53" spans="1:9" s="19" customFormat="1" ht="30.75" x14ac:dyDescent="0.45">
      <c r="A53" s="18"/>
      <c r="B53" s="18"/>
      <c r="C53" s="70" t="str">
        <f>'01.09'!C52</f>
        <v>*Пр. Подвижные игры в спорте и образовании*</v>
      </c>
      <c r="D53" s="72">
        <f>'09.11'!D53+COUNTIF(D$8:D$38,$C53)</f>
        <v>10</v>
      </c>
      <c r="E53" s="72">
        <f>'09.11'!E53+COUNTIF(E$8:E$38,$C53)</f>
        <v>10</v>
      </c>
      <c r="F53" s="72">
        <f>'09.11'!F53+COUNTIF(F$8:F$38,$C53)</f>
        <v>9</v>
      </c>
      <c r="G53" s="72">
        <f>'09.11'!G53+COUNTIF(G$8:G$38,$C53)</f>
        <v>10</v>
      </c>
      <c r="H53" s="72">
        <f>'09.11'!H53+COUNTIF(H$8:H$38,$C53)</f>
        <v>10</v>
      </c>
      <c r="I53" s="176"/>
    </row>
    <row r="54" spans="1:9" s="19" customFormat="1" ht="30.75" x14ac:dyDescent="0.45">
      <c r="A54" s="18"/>
      <c r="B54" s="18"/>
      <c r="C54" s="70" t="str">
        <f>'01.09'!C53</f>
        <v>*Л. Самооборона (самбо)*</v>
      </c>
      <c r="D54" s="71">
        <f>'09.11'!D54+COUNTIF(D$8:D$38,$C54)</f>
        <v>1</v>
      </c>
      <c r="E54" s="71">
        <f>'09.11'!E54+COUNTIF(E$8:E$38,$C54)</f>
        <v>1</v>
      </c>
      <c r="F54" s="71">
        <f>'09.11'!F54+COUNTIF(F$8:F$38,$C54)</f>
        <v>1</v>
      </c>
      <c r="G54" s="71">
        <f>'09.11'!G54+COUNTIF(G$8:G$38,$C54)</f>
        <v>1</v>
      </c>
      <c r="H54" s="71">
        <f>'09.11'!H54+COUNTIF(H$8:H$38,$C54)</f>
        <v>1</v>
      </c>
      <c r="I54" s="176"/>
    </row>
    <row r="55" spans="1:9" s="19" customFormat="1" ht="30.75" x14ac:dyDescent="0.45">
      <c r="A55" s="18"/>
      <c r="B55" s="18"/>
      <c r="C55" s="70" t="str">
        <f>'01.09'!C54</f>
        <v>*Пр. Самооборона (самбо)*</v>
      </c>
      <c r="D55" s="72">
        <f>'09.11'!D55+COUNTIF(D$8:D$38,$C55)</f>
        <v>10</v>
      </c>
      <c r="E55" s="72">
        <f>'09.11'!E55+COUNTIF(E$8:E$38,$C55)</f>
        <v>10</v>
      </c>
      <c r="F55" s="72">
        <f>'09.11'!F55+COUNTIF(F$8:F$38,$C55)</f>
        <v>9</v>
      </c>
      <c r="G55" s="72">
        <f>'09.11'!G55+COUNTIF(G$8:G$38,$C55)</f>
        <v>10</v>
      </c>
      <c r="H55" s="72">
        <f>'09.11'!H55+COUNTIF(H$8:H$38,$C55)</f>
        <v>10</v>
      </c>
      <c r="I55" s="176"/>
    </row>
    <row r="56" spans="1:9" s="19" customFormat="1" ht="30.75" x14ac:dyDescent="0.45">
      <c r="A56" s="18"/>
      <c r="B56" s="18"/>
      <c r="C56" s="70" t="str">
        <f>'01.09'!C55</f>
        <v>*Л. Методика реализации программ*</v>
      </c>
      <c r="D56" s="71">
        <f>'09.11'!D56+COUNTIF(D$8:D$38,$C56)</f>
        <v>3</v>
      </c>
      <c r="E56" s="71">
        <f>'09.11'!E56+COUNTIF(E$8:E$38,$C56)</f>
        <v>3</v>
      </c>
      <c r="F56" s="71">
        <f>'09.11'!F56+COUNTIF(F$8:F$38,$C56)</f>
        <v>3</v>
      </c>
      <c r="G56" s="71">
        <f>'09.11'!G56+COUNTIF(G$8:G$38,$C56)</f>
        <v>3</v>
      </c>
      <c r="H56" s="71">
        <f>'09.11'!H56+COUNTIF(H$8:H$38,$C56)</f>
        <v>3</v>
      </c>
      <c r="I56" s="176"/>
    </row>
    <row r="57" spans="1:9" s="19" customFormat="1" ht="30.75" x14ac:dyDescent="0.45">
      <c r="A57" s="18"/>
      <c r="B57" s="18"/>
      <c r="C57" s="70" t="str">
        <f>'01.09'!C56</f>
        <v>*Пр. Методика реализации программ*</v>
      </c>
      <c r="D57" s="72">
        <f>'09.11'!D57+COUNTIF(D$8:D$38,$C57)</f>
        <v>6</v>
      </c>
      <c r="E57" s="72">
        <f>'09.11'!E57+COUNTIF(E$8:E$38,$C57)</f>
        <v>6</v>
      </c>
      <c r="F57" s="72">
        <f>'09.11'!F57+COUNTIF(F$8:F$38,$C57)</f>
        <v>6</v>
      </c>
      <c r="G57" s="72">
        <f>'09.11'!G57+COUNTIF(G$8:G$38,$C57)</f>
        <v>6</v>
      </c>
      <c r="H57" s="72">
        <f>'09.11'!H57+COUNTIF(H$8:H$38,$C57)</f>
        <v>6</v>
      </c>
      <c r="I57" s="176"/>
    </row>
    <row r="58" spans="1:9" s="19" customFormat="1" ht="30.75" x14ac:dyDescent="0.45">
      <c r="A58" s="18"/>
      <c r="B58" s="18"/>
      <c r="C58" s="70" t="str">
        <f>'01.09'!C57</f>
        <v>*Л. Методика преподавания*</v>
      </c>
      <c r="D58" s="71">
        <f>'09.11'!D58+COUNTIF(D$8:D$38,$C58)</f>
        <v>3</v>
      </c>
      <c r="E58" s="71">
        <f>'09.11'!E58+COUNTIF(E$8:E$38,$C58)</f>
        <v>3</v>
      </c>
      <c r="F58" s="71">
        <f>'09.11'!F58+COUNTIF(F$8:F$38,$C58)</f>
        <v>3</v>
      </c>
      <c r="G58" s="71">
        <f>'09.11'!G58+COUNTIF(G$8:G$38,$C58)</f>
        <v>3</v>
      </c>
      <c r="H58" s="71">
        <f>'09.11'!H58+COUNTIF(H$8:H$38,$C58)</f>
        <v>3</v>
      </c>
      <c r="I58" s="176"/>
    </row>
    <row r="59" spans="1:9" s="19" customFormat="1" ht="30.75" x14ac:dyDescent="0.45">
      <c r="A59" s="18"/>
      <c r="B59" s="18"/>
      <c r="C59" s="70" t="str">
        <f>'01.09'!C58</f>
        <v>*Пр. Методика преподавания*</v>
      </c>
      <c r="D59" s="72">
        <f>'09.11'!D59+COUNTIF(D$8:D$38,$C59)</f>
        <v>6</v>
      </c>
      <c r="E59" s="72">
        <f>'09.11'!E59+COUNTIF(E$8:E$38,$C59)</f>
        <v>6</v>
      </c>
      <c r="F59" s="72">
        <f>'09.11'!F59+COUNTIF(F$8:F$38,$C59)</f>
        <v>6</v>
      </c>
      <c r="G59" s="72">
        <f>'09.11'!G59+COUNTIF(G$8:G$38,$C59)</f>
        <v>6</v>
      </c>
      <c r="H59" s="72">
        <f>'09.11'!H59+COUNTIF(H$8:H$38,$C59)</f>
        <v>6</v>
      </c>
      <c r="I59" s="176"/>
    </row>
    <row r="60" spans="1:9" s="19" customFormat="1" ht="30.75" x14ac:dyDescent="0.45">
      <c r="A60" s="18"/>
      <c r="B60" s="18"/>
      <c r="C60" s="70">
        <f>'01.09'!C59</f>
        <v>0</v>
      </c>
      <c r="D60" s="71">
        <f>'09.11'!D60+COUNTIF(D$8:D$38,$C60)</f>
        <v>0</v>
      </c>
      <c r="E60" s="71">
        <f>'09.11'!E60+COUNTIF(E$8:E$38,$C60)</f>
        <v>0</v>
      </c>
      <c r="F60" s="71">
        <f>'09.11'!F60+COUNTIF(F$8:F$38,$C60)</f>
        <v>0</v>
      </c>
      <c r="G60" s="71">
        <f>'09.11'!G60+COUNTIF(G$8:G$38,$C60)</f>
        <v>0</v>
      </c>
      <c r="H60" s="71">
        <f>'09.11'!H60+COUNTIF(H$8:H$38,$C60)</f>
        <v>0</v>
      </c>
      <c r="I60" s="176"/>
    </row>
    <row r="61" spans="1:9" s="19" customFormat="1" ht="30.75" x14ac:dyDescent="0.45">
      <c r="A61" s="18"/>
      <c r="B61" s="18"/>
      <c r="C61" s="70">
        <f>'01.09'!C60</f>
        <v>0</v>
      </c>
      <c r="D61" s="72">
        <f>'09.11'!D61+COUNTIF(D$8:D$38,$C61)</f>
        <v>0</v>
      </c>
      <c r="E61" s="72">
        <f>'09.11'!E61+COUNTIF(E$8:E$38,$C61)</f>
        <v>0</v>
      </c>
      <c r="F61" s="72">
        <f>'09.11'!F61+COUNTIF(F$8:F$38,$C61)</f>
        <v>0</v>
      </c>
      <c r="G61" s="72">
        <f>'09.11'!G61+COUNTIF(G$8:G$38,$C61)</f>
        <v>0</v>
      </c>
      <c r="H61" s="72">
        <f>'09.11'!H61+COUNTIF(H$8:H$38,$C61)</f>
        <v>0</v>
      </c>
      <c r="I61" s="176"/>
    </row>
    <row r="62" spans="1:9" ht="31.5" x14ac:dyDescent="0.5">
      <c r="A62" s="2"/>
      <c r="B62" s="2"/>
      <c r="C62" s="70">
        <f>'01.09'!C61</f>
        <v>0</v>
      </c>
      <c r="D62" s="71">
        <f>'09.11'!D62+COUNTIF(D$8:D$38,$C62)</f>
        <v>0</v>
      </c>
      <c r="E62" s="71">
        <f>'09.11'!E62+COUNTIF(E$8:E$38,$C62)</f>
        <v>0</v>
      </c>
      <c r="F62" s="71">
        <f>'09.11'!F62+COUNTIF(F$8:F$38,$C62)</f>
        <v>0</v>
      </c>
      <c r="G62" s="71">
        <f>'09.11'!G62+COUNTIF(G$8:G$38,$C62)</f>
        <v>0</v>
      </c>
      <c r="H62" s="71">
        <f>'09.11'!H62+COUNTIF(H$8:H$38,$C62)</f>
        <v>0</v>
      </c>
      <c r="I62" s="320"/>
    </row>
    <row r="63" spans="1:9" ht="31.5" x14ac:dyDescent="0.5">
      <c r="A63" s="2"/>
      <c r="B63" s="2"/>
      <c r="C63" s="70">
        <f>'01.09'!C62</f>
        <v>0</v>
      </c>
      <c r="D63" s="72">
        <f>'09.11'!D63+COUNTIF(D$8:D$38,$C63)</f>
        <v>0</v>
      </c>
      <c r="E63" s="72">
        <f>'09.11'!E63+COUNTIF(E$8:E$38,$C63)</f>
        <v>0</v>
      </c>
      <c r="F63" s="72">
        <f>'09.11'!F63+COUNTIF(F$8:F$38,$C63)</f>
        <v>0</v>
      </c>
      <c r="G63" s="72">
        <f>'09.11'!G63+COUNTIF(G$8:G$38,$C63)</f>
        <v>0</v>
      </c>
      <c r="H63" s="72">
        <f>'09.11'!H63+COUNTIF(H$8:H$38,$C63)</f>
        <v>0</v>
      </c>
      <c r="I63" s="320"/>
    </row>
    <row r="64" spans="1:9" ht="23.25" x14ac:dyDescent="0.35">
      <c r="A64" s="2"/>
      <c r="B64" s="2"/>
      <c r="C64" s="70">
        <f>'01.09'!C63</f>
        <v>0</v>
      </c>
      <c r="D64" s="71">
        <f>'09.11'!D64+COUNTIF(D$8:D$38,$C64)</f>
        <v>0</v>
      </c>
      <c r="E64" s="71">
        <f>'09.11'!E64+COUNTIF(E$8:E$38,$C64)</f>
        <v>0</v>
      </c>
      <c r="F64" s="71">
        <f>'09.11'!F64+COUNTIF(F$8:F$38,$C64)</f>
        <v>0</v>
      </c>
      <c r="G64" s="71">
        <f>'09.11'!G64+COUNTIF(G$8:G$38,$C64)</f>
        <v>0</v>
      </c>
      <c r="H64" s="71">
        <f>'09.11'!H64+COUNTIF(H$8:H$38,$C64)</f>
        <v>0</v>
      </c>
    </row>
    <row r="65" spans="1:8" ht="23.25" x14ac:dyDescent="0.35">
      <c r="A65" s="2"/>
      <c r="B65" s="2"/>
      <c r="C65" s="70">
        <f>'01.09'!C64</f>
        <v>0</v>
      </c>
      <c r="D65" s="72">
        <f>'09.11'!D65+COUNTIF(D$8:D$38,$C65)</f>
        <v>0</v>
      </c>
      <c r="E65" s="72">
        <f>'09.11'!E65+COUNTIF(E$8:E$38,$C65)</f>
        <v>0</v>
      </c>
      <c r="F65" s="72">
        <f>'09.11'!F65+COUNTIF(F$8:F$38,$C65)</f>
        <v>0</v>
      </c>
      <c r="G65" s="72">
        <f>'09.11'!G65+COUNTIF(G$8:G$38,$C65)</f>
        <v>0</v>
      </c>
      <c r="H65" s="72">
        <f>'09.11'!H65+COUNTIF(H$8:H$38,$C65)</f>
        <v>0</v>
      </c>
    </row>
    <row r="66" spans="1:8" ht="23.25" x14ac:dyDescent="0.35">
      <c r="A66" s="2"/>
      <c r="B66" s="2"/>
      <c r="C66" s="70">
        <f>'01.09'!C65</f>
        <v>0</v>
      </c>
      <c r="D66" s="71">
        <f>'09.11'!D66+COUNTIF(D$8:D$38,$C66)</f>
        <v>0</v>
      </c>
      <c r="E66" s="71">
        <f>'09.11'!E66+COUNTIF(E$8:E$38,$C66)</f>
        <v>0</v>
      </c>
      <c r="F66" s="71">
        <f>'09.11'!F66+COUNTIF(F$8:F$38,$C66)</f>
        <v>0</v>
      </c>
      <c r="G66" s="71">
        <f>'09.11'!G66+COUNTIF(G$8:G$38,$C66)</f>
        <v>0</v>
      </c>
      <c r="H66" s="71">
        <f>'09.11'!H66+COUNTIF(H$8:H$38,$C66)</f>
        <v>0</v>
      </c>
    </row>
    <row r="67" spans="1:8" ht="23.25" x14ac:dyDescent="0.35">
      <c r="A67" s="2"/>
      <c r="B67" s="2"/>
      <c r="C67" s="70">
        <f>'01.09'!C66</f>
        <v>0</v>
      </c>
      <c r="D67" s="72">
        <f>'09.11'!D67+COUNTIF(D$8:D$38,$C67)</f>
        <v>0</v>
      </c>
      <c r="E67" s="72">
        <f>'09.11'!E67+COUNTIF(E$8:E$38,$C67)</f>
        <v>0</v>
      </c>
      <c r="F67" s="72">
        <f>'09.11'!F67+COUNTIF(F$8:F$38,$C67)</f>
        <v>0</v>
      </c>
      <c r="G67" s="72">
        <f>'09.11'!G67+COUNTIF(G$8:G$38,$C67)</f>
        <v>0</v>
      </c>
      <c r="H67" s="72">
        <f>'09.11'!H67+COUNTIF(H$8:H$38,$C67)</f>
        <v>0</v>
      </c>
    </row>
    <row r="68" spans="1:8" ht="23.25" x14ac:dyDescent="0.35">
      <c r="A68" s="2"/>
      <c r="B68" s="2"/>
      <c r="C68" s="70">
        <f>'01.09'!C67</f>
        <v>0</v>
      </c>
      <c r="D68" s="71">
        <f>'09.11'!D68+COUNTIF(D$8:D$38,$C68)</f>
        <v>0</v>
      </c>
      <c r="E68" s="71">
        <f>'09.11'!E68+COUNTIF(E$8:E$38,$C68)</f>
        <v>0</v>
      </c>
      <c r="F68" s="71">
        <f>'09.11'!F68+COUNTIF(F$8:F$38,$C68)</f>
        <v>0</v>
      </c>
      <c r="G68" s="71">
        <f>'09.11'!G68+COUNTIF(G$8:G$38,$C68)</f>
        <v>0</v>
      </c>
      <c r="H68" s="71">
        <f>'09.11'!H68+COUNTIF(H$8:H$38,$C68)</f>
        <v>0</v>
      </c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B1:H1"/>
    <mergeCell ref="B2:H2"/>
    <mergeCell ref="B3:H3"/>
    <mergeCell ref="B4:H4"/>
    <mergeCell ref="A5:H5"/>
    <mergeCell ref="A34:A38"/>
    <mergeCell ref="B34:B38"/>
    <mergeCell ref="A29:A33"/>
    <mergeCell ref="B29:B33"/>
    <mergeCell ref="C6:C7"/>
    <mergeCell ref="B8:B12"/>
    <mergeCell ref="B13:B18"/>
    <mergeCell ref="A13:A18"/>
    <mergeCell ref="A24:A28"/>
    <mergeCell ref="B19:B23"/>
    <mergeCell ref="B24:B28"/>
    <mergeCell ref="A19:A23"/>
    <mergeCell ref="A8:A12"/>
    <mergeCell ref="A6:A7"/>
    <mergeCell ref="B6:B7"/>
  </mergeCells>
  <phoneticPr fontId="3" type="noConversion"/>
  <pageMargins left="0" right="0" top="0" bottom="0" header="0" footer="0"/>
  <pageSetup paperSize="9" scale="28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J72"/>
  <sheetViews>
    <sheetView view="pageBreakPreview" zoomScale="40" zoomScaleNormal="40" zoomScaleSheetLayoutView="40" zoomScalePageLayoutView="40" workbookViewId="0">
      <selection activeCell="E32" sqref="E32"/>
    </sheetView>
  </sheetViews>
  <sheetFormatPr defaultRowHeight="15" x14ac:dyDescent="0.25"/>
  <cols>
    <col min="1" max="2" width="4.42578125" customWidth="1"/>
    <col min="3" max="3" width="21.85546875" customWidth="1"/>
    <col min="4" max="8" width="64.7109375" customWidth="1"/>
  </cols>
  <sheetData>
    <row r="1" spans="1:8" ht="30" x14ac:dyDescent="0.3">
      <c r="A1" s="178"/>
      <c r="B1" s="760" t="s">
        <v>140</v>
      </c>
      <c r="C1" s="760"/>
      <c r="D1" s="760"/>
      <c r="E1" s="760"/>
      <c r="F1" s="760"/>
      <c r="G1" s="760"/>
      <c r="H1" s="760"/>
    </row>
    <row r="2" spans="1:8" ht="30" x14ac:dyDescent="0.3">
      <c r="A2" s="179"/>
      <c r="B2" s="760" t="s">
        <v>87</v>
      </c>
      <c r="C2" s="760"/>
      <c r="D2" s="760"/>
      <c r="E2" s="760"/>
      <c r="F2" s="760"/>
      <c r="G2" s="760"/>
      <c r="H2" s="760"/>
    </row>
    <row r="3" spans="1:8" ht="40.5" customHeight="1" x14ac:dyDescent="0.25">
      <c r="A3" s="229"/>
      <c r="B3" s="787" t="s">
        <v>81</v>
      </c>
      <c r="C3" s="787"/>
      <c r="D3" s="787"/>
      <c r="E3" s="787"/>
      <c r="F3" s="787"/>
      <c r="G3" s="787"/>
      <c r="H3" s="787"/>
    </row>
    <row r="4" spans="1:8" ht="30" x14ac:dyDescent="0.25">
      <c r="A4" s="180"/>
      <c r="B4" s="760" t="s">
        <v>142</v>
      </c>
      <c r="C4" s="760"/>
      <c r="D4" s="760"/>
      <c r="E4" s="760"/>
      <c r="F4" s="760"/>
      <c r="G4" s="760"/>
      <c r="H4" s="760"/>
    </row>
    <row r="5" spans="1:8" ht="30.75" thickBot="1" x14ac:dyDescent="0.3">
      <c r="A5" s="682" t="s">
        <v>112</v>
      </c>
      <c r="B5" s="682"/>
      <c r="C5" s="682"/>
      <c r="D5" s="682"/>
      <c r="E5" s="682"/>
      <c r="F5" s="682"/>
      <c r="G5" s="682"/>
      <c r="H5" s="682"/>
    </row>
    <row r="6" spans="1:8" ht="33.75" customHeight="1" thickBot="1" x14ac:dyDescent="0.3">
      <c r="A6" s="770" t="s">
        <v>54</v>
      </c>
      <c r="B6" s="770" t="s">
        <v>14</v>
      </c>
      <c r="C6" s="793" t="s">
        <v>55</v>
      </c>
      <c r="D6" s="241" t="s">
        <v>5</v>
      </c>
      <c r="E6" s="242" t="s">
        <v>6</v>
      </c>
      <c r="F6" s="242" t="s">
        <v>7</v>
      </c>
      <c r="G6" s="242" t="s">
        <v>8</v>
      </c>
      <c r="H6" s="243" t="s">
        <v>9</v>
      </c>
    </row>
    <row r="7" spans="1:8" ht="108.75" customHeight="1" thickBot="1" x14ac:dyDescent="0.3">
      <c r="A7" s="771"/>
      <c r="B7" s="771"/>
      <c r="C7" s="794"/>
      <c r="D7" s="300" t="s">
        <v>106</v>
      </c>
      <c r="E7" s="370" t="s">
        <v>136</v>
      </c>
      <c r="F7" s="370" t="s">
        <v>107</v>
      </c>
      <c r="G7" s="370" t="s">
        <v>90</v>
      </c>
      <c r="H7" s="449" t="s">
        <v>78</v>
      </c>
    </row>
    <row r="8" spans="1:8" ht="87.75" customHeight="1" x14ac:dyDescent="0.25">
      <c r="A8" s="804" t="s">
        <v>0</v>
      </c>
      <c r="B8" s="792">
        <v>46349</v>
      </c>
      <c r="C8" s="480" t="s">
        <v>10</v>
      </c>
      <c r="D8" s="316"/>
      <c r="E8" s="299"/>
      <c r="F8" s="299"/>
      <c r="G8" s="551"/>
      <c r="H8" s="362"/>
    </row>
    <row r="9" spans="1:8" ht="87.75" customHeight="1" x14ac:dyDescent="0.25">
      <c r="A9" s="808"/>
      <c r="B9" s="757"/>
      <c r="C9" s="490" t="s">
        <v>11</v>
      </c>
      <c r="D9" s="550"/>
      <c r="E9" s="279"/>
      <c r="F9" s="383"/>
      <c r="G9" s="383"/>
      <c r="H9" s="414"/>
    </row>
    <row r="10" spans="1:8" ht="87.75" customHeight="1" x14ac:dyDescent="0.25">
      <c r="A10" s="808"/>
      <c r="B10" s="757"/>
      <c r="C10" s="490" t="s">
        <v>12</v>
      </c>
      <c r="D10" s="418"/>
      <c r="E10" s="383"/>
      <c r="F10" s="383"/>
      <c r="G10" s="460"/>
      <c r="H10" s="510"/>
    </row>
    <row r="11" spans="1:8" ht="87.75" customHeight="1" x14ac:dyDescent="0.25">
      <c r="A11" s="808"/>
      <c r="B11" s="757"/>
      <c r="C11" s="490" t="s">
        <v>13</v>
      </c>
      <c r="D11" s="418"/>
      <c r="E11" s="383"/>
      <c r="F11" s="383"/>
      <c r="G11" s="460"/>
      <c r="H11" s="414"/>
    </row>
    <row r="12" spans="1:8" ht="87.75" customHeight="1" thickBot="1" x14ac:dyDescent="0.3">
      <c r="A12" s="808"/>
      <c r="B12" s="757"/>
      <c r="C12" s="481" t="s">
        <v>15</v>
      </c>
      <c r="D12" s="595"/>
      <c r="E12" s="330"/>
      <c r="F12" s="330"/>
      <c r="G12" s="330"/>
      <c r="H12" s="350"/>
    </row>
    <row r="13" spans="1:8" ht="87.75" customHeight="1" x14ac:dyDescent="0.25">
      <c r="A13" s="804" t="s">
        <v>1</v>
      </c>
      <c r="B13" s="756">
        <f>B8+1</f>
        <v>46350</v>
      </c>
      <c r="C13" s="504" t="s">
        <v>10</v>
      </c>
      <c r="D13" s="517"/>
      <c r="E13" s="591"/>
      <c r="F13" s="591"/>
      <c r="G13" s="466"/>
      <c r="H13" s="467"/>
    </row>
    <row r="14" spans="1:8" ht="87.75" customHeight="1" x14ac:dyDescent="0.25">
      <c r="A14" s="808"/>
      <c r="B14" s="757"/>
      <c r="C14" s="505" t="s">
        <v>11</v>
      </c>
      <c r="D14" s="418"/>
      <c r="E14" s="383"/>
      <c r="F14" s="383"/>
      <c r="G14" s="279"/>
      <c r="H14" s="280"/>
    </row>
    <row r="15" spans="1:8" ht="87.75" customHeight="1" x14ac:dyDescent="0.25">
      <c r="A15" s="808"/>
      <c r="B15" s="757"/>
      <c r="C15" s="505" t="s">
        <v>12</v>
      </c>
      <c r="D15" s="418"/>
      <c r="E15" s="279"/>
      <c r="F15" s="279"/>
      <c r="G15" s="319"/>
      <c r="H15" s="510"/>
    </row>
    <row r="16" spans="1:8" ht="87.75" customHeight="1" x14ac:dyDescent="0.25">
      <c r="A16" s="808"/>
      <c r="B16" s="757"/>
      <c r="C16" s="505" t="s">
        <v>13</v>
      </c>
      <c r="D16" s="418"/>
      <c r="E16" s="279"/>
      <c r="F16" s="279"/>
      <c r="G16" s="279"/>
      <c r="H16" s="510"/>
    </row>
    <row r="17" spans="1:10" ht="87.75" customHeight="1" x14ac:dyDescent="0.25">
      <c r="A17" s="808"/>
      <c r="B17" s="757"/>
      <c r="C17" s="488" t="s">
        <v>15</v>
      </c>
      <c r="D17" s="542"/>
      <c r="E17" s="541"/>
      <c r="F17" s="540"/>
      <c r="G17" s="540"/>
      <c r="H17" s="194"/>
    </row>
    <row r="18" spans="1:10" ht="87.75" customHeight="1" thickBot="1" x14ac:dyDescent="0.3">
      <c r="A18" s="808"/>
      <c r="B18" s="757"/>
      <c r="C18" s="506" t="s">
        <v>60</v>
      </c>
      <c r="D18" s="582"/>
      <c r="E18" s="430"/>
      <c r="F18" s="583"/>
      <c r="G18" s="583"/>
      <c r="H18" s="584"/>
    </row>
    <row r="19" spans="1:10" ht="87.75" customHeight="1" x14ac:dyDescent="0.25">
      <c r="A19" s="804" t="s">
        <v>2</v>
      </c>
      <c r="B19" s="756">
        <f>B13+1</f>
        <v>46351</v>
      </c>
      <c r="C19" s="480" t="s">
        <v>10</v>
      </c>
      <c r="D19" s="539"/>
      <c r="E19" s="466"/>
      <c r="F19" s="466"/>
      <c r="G19" s="466"/>
      <c r="H19" s="467"/>
    </row>
    <row r="20" spans="1:10" ht="87.75" customHeight="1" x14ac:dyDescent="0.25">
      <c r="A20" s="808"/>
      <c r="B20" s="757"/>
      <c r="C20" s="490" t="s">
        <v>11</v>
      </c>
      <c r="D20" s="278"/>
      <c r="E20" s="279"/>
      <c r="F20" s="279"/>
      <c r="G20" s="279"/>
      <c r="H20" s="280"/>
    </row>
    <row r="21" spans="1:10" ht="87.75" customHeight="1" x14ac:dyDescent="0.25">
      <c r="A21" s="808"/>
      <c r="B21" s="757"/>
      <c r="C21" s="490" t="s">
        <v>12</v>
      </c>
      <c r="D21" s="418"/>
      <c r="E21" s="410"/>
      <c r="F21" s="279"/>
      <c r="G21" s="279"/>
      <c r="H21" s="510"/>
      <c r="J21" s="3"/>
    </row>
    <row r="22" spans="1:10" ht="87.75" customHeight="1" x14ac:dyDescent="0.25">
      <c r="A22" s="808"/>
      <c r="B22" s="757"/>
      <c r="C22" s="490" t="s">
        <v>13</v>
      </c>
      <c r="D22" s="418"/>
      <c r="E22" s="383"/>
      <c r="F22" s="279"/>
      <c r="G22" s="279"/>
      <c r="H22" s="510"/>
    </row>
    <row r="23" spans="1:10" ht="87.75" customHeight="1" thickBot="1" x14ac:dyDescent="0.3">
      <c r="A23" s="809"/>
      <c r="B23" s="757"/>
      <c r="C23" s="481" t="s">
        <v>15</v>
      </c>
      <c r="D23" s="217"/>
      <c r="E23" s="457"/>
      <c r="F23" s="218"/>
      <c r="G23" s="218"/>
      <c r="H23" s="219"/>
    </row>
    <row r="24" spans="1:10" ht="87.75" customHeight="1" x14ac:dyDescent="0.25">
      <c r="A24" s="804" t="s">
        <v>3</v>
      </c>
      <c r="B24" s="756">
        <f>B19+1</f>
        <v>46352</v>
      </c>
      <c r="C24" s="504" t="s">
        <v>10</v>
      </c>
      <c r="D24" s="302"/>
      <c r="E24" s="303"/>
      <c r="F24" s="303"/>
      <c r="G24" s="303"/>
      <c r="H24" s="321"/>
    </row>
    <row r="25" spans="1:10" ht="87.75" customHeight="1" x14ac:dyDescent="0.25">
      <c r="A25" s="805"/>
      <c r="B25" s="757"/>
      <c r="C25" s="505" t="s">
        <v>11</v>
      </c>
      <c r="D25" s="281"/>
      <c r="E25" s="248"/>
      <c r="F25" s="319"/>
      <c r="G25" s="248"/>
      <c r="H25" s="282"/>
    </row>
    <row r="26" spans="1:10" ht="87.75" customHeight="1" x14ac:dyDescent="0.25">
      <c r="A26" s="805"/>
      <c r="B26" s="757"/>
      <c r="C26" s="505" t="s">
        <v>12</v>
      </c>
      <c r="D26" s="418"/>
      <c r="E26" s="383"/>
      <c r="F26" s="442"/>
      <c r="G26" s="410"/>
      <c r="H26" s="473"/>
    </row>
    <row r="27" spans="1:10" ht="87.75" customHeight="1" x14ac:dyDescent="0.25">
      <c r="A27" s="805"/>
      <c r="B27" s="757"/>
      <c r="C27" s="505" t="s">
        <v>13</v>
      </c>
      <c r="D27" s="517"/>
      <c r="E27" s="383"/>
      <c r="F27" s="383"/>
      <c r="G27" s="410"/>
      <c r="H27" s="473"/>
    </row>
    <row r="28" spans="1:10" ht="87.75" customHeight="1" thickBot="1" x14ac:dyDescent="0.3">
      <c r="A28" s="806"/>
      <c r="B28" s="757"/>
      <c r="C28" s="506" t="s">
        <v>15</v>
      </c>
      <c r="D28" s="217"/>
      <c r="E28" s="468"/>
      <c r="F28" s="457"/>
      <c r="G28" s="457"/>
      <c r="H28" s="459"/>
    </row>
    <row r="29" spans="1:10" ht="87.75" customHeight="1" x14ac:dyDescent="0.25">
      <c r="A29" s="804" t="s">
        <v>4</v>
      </c>
      <c r="B29" s="756">
        <f>B24+1</f>
        <v>46353</v>
      </c>
      <c r="C29" s="480" t="s">
        <v>10</v>
      </c>
      <c r="D29" s="293"/>
      <c r="E29" s="294"/>
      <c r="F29" s="294"/>
      <c r="G29" s="361"/>
      <c r="H29" s="295"/>
    </row>
    <row r="30" spans="1:10" ht="87.75" customHeight="1" x14ac:dyDescent="0.25">
      <c r="A30" s="808"/>
      <c r="B30" s="757"/>
      <c r="C30" s="490" t="s">
        <v>11</v>
      </c>
      <c r="D30" s="283"/>
      <c r="E30" s="247"/>
      <c r="F30" s="247"/>
      <c r="G30" s="460"/>
      <c r="H30" s="284"/>
    </row>
    <row r="31" spans="1:10" ht="87.75" customHeight="1" x14ac:dyDescent="0.25">
      <c r="A31" s="808"/>
      <c r="B31" s="757"/>
      <c r="C31" s="490" t="s">
        <v>12</v>
      </c>
      <c r="D31" s="281"/>
      <c r="E31" s="248"/>
      <c r="F31" s="248"/>
      <c r="G31" s="248"/>
      <c r="H31" s="282"/>
    </row>
    <row r="32" spans="1:10" ht="87.75" customHeight="1" x14ac:dyDescent="0.25">
      <c r="A32" s="808"/>
      <c r="B32" s="757"/>
      <c r="C32" s="490" t="s">
        <v>13</v>
      </c>
      <c r="D32" s="281"/>
      <c r="E32" s="248"/>
      <c r="F32" s="248"/>
      <c r="G32" s="319"/>
      <c r="H32" s="282"/>
    </row>
    <row r="33" spans="1:8" ht="87.75" customHeight="1" thickBot="1" x14ac:dyDescent="0.3">
      <c r="A33" s="809"/>
      <c r="B33" s="757"/>
      <c r="C33" s="481" t="s">
        <v>15</v>
      </c>
      <c r="D33" s="285"/>
      <c r="E33" s="286"/>
      <c r="F33" s="286"/>
      <c r="G33" s="286"/>
      <c r="H33" s="287"/>
    </row>
    <row r="34" spans="1:8" ht="50.25" customHeight="1" x14ac:dyDescent="0.25">
      <c r="A34" s="757" t="s">
        <v>47</v>
      </c>
      <c r="B34" s="756">
        <f>B29+1</f>
        <v>46354</v>
      </c>
      <c r="C34" s="507" t="s">
        <v>10</v>
      </c>
      <c r="D34" s="302"/>
      <c r="E34" s="303"/>
      <c r="F34" s="303"/>
      <c r="G34" s="303"/>
      <c r="H34" s="321"/>
    </row>
    <row r="35" spans="1:8" ht="50.25" customHeight="1" x14ac:dyDescent="0.25">
      <c r="A35" s="757"/>
      <c r="B35" s="757"/>
      <c r="C35" s="508" t="s">
        <v>11</v>
      </c>
      <c r="D35" s="278"/>
      <c r="E35" s="279"/>
      <c r="F35" s="247"/>
      <c r="G35" s="279"/>
      <c r="H35" s="280"/>
    </row>
    <row r="36" spans="1:8" ht="50.25" customHeight="1" x14ac:dyDescent="0.25">
      <c r="A36" s="757"/>
      <c r="B36" s="757"/>
      <c r="C36" s="508" t="s">
        <v>12</v>
      </c>
      <c r="D36" s="281"/>
      <c r="E36" s="248"/>
      <c r="F36" s="248"/>
      <c r="G36" s="248"/>
      <c r="H36" s="282"/>
    </row>
    <row r="37" spans="1:8" ht="50.25" customHeight="1" x14ac:dyDescent="0.25">
      <c r="A37" s="757"/>
      <c r="B37" s="757"/>
      <c r="C37" s="508" t="s">
        <v>13</v>
      </c>
      <c r="D37" s="281"/>
      <c r="E37" s="248"/>
      <c r="F37" s="248"/>
      <c r="G37" s="248"/>
      <c r="H37" s="282"/>
    </row>
    <row r="38" spans="1:8" ht="50.25" customHeight="1" thickBot="1" x14ac:dyDescent="0.3">
      <c r="A38" s="758"/>
      <c r="B38" s="758"/>
      <c r="C38" s="509" t="s">
        <v>15</v>
      </c>
      <c r="D38" s="217"/>
      <c r="E38" s="457"/>
      <c r="F38" s="457"/>
      <c r="G38" s="457"/>
      <c r="H38" s="458"/>
    </row>
    <row r="39" spans="1:8" ht="28.5" customHeight="1" x14ac:dyDescent="0.3">
      <c r="A39" s="2"/>
      <c r="B39" s="2"/>
      <c r="C39" s="44"/>
      <c r="D39" s="181" t="s">
        <v>82</v>
      </c>
      <c r="E39" s="44"/>
      <c r="F39" s="44"/>
      <c r="G39" s="44"/>
      <c r="H39" s="44"/>
    </row>
    <row r="40" spans="1:8" s="19" customFormat="1" ht="26.25" x14ac:dyDescent="0.4">
      <c r="A40" s="18"/>
      <c r="B40" s="18"/>
      <c r="C40" s="109" t="str">
        <f>'01.09'!C39</f>
        <v>*Л. Физиология человека*</v>
      </c>
      <c r="D40" s="110">
        <f>'16.11'!D40+COUNTIF(D$8:D$38,$C40)</f>
        <v>12</v>
      </c>
      <c r="E40" s="110">
        <f>'16.11'!E40+COUNTIF(E$8:E$38,$C40)</f>
        <v>12</v>
      </c>
      <c r="F40" s="110">
        <f>'16.11'!F40+COUNTIF(F$8:F$38,$C40)</f>
        <v>12</v>
      </c>
      <c r="G40" s="110">
        <f>'16.11'!G40+COUNTIF(G$8:G$38,$C40)</f>
        <v>12</v>
      </c>
      <c r="H40" s="110">
        <f>'16.11'!H40+COUNTIF(H$8:H$38,$C40)</f>
        <v>12</v>
      </c>
    </row>
    <row r="41" spans="1:8" s="19" customFormat="1" ht="26.25" x14ac:dyDescent="0.4">
      <c r="A41" s="18"/>
      <c r="B41" s="18"/>
      <c r="C41" s="109" t="str">
        <f>'01.09'!C40</f>
        <v>*Пр. Физиология человека*</v>
      </c>
      <c r="D41" s="111">
        <f>'16.11'!D41+COUNTIF(D$8:D$38,$C41)</f>
        <v>19</v>
      </c>
      <c r="E41" s="111">
        <f>'16.11'!E41+COUNTIF(E$8:E$38,$C41)</f>
        <v>20</v>
      </c>
      <c r="F41" s="111">
        <f>'16.11'!F41+COUNTIF(F$8:F$38,$C41)</f>
        <v>19</v>
      </c>
      <c r="G41" s="111">
        <f>'16.11'!G41+COUNTIF(G$8:G$38,$C41)</f>
        <v>20</v>
      </c>
      <c r="H41" s="111">
        <f>'16.11'!H41+COUNTIF(H$8:H$38,$C41)</f>
        <v>20</v>
      </c>
    </row>
    <row r="42" spans="1:8" s="19" customFormat="1" ht="26.25" x14ac:dyDescent="0.4">
      <c r="A42" s="18"/>
      <c r="B42" s="18"/>
      <c r="C42" s="109" t="str">
        <f>'01.09'!C41</f>
        <v>*Л. Элективные дисциплины по ФКиС: Фехтование*</v>
      </c>
      <c r="D42" s="110">
        <f>'16.11'!D42+COUNTIF(D$8:D$38,$C42)</f>
        <v>1</v>
      </c>
      <c r="E42" s="110">
        <f>'16.11'!E42+COUNTIF(E$8:E$38,$C42)</f>
        <v>1</v>
      </c>
      <c r="F42" s="110">
        <f>'16.11'!F42+COUNTIF(F$8:F$38,$C42)</f>
        <v>1</v>
      </c>
      <c r="G42" s="110">
        <f>'16.11'!G42+COUNTIF(G$8:G$38,$C42)</f>
        <v>1</v>
      </c>
      <c r="H42" s="110">
        <f>'16.11'!H42+COUNTIF(H$8:H$38,$C42)</f>
        <v>1</v>
      </c>
    </row>
    <row r="43" spans="1:8" s="19" customFormat="1" ht="26.25" x14ac:dyDescent="0.4">
      <c r="A43" s="18"/>
      <c r="B43" s="18"/>
      <c r="C43" s="109" t="str">
        <f>'01.09'!C42</f>
        <v>*Пр. Элективные дисциплины по ФКиС: Фехтование*</v>
      </c>
      <c r="D43" s="111">
        <f>'16.11'!D43+COUNTIF(D$8:D$38,$C43)</f>
        <v>6</v>
      </c>
      <c r="E43" s="111">
        <f>'16.11'!E43+COUNTIF(E$8:E$38,$C43)</f>
        <v>6</v>
      </c>
      <c r="F43" s="111">
        <f>'16.11'!F43+COUNTIF(F$8:F$38,$C43)</f>
        <v>6</v>
      </c>
      <c r="G43" s="111">
        <f>'16.11'!G43+COUNTIF(G$8:G$38,$C43)</f>
        <v>6</v>
      </c>
      <c r="H43" s="111">
        <f>'16.11'!H43+COUNTIF(H$8:H$38,$C43)</f>
        <v>6</v>
      </c>
    </row>
    <row r="44" spans="1:8" s="19" customFormat="1" ht="26.25" x14ac:dyDescent="0.4">
      <c r="A44" s="18"/>
      <c r="B44" s="18"/>
      <c r="C44" s="109" t="str">
        <f>'01.09'!C43</f>
        <v>*Л. Педагогика физической культуры и спорта*</v>
      </c>
      <c r="D44" s="110">
        <f>'16.11'!D44+COUNTIF(D$8:D$38,$C44)</f>
        <v>5</v>
      </c>
      <c r="E44" s="110">
        <f>'16.11'!E44+COUNTIF(E$8:E$38,$C44)</f>
        <v>5</v>
      </c>
      <c r="F44" s="110">
        <f>'16.11'!F44+COUNTIF(F$8:F$38,$C44)</f>
        <v>5</v>
      </c>
      <c r="G44" s="110">
        <f>'16.11'!G44+COUNTIF(G$8:G$38,$C44)</f>
        <v>5</v>
      </c>
      <c r="H44" s="110">
        <f>'16.11'!H44+COUNTIF(H$8:H$38,$C44)</f>
        <v>5</v>
      </c>
    </row>
    <row r="45" spans="1:8" s="19" customFormat="1" ht="26.25" x14ac:dyDescent="0.4">
      <c r="A45" s="18"/>
      <c r="B45" s="18"/>
      <c r="C45" s="109" t="str">
        <f>'01.09'!C44</f>
        <v>*Пр. Педагогика физической культуры и спорта*</v>
      </c>
      <c r="D45" s="111">
        <f>'16.11'!D45+COUNTIF(D$8:D$38,$C45)</f>
        <v>6</v>
      </c>
      <c r="E45" s="111">
        <f>'16.11'!E45+COUNTIF(E$8:E$38,$C45)</f>
        <v>5</v>
      </c>
      <c r="F45" s="111">
        <f>'16.11'!F45+COUNTIF(F$8:F$38,$C45)</f>
        <v>5</v>
      </c>
      <c r="G45" s="111">
        <f>'16.11'!G45+COUNTIF(G$8:G$38,$C45)</f>
        <v>5</v>
      </c>
      <c r="H45" s="111">
        <f>'16.11'!H45+COUNTIF(H$8:H$38,$C45)</f>
        <v>4</v>
      </c>
    </row>
    <row r="46" spans="1:8" s="19" customFormat="1" ht="26.25" x14ac:dyDescent="0.4">
      <c r="A46" s="18"/>
      <c r="B46" s="18"/>
      <c r="C46" s="109" t="str">
        <f>'01.09'!C45</f>
        <v>*Л. Теория и методика*</v>
      </c>
      <c r="D46" s="110">
        <f>'16.11'!D46+COUNTIF(D$8:D$38,$C46)</f>
        <v>4</v>
      </c>
      <c r="E46" s="110">
        <f>'16.11'!E46+COUNTIF(E$8:E$38,$C46)</f>
        <v>4</v>
      </c>
      <c r="F46" s="110">
        <f>'16.11'!F46+COUNTIF(F$8:F$38,$C46)</f>
        <v>4</v>
      </c>
      <c r="G46" s="110">
        <f>'16.11'!G46+COUNTIF(G$8:G$38,$C46)</f>
        <v>4</v>
      </c>
      <c r="H46" s="110">
        <f>'16.11'!H46+COUNTIF(H$8:H$38,$C46)</f>
        <v>4</v>
      </c>
    </row>
    <row r="47" spans="1:8" s="19" customFormat="1" ht="26.25" x14ac:dyDescent="0.4">
      <c r="A47" s="18"/>
      <c r="B47" s="18"/>
      <c r="C47" s="109" t="str">
        <f>'01.09'!C46</f>
        <v>*Пр. Теория и методика*</v>
      </c>
      <c r="D47" s="111">
        <f>'16.11'!D47+COUNTIF(D$8:D$38,$C47)</f>
        <v>27</v>
      </c>
      <c r="E47" s="111">
        <f>'16.11'!E47+COUNTIF(E$8:E$38,$C47)</f>
        <v>27</v>
      </c>
      <c r="F47" s="111">
        <f>'16.11'!F47+COUNTIF(F$8:F$38,$C47)</f>
        <v>27</v>
      </c>
      <c r="G47" s="111">
        <f>'16.11'!G47+COUNTIF(G$8:G$38,$C47)</f>
        <v>27</v>
      </c>
      <c r="H47" s="111">
        <f>'16.11'!H47+COUNTIF(H$8:H$38,$C47)</f>
        <v>25</v>
      </c>
    </row>
    <row r="48" spans="1:8" s="19" customFormat="1" ht="26.25" x14ac:dyDescent="0.4">
      <c r="A48" s="18"/>
      <c r="B48" s="18"/>
      <c r="C48" s="109" t="str">
        <f>'01.09'!C47</f>
        <v>*Л.  Теория и методика физической культуры*</v>
      </c>
      <c r="D48" s="110">
        <f>'16.11'!D48+COUNTIF(D$8:D$38,$C48)</f>
        <v>10</v>
      </c>
      <c r="E48" s="110">
        <f>'16.11'!E48+COUNTIF(E$8:E$38,$C48)</f>
        <v>10</v>
      </c>
      <c r="F48" s="110">
        <f>'16.11'!F48+COUNTIF(F$8:F$38,$C48)</f>
        <v>10</v>
      </c>
      <c r="G48" s="110">
        <f>'16.11'!G48+COUNTIF(G$8:G$38,$C48)</f>
        <v>10</v>
      </c>
      <c r="H48" s="110">
        <f>'16.11'!H48+COUNTIF(H$8:H$38,$C48)</f>
        <v>10</v>
      </c>
    </row>
    <row r="49" spans="1:8" s="19" customFormat="1" ht="26.25" x14ac:dyDescent="0.4">
      <c r="A49" s="18"/>
      <c r="B49" s="18"/>
      <c r="C49" s="109" t="str">
        <f>'01.09'!C48</f>
        <v>*Пр.  Теория и методика физической культуры*</v>
      </c>
      <c r="D49" s="111">
        <f>'16.11'!D49+COUNTIF(D$8:D$38,$C49)</f>
        <v>6</v>
      </c>
      <c r="E49" s="111">
        <f>'16.11'!E49+COUNTIF(E$8:E$38,$C49)</f>
        <v>6</v>
      </c>
      <c r="F49" s="111">
        <f>'16.11'!F49+COUNTIF(F$8:F$38,$C49)</f>
        <v>6</v>
      </c>
      <c r="G49" s="111">
        <f>'16.11'!G49+COUNTIF(G$8:G$38,$C49)</f>
        <v>5</v>
      </c>
      <c r="H49" s="111">
        <f>'16.11'!H49+COUNTIF(H$8:H$38,$C49)</f>
        <v>5</v>
      </c>
    </row>
    <row r="50" spans="1:8" s="19" customFormat="1" ht="26.25" x14ac:dyDescent="0.4">
      <c r="A50" s="18"/>
      <c r="B50" s="18"/>
      <c r="C50" s="109" t="str">
        <f>'01.09'!C49</f>
        <v>*Л. Плавание*</v>
      </c>
      <c r="D50" s="110">
        <f>'16.11'!D50+COUNTIF(D$8:D$38,$C50)</f>
        <v>2</v>
      </c>
      <c r="E50" s="110">
        <f>'16.11'!E50+COUNTIF(E$8:E$38,$C50)</f>
        <v>2</v>
      </c>
      <c r="F50" s="110">
        <f>'16.11'!F50+COUNTIF(F$8:F$38,$C50)</f>
        <v>2</v>
      </c>
      <c r="G50" s="110">
        <f>'16.11'!G50+COUNTIF(G$8:G$38,$C50)</f>
        <v>2</v>
      </c>
      <c r="H50" s="110">
        <f>'16.11'!H50+COUNTIF(H$8:H$38,$C50)</f>
        <v>2</v>
      </c>
    </row>
    <row r="51" spans="1:8" s="19" customFormat="1" ht="26.25" x14ac:dyDescent="0.4">
      <c r="A51" s="18"/>
      <c r="B51" s="18"/>
      <c r="C51" s="109" t="str">
        <f>'01.09'!C50</f>
        <v>*Пр. Плавание*</v>
      </c>
      <c r="D51" s="111">
        <f>'16.11'!D51+COUNTIF(D$8:D$38,$C51)</f>
        <v>18</v>
      </c>
      <c r="E51" s="111">
        <f>'16.11'!E51+COUNTIF(E$8:E$38,$C51)</f>
        <v>18</v>
      </c>
      <c r="F51" s="111">
        <f>'16.11'!F51+COUNTIF(F$8:F$38,$C51)</f>
        <v>20</v>
      </c>
      <c r="G51" s="111">
        <f>'16.11'!G51+COUNTIF(G$8:G$38,$C51)</f>
        <v>20</v>
      </c>
      <c r="H51" s="111">
        <f>'16.11'!H51+COUNTIF(H$8:H$38,$C51)</f>
        <v>20</v>
      </c>
    </row>
    <row r="52" spans="1:8" s="19" customFormat="1" ht="26.25" x14ac:dyDescent="0.4">
      <c r="A52" s="18"/>
      <c r="B52" s="18"/>
      <c r="C52" s="109" t="str">
        <f>'01.09'!C51</f>
        <v>*Л. Подвижные игры в спорте и образовании*</v>
      </c>
      <c r="D52" s="110">
        <f>'16.11'!D52+COUNTIF(D$8:D$38,$C52)</f>
        <v>1</v>
      </c>
      <c r="E52" s="110">
        <f>'16.11'!E52+COUNTIF(E$8:E$38,$C52)</f>
        <v>1</v>
      </c>
      <c r="F52" s="110">
        <f>'16.11'!F52+COUNTIF(F$8:F$38,$C52)</f>
        <v>1</v>
      </c>
      <c r="G52" s="110">
        <f>'16.11'!G52+COUNTIF(G$8:G$38,$C52)</f>
        <v>1</v>
      </c>
      <c r="H52" s="110">
        <f>'16.11'!H52+COUNTIF(H$8:H$38,$C52)</f>
        <v>1</v>
      </c>
    </row>
    <row r="53" spans="1:8" s="19" customFormat="1" ht="26.25" x14ac:dyDescent="0.4">
      <c r="A53" s="18"/>
      <c r="B53" s="18"/>
      <c r="C53" s="109" t="str">
        <f>'01.09'!C52</f>
        <v>*Пр. Подвижные игры в спорте и образовании*</v>
      </c>
      <c r="D53" s="111">
        <f>'16.11'!D53+COUNTIF(D$8:D$38,$C53)</f>
        <v>10</v>
      </c>
      <c r="E53" s="111">
        <f>'16.11'!E53+COUNTIF(E$8:E$38,$C53)</f>
        <v>10</v>
      </c>
      <c r="F53" s="111">
        <f>'16.11'!F53+COUNTIF(F$8:F$38,$C53)</f>
        <v>9</v>
      </c>
      <c r="G53" s="111">
        <f>'16.11'!G53+COUNTIF(G$8:G$38,$C53)</f>
        <v>10</v>
      </c>
      <c r="H53" s="111">
        <f>'16.11'!H53+COUNTIF(H$8:H$38,$C53)</f>
        <v>10</v>
      </c>
    </row>
    <row r="54" spans="1:8" s="19" customFormat="1" ht="26.25" x14ac:dyDescent="0.4">
      <c r="A54" s="18"/>
      <c r="B54" s="18"/>
      <c r="C54" s="109" t="str">
        <f>'01.09'!C53</f>
        <v>*Л. Самооборона (самбо)*</v>
      </c>
      <c r="D54" s="110">
        <f>'16.11'!D54+COUNTIF(D$8:D$38,$C54)</f>
        <v>1</v>
      </c>
      <c r="E54" s="110">
        <f>'16.11'!E54+COUNTIF(E$8:E$38,$C54)</f>
        <v>1</v>
      </c>
      <c r="F54" s="110">
        <f>'16.11'!F54+COUNTIF(F$8:F$38,$C54)</f>
        <v>1</v>
      </c>
      <c r="G54" s="110">
        <f>'16.11'!G54+COUNTIF(G$8:G$38,$C54)</f>
        <v>1</v>
      </c>
      <c r="H54" s="110">
        <f>'16.11'!H54+COUNTIF(H$8:H$38,$C54)</f>
        <v>1</v>
      </c>
    </row>
    <row r="55" spans="1:8" s="19" customFormat="1" ht="26.25" x14ac:dyDescent="0.4">
      <c r="A55" s="18"/>
      <c r="B55" s="18"/>
      <c r="C55" s="109" t="str">
        <f>'01.09'!C54</f>
        <v>*Пр. Самооборона (самбо)*</v>
      </c>
      <c r="D55" s="111">
        <f>'16.11'!D55+COUNTIF(D$8:D$38,$C55)</f>
        <v>10</v>
      </c>
      <c r="E55" s="111">
        <f>'16.11'!E55+COUNTIF(E$8:E$38,$C55)</f>
        <v>10</v>
      </c>
      <c r="F55" s="111">
        <f>'16.11'!F55+COUNTIF(F$8:F$38,$C55)</f>
        <v>9</v>
      </c>
      <c r="G55" s="111">
        <f>'16.11'!G55+COUNTIF(G$8:G$38,$C55)</f>
        <v>10</v>
      </c>
      <c r="H55" s="111">
        <f>'16.11'!H55+COUNTIF(H$8:H$38,$C55)</f>
        <v>10</v>
      </c>
    </row>
    <row r="56" spans="1:8" s="19" customFormat="1" ht="26.25" x14ac:dyDescent="0.4">
      <c r="A56" s="18"/>
      <c r="B56" s="18"/>
      <c r="C56" s="109" t="str">
        <f>'01.09'!C55</f>
        <v>*Л. Методика реализации программ*</v>
      </c>
      <c r="D56" s="110">
        <f>'16.11'!D56+COUNTIF(D$8:D$38,$C56)</f>
        <v>3</v>
      </c>
      <c r="E56" s="110">
        <f>'16.11'!E56+COUNTIF(E$8:E$38,$C56)</f>
        <v>3</v>
      </c>
      <c r="F56" s="110">
        <f>'16.11'!F56+COUNTIF(F$8:F$38,$C56)</f>
        <v>3</v>
      </c>
      <c r="G56" s="110">
        <f>'16.11'!G56+COUNTIF(G$8:G$38,$C56)</f>
        <v>3</v>
      </c>
      <c r="H56" s="110">
        <f>'16.11'!H56+COUNTIF(H$8:H$38,$C56)</f>
        <v>3</v>
      </c>
    </row>
    <row r="57" spans="1:8" s="19" customFormat="1" ht="26.25" x14ac:dyDescent="0.4">
      <c r="A57" s="18"/>
      <c r="B57" s="18"/>
      <c r="C57" s="109" t="str">
        <f>'01.09'!C56</f>
        <v>*Пр. Методика реализации программ*</v>
      </c>
      <c r="D57" s="111">
        <f>'16.11'!D57+COUNTIF(D$8:D$38,$C57)</f>
        <v>6</v>
      </c>
      <c r="E57" s="111">
        <f>'16.11'!E57+COUNTIF(E$8:E$38,$C57)</f>
        <v>6</v>
      </c>
      <c r="F57" s="111">
        <f>'16.11'!F57+COUNTIF(F$8:F$38,$C57)</f>
        <v>6</v>
      </c>
      <c r="G57" s="111">
        <f>'16.11'!G57+COUNTIF(G$8:G$38,$C57)</f>
        <v>6</v>
      </c>
      <c r="H57" s="111">
        <f>'16.11'!H57+COUNTIF(H$8:H$38,$C57)</f>
        <v>6</v>
      </c>
    </row>
    <row r="58" spans="1:8" s="19" customFormat="1" ht="26.25" x14ac:dyDescent="0.4">
      <c r="A58" s="18"/>
      <c r="B58" s="18"/>
      <c r="C58" s="109" t="str">
        <f>'01.09'!C57</f>
        <v>*Л. Методика преподавания*</v>
      </c>
      <c r="D58" s="110">
        <f>'16.11'!D58+COUNTIF(D$8:D$38,$C58)</f>
        <v>3</v>
      </c>
      <c r="E58" s="110">
        <f>'16.11'!E58+COUNTIF(E$8:E$38,$C58)</f>
        <v>3</v>
      </c>
      <c r="F58" s="110">
        <f>'16.11'!F58+COUNTIF(F$8:F$38,$C58)</f>
        <v>3</v>
      </c>
      <c r="G58" s="110">
        <f>'16.11'!G58+COUNTIF(G$8:G$38,$C58)</f>
        <v>3</v>
      </c>
      <c r="H58" s="110">
        <f>'16.11'!H58+COUNTIF(H$8:H$38,$C58)</f>
        <v>3</v>
      </c>
    </row>
    <row r="59" spans="1:8" s="19" customFormat="1" ht="26.25" x14ac:dyDescent="0.4">
      <c r="A59" s="18"/>
      <c r="B59" s="18"/>
      <c r="C59" s="109" t="str">
        <f>'01.09'!C58</f>
        <v>*Пр. Методика преподавания*</v>
      </c>
      <c r="D59" s="111">
        <f>'16.11'!D59+COUNTIF(D$8:D$38,$C59)</f>
        <v>6</v>
      </c>
      <c r="E59" s="111">
        <f>'16.11'!E59+COUNTIF(E$8:E$38,$C59)</f>
        <v>6</v>
      </c>
      <c r="F59" s="111">
        <f>'16.11'!F59+COUNTIF(F$8:F$38,$C59)</f>
        <v>6</v>
      </c>
      <c r="G59" s="111">
        <f>'16.11'!G59+COUNTIF(G$8:G$38,$C59)</f>
        <v>6</v>
      </c>
      <c r="H59" s="111">
        <f>'16.11'!H59+COUNTIF(H$8:H$38,$C59)</f>
        <v>6</v>
      </c>
    </row>
    <row r="60" spans="1:8" s="19" customFormat="1" ht="26.25" x14ac:dyDescent="0.4">
      <c r="A60" s="18"/>
      <c r="B60" s="18"/>
      <c r="C60" s="109">
        <f>'01.09'!C59</f>
        <v>0</v>
      </c>
      <c r="D60" s="110">
        <f>'16.11'!D60+COUNTIF(D$8:D$38,$C60)</f>
        <v>0</v>
      </c>
      <c r="E60" s="110">
        <f>'16.11'!E60+COUNTIF(E$8:E$38,$C60)</f>
        <v>0</v>
      </c>
      <c r="F60" s="110">
        <f>'16.11'!F60+COUNTIF(F$8:F$38,$C60)</f>
        <v>0</v>
      </c>
      <c r="G60" s="110">
        <f>'16.11'!G60+COUNTIF(G$8:G$38,$C60)</f>
        <v>0</v>
      </c>
      <c r="H60" s="110">
        <f>'16.11'!H60+COUNTIF(H$8:H$38,$C60)</f>
        <v>0</v>
      </c>
    </row>
    <row r="61" spans="1:8" s="19" customFormat="1" ht="26.25" x14ac:dyDescent="0.4">
      <c r="A61" s="18"/>
      <c r="B61" s="18"/>
      <c r="C61" s="109">
        <f>'01.09'!C60</f>
        <v>0</v>
      </c>
      <c r="D61" s="111">
        <f>'16.11'!D61+COUNTIF(D$8:D$38,$C61)</f>
        <v>0</v>
      </c>
      <c r="E61" s="111">
        <f>'16.11'!E61+COUNTIF(E$8:E$38,$C61)</f>
        <v>0</v>
      </c>
      <c r="F61" s="111">
        <f>'16.11'!F61+COUNTIF(F$8:F$38,$C61)</f>
        <v>0</v>
      </c>
      <c r="G61" s="111">
        <f>'16.11'!G61+COUNTIF(G$8:G$38,$C61)</f>
        <v>0</v>
      </c>
      <c r="H61" s="111">
        <f>'16.11'!H61+COUNTIF(H$8:H$38,$C61)</f>
        <v>0</v>
      </c>
    </row>
    <row r="62" spans="1:8" ht="26.25" x14ac:dyDescent="0.4">
      <c r="A62" s="2"/>
      <c r="B62" s="2"/>
      <c r="C62" s="109">
        <f>'01.09'!C61</f>
        <v>0</v>
      </c>
      <c r="D62" s="110">
        <f>'16.11'!D62+COUNTIF(D$8:D$38,$C62)</f>
        <v>0</v>
      </c>
      <c r="E62" s="110">
        <f>'16.11'!E62+COUNTIF(E$8:E$38,$C62)</f>
        <v>0</v>
      </c>
      <c r="F62" s="110">
        <f>'16.11'!F62+COUNTIF(F$8:F$38,$C62)</f>
        <v>0</v>
      </c>
      <c r="G62" s="110">
        <f>'16.11'!G62+COUNTIF(G$8:G$38,$C62)</f>
        <v>0</v>
      </c>
      <c r="H62" s="110">
        <f>'16.11'!H62+COUNTIF(H$8:H$38,$C62)</f>
        <v>0</v>
      </c>
    </row>
    <row r="63" spans="1:8" ht="26.25" x14ac:dyDescent="0.4">
      <c r="A63" s="2"/>
      <c r="B63" s="2"/>
      <c r="C63" s="109">
        <f>'01.09'!C62</f>
        <v>0</v>
      </c>
      <c r="D63" s="111">
        <f>'16.11'!D63+COUNTIF(D$8:D$38,$C63)</f>
        <v>0</v>
      </c>
      <c r="E63" s="111">
        <f>'16.11'!E63+COUNTIF(E$8:E$38,$C63)</f>
        <v>0</v>
      </c>
      <c r="F63" s="111">
        <f>'16.11'!F63+COUNTIF(F$8:F$38,$C63)</f>
        <v>0</v>
      </c>
      <c r="G63" s="111">
        <f>'16.11'!G63+COUNTIF(G$8:G$38,$C63)</f>
        <v>0</v>
      </c>
      <c r="H63" s="111">
        <f>'16.11'!H63+COUNTIF(H$8:H$38,$C63)</f>
        <v>0</v>
      </c>
    </row>
    <row r="64" spans="1:8" ht="26.25" x14ac:dyDescent="0.4">
      <c r="A64" s="2"/>
      <c r="B64" s="2"/>
      <c r="C64" s="109">
        <f>'01.09'!C63</f>
        <v>0</v>
      </c>
      <c r="D64" s="110">
        <f>'16.11'!D64+COUNTIF(D$8:D$38,$C64)</f>
        <v>0</v>
      </c>
      <c r="E64" s="110">
        <f>'16.11'!E64+COUNTIF(E$8:E$38,$C64)</f>
        <v>0</v>
      </c>
      <c r="F64" s="110">
        <f>'16.11'!F64+COUNTIF(F$8:F$38,$C64)</f>
        <v>0</v>
      </c>
      <c r="G64" s="110">
        <f>'16.11'!G64+COUNTIF(G$8:G$38,$C64)</f>
        <v>0</v>
      </c>
      <c r="H64" s="110">
        <f>'16.11'!H64+COUNTIF(H$8:H$38,$C64)</f>
        <v>0</v>
      </c>
    </row>
    <row r="65" spans="1:8" ht="26.25" x14ac:dyDescent="0.4">
      <c r="A65" s="2"/>
      <c r="B65" s="2"/>
      <c r="C65" s="109">
        <f>'01.09'!C64</f>
        <v>0</v>
      </c>
      <c r="D65" s="111">
        <f>'16.11'!D65+COUNTIF(D$8:D$38,$C65)</f>
        <v>0</v>
      </c>
      <c r="E65" s="111">
        <f>'16.11'!E65+COUNTIF(E$8:E$38,$C65)</f>
        <v>0</v>
      </c>
      <c r="F65" s="111">
        <f>'16.11'!F65+COUNTIF(F$8:F$38,$C65)</f>
        <v>0</v>
      </c>
      <c r="G65" s="111">
        <f>'16.11'!G65+COUNTIF(G$8:G$38,$C65)</f>
        <v>0</v>
      </c>
      <c r="H65" s="111">
        <f>'16.11'!H65+COUNTIF(H$8:H$38,$C65)</f>
        <v>0</v>
      </c>
    </row>
    <row r="66" spans="1:8" ht="26.25" x14ac:dyDescent="0.4">
      <c r="A66" s="2"/>
      <c r="B66" s="2"/>
      <c r="C66" s="109">
        <f>'01.09'!C65</f>
        <v>0</v>
      </c>
      <c r="D66" s="110">
        <f>'16.11'!D66+COUNTIF(D$8:D$38,$C66)</f>
        <v>0</v>
      </c>
      <c r="E66" s="110">
        <f>'16.11'!E66+COUNTIF(E$8:E$38,$C66)</f>
        <v>0</v>
      </c>
      <c r="F66" s="110">
        <f>'16.11'!F66+COUNTIF(F$8:F$38,$C66)</f>
        <v>0</v>
      </c>
      <c r="G66" s="110">
        <f>'16.11'!G66+COUNTIF(G$8:G$38,$C66)</f>
        <v>0</v>
      </c>
      <c r="H66" s="110">
        <f>'16.11'!H66+COUNTIF(H$8:H$38,$C66)</f>
        <v>0</v>
      </c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B1:H1"/>
    <mergeCell ref="B2:H2"/>
    <mergeCell ref="B3:H3"/>
    <mergeCell ref="B4:H4"/>
    <mergeCell ref="B8:B12"/>
    <mergeCell ref="C6:C7"/>
    <mergeCell ref="A5:H5"/>
    <mergeCell ref="B13:B18"/>
    <mergeCell ref="A8:A12"/>
    <mergeCell ref="B6:B7"/>
    <mergeCell ref="A13:A18"/>
    <mergeCell ref="A6:A7"/>
    <mergeCell ref="A34:A38"/>
    <mergeCell ref="B34:B38"/>
    <mergeCell ref="A24:A28"/>
    <mergeCell ref="A29:A33"/>
    <mergeCell ref="B19:B23"/>
    <mergeCell ref="B24:B28"/>
    <mergeCell ref="B29:B33"/>
    <mergeCell ref="A19:A23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H72"/>
  <sheetViews>
    <sheetView view="pageBreakPreview" zoomScale="40" zoomScaleNormal="40" zoomScaleSheetLayoutView="40" zoomScalePageLayoutView="40" workbookViewId="0">
      <selection activeCell="D8" sqref="D8"/>
    </sheetView>
  </sheetViews>
  <sheetFormatPr defaultRowHeight="15" x14ac:dyDescent="0.25"/>
  <cols>
    <col min="1" max="2" width="4.42578125" customWidth="1"/>
    <col min="3" max="3" width="23.85546875" customWidth="1"/>
    <col min="4" max="8" width="65.28515625" customWidth="1"/>
  </cols>
  <sheetData>
    <row r="1" spans="1:8" ht="30" x14ac:dyDescent="0.3">
      <c r="A1" s="178"/>
      <c r="B1" s="760" t="s">
        <v>140</v>
      </c>
      <c r="C1" s="760"/>
      <c r="D1" s="760"/>
      <c r="E1" s="760"/>
      <c r="F1" s="760"/>
      <c r="G1" s="760"/>
      <c r="H1" s="760"/>
    </row>
    <row r="2" spans="1:8" ht="30" x14ac:dyDescent="0.3">
      <c r="A2" s="179"/>
      <c r="B2" s="760" t="s">
        <v>87</v>
      </c>
      <c r="C2" s="760"/>
      <c r="D2" s="760"/>
      <c r="E2" s="760"/>
      <c r="F2" s="760"/>
      <c r="G2" s="760"/>
      <c r="H2" s="760"/>
    </row>
    <row r="3" spans="1:8" ht="33" customHeight="1" x14ac:dyDescent="0.25">
      <c r="A3" s="229"/>
      <c r="B3" s="787" t="s">
        <v>81</v>
      </c>
      <c r="C3" s="787"/>
      <c r="D3" s="787"/>
      <c r="E3" s="787"/>
      <c r="F3" s="787"/>
      <c r="G3" s="787"/>
      <c r="H3" s="787"/>
    </row>
    <row r="4" spans="1:8" ht="34.5" customHeight="1" x14ac:dyDescent="0.25">
      <c r="A4" s="180"/>
      <c r="B4" s="760" t="s">
        <v>142</v>
      </c>
      <c r="C4" s="760"/>
      <c r="D4" s="760"/>
      <c r="E4" s="760"/>
      <c r="F4" s="760"/>
      <c r="G4" s="760"/>
      <c r="H4" s="760"/>
    </row>
    <row r="5" spans="1:8" ht="39.75" customHeight="1" thickBot="1" x14ac:dyDescent="0.3">
      <c r="A5" s="682" t="s">
        <v>112</v>
      </c>
      <c r="B5" s="682"/>
      <c r="C5" s="682"/>
      <c r="D5" s="682"/>
      <c r="E5" s="682"/>
      <c r="F5" s="682"/>
      <c r="G5" s="682"/>
      <c r="H5" s="682"/>
    </row>
    <row r="6" spans="1:8" ht="38.25" customHeight="1" thickBot="1" x14ac:dyDescent="0.3">
      <c r="A6" s="770" t="s">
        <v>54</v>
      </c>
      <c r="B6" s="770" t="s">
        <v>14</v>
      </c>
      <c r="C6" s="793" t="s">
        <v>55</v>
      </c>
      <c r="D6" s="241" t="s">
        <v>5</v>
      </c>
      <c r="E6" s="242" t="s">
        <v>6</v>
      </c>
      <c r="F6" s="242" t="s">
        <v>7</v>
      </c>
      <c r="G6" s="242" t="s">
        <v>8</v>
      </c>
      <c r="H6" s="243" t="s">
        <v>9</v>
      </c>
    </row>
    <row r="7" spans="1:8" ht="106.5" customHeight="1" thickBot="1" x14ac:dyDescent="0.3">
      <c r="A7" s="771"/>
      <c r="B7" s="771"/>
      <c r="C7" s="794"/>
      <c r="D7" s="300" t="s">
        <v>106</v>
      </c>
      <c r="E7" s="370" t="s">
        <v>136</v>
      </c>
      <c r="F7" s="370" t="s">
        <v>107</v>
      </c>
      <c r="G7" s="370" t="s">
        <v>90</v>
      </c>
      <c r="H7" s="449" t="s">
        <v>78</v>
      </c>
    </row>
    <row r="8" spans="1:8" ht="90.75" customHeight="1" x14ac:dyDescent="0.25">
      <c r="A8" s="801" t="s">
        <v>0</v>
      </c>
      <c r="B8" s="816">
        <v>46356</v>
      </c>
      <c r="C8" s="480" t="s">
        <v>10</v>
      </c>
      <c r="D8" s="316"/>
      <c r="E8" s="299"/>
      <c r="F8" s="299"/>
      <c r="G8" s="551"/>
      <c r="H8" s="362"/>
    </row>
    <row r="9" spans="1:8" ht="90.75" customHeight="1" x14ac:dyDescent="0.25">
      <c r="A9" s="802"/>
      <c r="B9" s="775"/>
      <c r="C9" s="490" t="s">
        <v>11</v>
      </c>
      <c r="D9" s="550"/>
      <c r="E9" s="279"/>
      <c r="F9" s="383"/>
      <c r="G9" s="383"/>
      <c r="H9" s="414"/>
    </row>
    <row r="10" spans="1:8" ht="90.75" customHeight="1" x14ac:dyDescent="0.25">
      <c r="A10" s="802"/>
      <c r="B10" s="775"/>
      <c r="C10" s="490" t="s">
        <v>12</v>
      </c>
      <c r="D10" s="418"/>
      <c r="E10" s="383"/>
      <c r="F10" s="383"/>
      <c r="G10" s="460"/>
      <c r="H10" s="510"/>
    </row>
    <row r="11" spans="1:8" ht="90.75" customHeight="1" x14ac:dyDescent="0.25">
      <c r="A11" s="802"/>
      <c r="B11" s="775"/>
      <c r="C11" s="490" t="s">
        <v>13</v>
      </c>
      <c r="D11" s="418"/>
      <c r="E11" s="383"/>
      <c r="F11" s="383"/>
      <c r="G11" s="460"/>
      <c r="H11" s="414"/>
    </row>
    <row r="12" spans="1:8" ht="90.75" customHeight="1" thickBot="1" x14ac:dyDescent="0.3">
      <c r="A12" s="807"/>
      <c r="B12" s="777"/>
      <c r="C12" s="481" t="s">
        <v>15</v>
      </c>
      <c r="D12" s="595"/>
      <c r="E12" s="330"/>
      <c r="F12" s="330"/>
      <c r="G12" s="330"/>
      <c r="H12" s="350"/>
    </row>
    <row r="13" spans="1:8" ht="90.75" customHeight="1" x14ac:dyDescent="0.25">
      <c r="A13" s="802" t="s">
        <v>1</v>
      </c>
      <c r="B13" s="803">
        <f>B8+1</f>
        <v>46357</v>
      </c>
      <c r="C13" s="504" t="s">
        <v>10</v>
      </c>
      <c r="D13" s="517"/>
      <c r="E13" s="591"/>
      <c r="F13" s="591"/>
      <c r="G13" s="466"/>
      <c r="H13" s="467"/>
    </row>
    <row r="14" spans="1:8" ht="90.75" customHeight="1" x14ac:dyDescent="0.25">
      <c r="A14" s="802"/>
      <c r="B14" s="775"/>
      <c r="C14" s="505" t="s">
        <v>11</v>
      </c>
      <c r="D14" s="418"/>
      <c r="E14" s="383"/>
      <c r="F14" s="383"/>
      <c r="G14" s="279"/>
      <c r="H14" s="280"/>
    </row>
    <row r="15" spans="1:8" ht="90.75" customHeight="1" x14ac:dyDescent="0.25">
      <c r="A15" s="802"/>
      <c r="B15" s="775"/>
      <c r="C15" s="505" t="s">
        <v>12</v>
      </c>
      <c r="D15" s="418"/>
      <c r="E15" s="279"/>
      <c r="F15" s="279"/>
      <c r="G15" s="279"/>
      <c r="H15" s="510"/>
    </row>
    <row r="16" spans="1:8" ht="90.75" customHeight="1" x14ac:dyDescent="0.25">
      <c r="A16" s="802"/>
      <c r="B16" s="775"/>
      <c r="C16" s="505" t="s">
        <v>13</v>
      </c>
      <c r="D16" s="418"/>
      <c r="E16" s="279"/>
      <c r="F16" s="279"/>
      <c r="G16" s="279"/>
      <c r="H16" s="510"/>
    </row>
    <row r="17" spans="1:8" ht="90.75" customHeight="1" x14ac:dyDescent="0.25">
      <c r="A17" s="802"/>
      <c r="B17" s="775"/>
      <c r="C17" s="488" t="s">
        <v>15</v>
      </c>
      <c r="D17" s="542"/>
      <c r="E17" s="541"/>
      <c r="F17" s="540"/>
      <c r="G17" s="540"/>
      <c r="H17" s="194"/>
    </row>
    <row r="18" spans="1:8" ht="90.75" customHeight="1" thickBot="1" x14ac:dyDescent="0.3">
      <c r="A18" s="802"/>
      <c r="B18" s="775"/>
      <c r="C18" s="506" t="s">
        <v>60</v>
      </c>
      <c r="D18" s="582"/>
      <c r="E18" s="430"/>
      <c r="F18" s="583"/>
      <c r="G18" s="583"/>
      <c r="H18" s="584"/>
    </row>
    <row r="19" spans="1:8" ht="90.75" customHeight="1" x14ac:dyDescent="0.25">
      <c r="A19" s="804" t="s">
        <v>2</v>
      </c>
      <c r="B19" s="756">
        <f>B13+1</f>
        <v>46358</v>
      </c>
      <c r="C19" s="480" t="s">
        <v>10</v>
      </c>
      <c r="D19" s="539"/>
      <c r="E19" s="466"/>
      <c r="F19" s="466"/>
      <c r="G19" s="466"/>
      <c r="H19" s="467"/>
    </row>
    <row r="20" spans="1:8" ht="90.75" customHeight="1" x14ac:dyDescent="0.25">
      <c r="A20" s="808"/>
      <c r="B20" s="757"/>
      <c r="C20" s="490" t="s">
        <v>11</v>
      </c>
      <c r="D20" s="278"/>
      <c r="E20" s="279"/>
      <c r="F20" s="279"/>
      <c r="G20" s="279"/>
      <c r="H20" s="280"/>
    </row>
    <row r="21" spans="1:8" ht="90.75" customHeight="1" x14ac:dyDescent="0.25">
      <c r="A21" s="808"/>
      <c r="B21" s="757"/>
      <c r="C21" s="490" t="s">
        <v>12</v>
      </c>
      <c r="D21" s="418"/>
      <c r="E21" s="410"/>
      <c r="F21" s="279"/>
      <c r="G21" s="279"/>
      <c r="H21" s="510"/>
    </row>
    <row r="22" spans="1:8" ht="90.75" customHeight="1" x14ac:dyDescent="0.25">
      <c r="A22" s="808"/>
      <c r="B22" s="757"/>
      <c r="C22" s="490" t="s">
        <v>13</v>
      </c>
      <c r="D22" s="418"/>
      <c r="E22" s="383"/>
      <c r="F22" s="279"/>
      <c r="G22" s="279"/>
      <c r="H22" s="510"/>
    </row>
    <row r="23" spans="1:8" ht="90.75" customHeight="1" thickBot="1" x14ac:dyDescent="0.3">
      <c r="A23" s="809"/>
      <c r="B23" s="757"/>
      <c r="C23" s="481" t="s">
        <v>15</v>
      </c>
      <c r="D23" s="217"/>
      <c r="E23" s="457"/>
      <c r="F23" s="218"/>
      <c r="G23" s="218"/>
      <c r="H23" s="219"/>
    </row>
    <row r="24" spans="1:8" ht="90.75" customHeight="1" x14ac:dyDescent="0.25">
      <c r="A24" s="804" t="s">
        <v>3</v>
      </c>
      <c r="B24" s="756">
        <f>B19+1</f>
        <v>46359</v>
      </c>
      <c r="C24" s="504" t="s">
        <v>10</v>
      </c>
      <c r="D24" s="302"/>
      <c r="E24" s="303"/>
      <c r="F24" s="303"/>
      <c r="G24" s="303"/>
      <c r="H24" s="321"/>
    </row>
    <row r="25" spans="1:8" ht="90.75" customHeight="1" x14ac:dyDescent="0.25">
      <c r="A25" s="805"/>
      <c r="B25" s="757"/>
      <c r="C25" s="505" t="s">
        <v>11</v>
      </c>
      <c r="D25" s="281"/>
      <c r="E25" s="248"/>
      <c r="F25" s="319"/>
      <c r="G25" s="248"/>
      <c r="H25" s="282"/>
    </row>
    <row r="26" spans="1:8" ht="90.75" customHeight="1" x14ac:dyDescent="0.25">
      <c r="A26" s="805"/>
      <c r="B26" s="757"/>
      <c r="C26" s="505" t="s">
        <v>12</v>
      </c>
      <c r="D26" s="418"/>
      <c r="E26" s="383"/>
      <c r="F26" s="442"/>
      <c r="G26" s="410"/>
      <c r="H26" s="473"/>
    </row>
    <row r="27" spans="1:8" ht="90.75" customHeight="1" x14ac:dyDescent="0.25">
      <c r="A27" s="805"/>
      <c r="B27" s="757"/>
      <c r="C27" s="505" t="s">
        <v>13</v>
      </c>
      <c r="D27" s="517"/>
      <c r="E27" s="383"/>
      <c r="F27" s="383"/>
      <c r="G27" s="410"/>
      <c r="H27" s="473"/>
    </row>
    <row r="28" spans="1:8" ht="90.75" customHeight="1" thickBot="1" x14ac:dyDescent="0.3">
      <c r="A28" s="806"/>
      <c r="B28" s="757"/>
      <c r="C28" s="506" t="s">
        <v>15</v>
      </c>
      <c r="D28" s="566"/>
      <c r="E28" s="567"/>
      <c r="F28" s="546"/>
      <c r="G28" s="546"/>
      <c r="H28" s="568"/>
    </row>
    <row r="29" spans="1:8" ht="90.75" customHeight="1" x14ac:dyDescent="0.25">
      <c r="A29" s="804" t="s">
        <v>4</v>
      </c>
      <c r="B29" s="756">
        <f>B24+1</f>
        <v>46360</v>
      </c>
      <c r="C29" s="483" t="s">
        <v>10</v>
      </c>
      <c r="D29" s="293"/>
      <c r="E29" s="299"/>
      <c r="F29" s="294"/>
      <c r="G29" s="361"/>
      <c r="H29" s="295"/>
    </row>
    <row r="30" spans="1:8" ht="90.75" customHeight="1" x14ac:dyDescent="0.25">
      <c r="A30" s="808"/>
      <c r="B30" s="757"/>
      <c r="C30" s="484" t="s">
        <v>11</v>
      </c>
      <c r="D30" s="283"/>
      <c r="E30" s="319"/>
      <c r="F30" s="247"/>
      <c r="G30" s="460"/>
      <c r="H30" s="318"/>
    </row>
    <row r="31" spans="1:8" ht="90.75" customHeight="1" x14ac:dyDescent="0.25">
      <c r="A31" s="808"/>
      <c r="B31" s="757"/>
      <c r="C31" s="484" t="s">
        <v>12</v>
      </c>
      <c r="D31" s="317"/>
      <c r="E31" s="248"/>
      <c r="F31" s="248"/>
      <c r="G31" s="319"/>
      <c r="H31" s="318"/>
    </row>
    <row r="32" spans="1:8" ht="90.75" customHeight="1" x14ac:dyDescent="0.25">
      <c r="A32" s="808"/>
      <c r="B32" s="757"/>
      <c r="C32" s="484" t="s">
        <v>13</v>
      </c>
      <c r="D32" s="317"/>
      <c r="E32" s="248"/>
      <c r="F32" s="248"/>
      <c r="G32" s="279"/>
      <c r="H32" s="282"/>
    </row>
    <row r="33" spans="1:8" ht="90.75" customHeight="1" thickBot="1" x14ac:dyDescent="0.3">
      <c r="A33" s="809"/>
      <c r="B33" s="757"/>
      <c r="C33" s="485" t="s">
        <v>15</v>
      </c>
      <c r="D33" s="285"/>
      <c r="E33" s="286"/>
      <c r="F33" s="286"/>
      <c r="G33" s="286"/>
      <c r="H33" s="287"/>
    </row>
    <row r="34" spans="1:8" ht="43.5" customHeight="1" x14ac:dyDescent="0.25">
      <c r="A34" s="757" t="s">
        <v>47</v>
      </c>
      <c r="B34" s="756">
        <f>B29+1</f>
        <v>46361</v>
      </c>
      <c r="C34" s="507" t="s">
        <v>10</v>
      </c>
      <c r="D34" s="596"/>
      <c r="E34" s="597"/>
      <c r="F34" s="597"/>
      <c r="G34" s="597"/>
      <c r="H34" s="598"/>
    </row>
    <row r="35" spans="1:8" ht="43.5" customHeight="1" x14ac:dyDescent="0.25">
      <c r="A35" s="757"/>
      <c r="B35" s="757"/>
      <c r="C35" s="508" t="s">
        <v>11</v>
      </c>
      <c r="D35" s="599"/>
      <c r="E35" s="26"/>
      <c r="F35" s="26"/>
      <c r="G35" s="28"/>
      <c r="H35" s="26"/>
    </row>
    <row r="36" spans="1:8" ht="43.5" customHeight="1" x14ac:dyDescent="0.25">
      <c r="A36" s="757"/>
      <c r="B36" s="757"/>
      <c r="C36" s="508" t="s">
        <v>12</v>
      </c>
      <c r="D36" s="599"/>
      <c r="E36" s="26"/>
      <c r="F36" s="29"/>
      <c r="G36" s="26"/>
      <c r="H36" s="31"/>
    </row>
    <row r="37" spans="1:8" ht="43.5" customHeight="1" x14ac:dyDescent="0.25">
      <c r="A37" s="757"/>
      <c r="B37" s="757"/>
      <c r="C37" s="508" t="s">
        <v>13</v>
      </c>
      <c r="D37" s="600"/>
      <c r="E37" s="27"/>
      <c r="F37" s="27"/>
      <c r="G37" s="26"/>
      <c r="H37" s="29"/>
    </row>
    <row r="38" spans="1:8" ht="43.5" customHeight="1" thickBot="1" x14ac:dyDescent="0.3">
      <c r="A38" s="758"/>
      <c r="B38" s="758"/>
      <c r="C38" s="509" t="s">
        <v>15</v>
      </c>
      <c r="D38" s="30"/>
      <c r="E38" s="25"/>
      <c r="F38" s="25"/>
      <c r="G38" s="25"/>
      <c r="H38" s="25"/>
    </row>
    <row r="39" spans="1:8" ht="32.25" customHeight="1" x14ac:dyDescent="0.3">
      <c r="A39" s="2"/>
      <c r="B39" s="2"/>
      <c r="C39" s="44"/>
      <c r="D39" s="181" t="s">
        <v>82</v>
      </c>
      <c r="E39" s="44"/>
      <c r="F39" s="44"/>
      <c r="G39" s="44"/>
      <c r="H39" s="44"/>
    </row>
    <row r="40" spans="1:8" s="19" customFormat="1" ht="26.25" x14ac:dyDescent="0.4">
      <c r="A40" s="18"/>
      <c r="B40" s="18"/>
      <c r="C40" s="109" t="str">
        <f>'01.09'!C39</f>
        <v>*Л. Физиология человека*</v>
      </c>
      <c r="D40" s="110">
        <f>'23.11'!D40+COUNTIF(D$8:D$38,$C40)</f>
        <v>12</v>
      </c>
      <c r="E40" s="110">
        <f>'23.11'!E40+COUNTIF(E$8:E$38,$C40)</f>
        <v>12</v>
      </c>
      <c r="F40" s="110">
        <f>'23.11'!F40+COUNTIF(F$8:F$38,$C40)</f>
        <v>12</v>
      </c>
      <c r="G40" s="110">
        <f>'23.11'!G40+COUNTIF(G$8:G$38,$C40)</f>
        <v>12</v>
      </c>
      <c r="H40" s="110">
        <f>'23.11'!H40+COUNTIF(H$8:H$38,$C40)</f>
        <v>12</v>
      </c>
    </row>
    <row r="41" spans="1:8" s="19" customFormat="1" ht="26.25" x14ac:dyDescent="0.4">
      <c r="A41" s="18"/>
      <c r="B41" s="18"/>
      <c r="C41" s="109" t="str">
        <f>'01.09'!C40</f>
        <v>*Пр. Физиология человека*</v>
      </c>
      <c r="D41" s="111">
        <f>'23.11'!D41+COUNTIF(D$8:D$38,$C41)</f>
        <v>19</v>
      </c>
      <c r="E41" s="111">
        <f>'23.11'!E41+COUNTIF(E$8:E$38,$C41)</f>
        <v>20</v>
      </c>
      <c r="F41" s="111">
        <f>'23.11'!F41+COUNTIF(F$8:F$38,$C41)</f>
        <v>19</v>
      </c>
      <c r="G41" s="111">
        <f>'23.11'!G41+COUNTIF(G$8:G$38,$C41)</f>
        <v>20</v>
      </c>
      <c r="H41" s="111">
        <f>'23.11'!H41+COUNTIF(H$8:H$38,$C41)</f>
        <v>20</v>
      </c>
    </row>
    <row r="42" spans="1:8" s="19" customFormat="1" ht="26.25" x14ac:dyDescent="0.4">
      <c r="A42" s="18"/>
      <c r="B42" s="18"/>
      <c r="C42" s="109" t="str">
        <f>'01.09'!C41</f>
        <v>*Л. Элективные дисциплины по ФКиС: Фехтование*</v>
      </c>
      <c r="D42" s="110">
        <f>'23.11'!D42+COUNTIF(D$8:D$38,$C42)</f>
        <v>1</v>
      </c>
      <c r="E42" s="110">
        <f>'23.11'!E42+COUNTIF(E$8:E$38,$C42)</f>
        <v>1</v>
      </c>
      <c r="F42" s="110">
        <f>'23.11'!F42+COUNTIF(F$8:F$38,$C42)</f>
        <v>1</v>
      </c>
      <c r="G42" s="110">
        <f>'23.11'!G42+COUNTIF(G$8:G$38,$C42)</f>
        <v>1</v>
      </c>
      <c r="H42" s="110">
        <f>'23.11'!H42+COUNTIF(H$8:H$38,$C42)</f>
        <v>1</v>
      </c>
    </row>
    <row r="43" spans="1:8" s="19" customFormat="1" ht="26.25" x14ac:dyDescent="0.4">
      <c r="A43" s="18"/>
      <c r="B43" s="18"/>
      <c r="C43" s="109" t="str">
        <f>'01.09'!C42</f>
        <v>*Пр. Элективные дисциплины по ФКиС: Фехтование*</v>
      </c>
      <c r="D43" s="111">
        <f>'23.11'!D43+COUNTIF(D$8:D$38,$C43)</f>
        <v>6</v>
      </c>
      <c r="E43" s="111">
        <f>'23.11'!E43+COUNTIF(E$8:E$38,$C43)</f>
        <v>6</v>
      </c>
      <c r="F43" s="111">
        <f>'23.11'!F43+COUNTIF(F$8:F$38,$C43)</f>
        <v>6</v>
      </c>
      <c r="G43" s="111">
        <f>'23.11'!G43+COUNTIF(G$8:G$38,$C43)</f>
        <v>6</v>
      </c>
      <c r="H43" s="111">
        <f>'23.11'!H43+COUNTIF(H$8:H$38,$C43)</f>
        <v>6</v>
      </c>
    </row>
    <row r="44" spans="1:8" s="19" customFormat="1" ht="26.25" x14ac:dyDescent="0.4">
      <c r="A44" s="18"/>
      <c r="B44" s="18"/>
      <c r="C44" s="109" t="str">
        <f>'01.09'!C43</f>
        <v>*Л. Педагогика физической культуры и спорта*</v>
      </c>
      <c r="D44" s="110">
        <f>'23.11'!D44+COUNTIF(D$8:D$38,$C44)</f>
        <v>5</v>
      </c>
      <c r="E44" s="110">
        <f>'23.11'!E44+COUNTIF(E$8:E$38,$C44)</f>
        <v>5</v>
      </c>
      <c r="F44" s="110">
        <f>'23.11'!F44+COUNTIF(F$8:F$38,$C44)</f>
        <v>5</v>
      </c>
      <c r="G44" s="110">
        <f>'23.11'!G44+COUNTIF(G$8:G$38,$C44)</f>
        <v>5</v>
      </c>
      <c r="H44" s="110">
        <f>'23.11'!H44+COUNTIF(H$8:H$38,$C44)</f>
        <v>5</v>
      </c>
    </row>
    <row r="45" spans="1:8" s="19" customFormat="1" ht="26.25" x14ac:dyDescent="0.4">
      <c r="A45" s="18"/>
      <c r="B45" s="18"/>
      <c r="C45" s="109" t="str">
        <f>'01.09'!C44</f>
        <v>*Пр. Педагогика физической культуры и спорта*</v>
      </c>
      <c r="D45" s="111">
        <f>'23.11'!D45+COUNTIF(D$8:D$38,$C45)</f>
        <v>6</v>
      </c>
      <c r="E45" s="111">
        <f>'23.11'!E45+COUNTIF(E$8:E$38,$C45)</f>
        <v>5</v>
      </c>
      <c r="F45" s="111">
        <f>'23.11'!F45+COUNTIF(F$8:F$38,$C45)</f>
        <v>5</v>
      </c>
      <c r="G45" s="111">
        <f>'23.11'!G45+COUNTIF(G$8:G$38,$C45)</f>
        <v>5</v>
      </c>
      <c r="H45" s="111">
        <f>'23.11'!H45+COUNTIF(H$8:H$38,$C45)</f>
        <v>4</v>
      </c>
    </row>
    <row r="46" spans="1:8" s="19" customFormat="1" ht="26.25" x14ac:dyDescent="0.4">
      <c r="A46" s="18"/>
      <c r="B46" s="18"/>
      <c r="C46" s="109" t="str">
        <f>'01.09'!C45</f>
        <v>*Л. Теория и методика*</v>
      </c>
      <c r="D46" s="110">
        <f>'23.11'!D46+COUNTIF(D$8:D$38,$C46)</f>
        <v>4</v>
      </c>
      <c r="E46" s="110">
        <f>'23.11'!E46+COUNTIF(E$8:E$38,$C46)</f>
        <v>4</v>
      </c>
      <c r="F46" s="110">
        <f>'23.11'!F46+COUNTIF(F$8:F$38,$C46)</f>
        <v>4</v>
      </c>
      <c r="G46" s="110">
        <f>'23.11'!G46+COUNTIF(G$8:G$38,$C46)</f>
        <v>4</v>
      </c>
      <c r="H46" s="110">
        <f>'23.11'!H46+COUNTIF(H$8:H$38,$C46)</f>
        <v>4</v>
      </c>
    </row>
    <row r="47" spans="1:8" s="19" customFormat="1" ht="26.25" x14ac:dyDescent="0.4">
      <c r="A47" s="18"/>
      <c r="B47" s="18"/>
      <c r="C47" s="109" t="str">
        <f>'01.09'!C46</f>
        <v>*Пр. Теория и методика*</v>
      </c>
      <c r="D47" s="111">
        <f>'23.11'!D47+COUNTIF(D$8:D$38,$C47)</f>
        <v>27</v>
      </c>
      <c r="E47" s="111">
        <f>'23.11'!E47+COUNTIF(E$8:E$38,$C47)</f>
        <v>27</v>
      </c>
      <c r="F47" s="111">
        <f>'23.11'!F47+COUNTIF(F$8:F$38,$C47)</f>
        <v>27</v>
      </c>
      <c r="G47" s="111">
        <f>'23.11'!G47+COUNTIF(G$8:G$38,$C47)</f>
        <v>27</v>
      </c>
      <c r="H47" s="111">
        <f>'23.11'!H47+COUNTIF(H$8:H$38,$C47)</f>
        <v>25</v>
      </c>
    </row>
    <row r="48" spans="1:8" s="19" customFormat="1" ht="26.25" x14ac:dyDescent="0.4">
      <c r="A48" s="18"/>
      <c r="B48" s="18"/>
      <c r="C48" s="109" t="str">
        <f>'01.09'!C47</f>
        <v>*Л.  Теория и методика физической культуры*</v>
      </c>
      <c r="D48" s="110">
        <f>'23.11'!D48+COUNTIF(D$8:D$38,$C48)</f>
        <v>10</v>
      </c>
      <c r="E48" s="110">
        <f>'23.11'!E48+COUNTIF(E$8:E$38,$C48)</f>
        <v>10</v>
      </c>
      <c r="F48" s="110">
        <f>'23.11'!F48+COUNTIF(F$8:F$38,$C48)</f>
        <v>10</v>
      </c>
      <c r="G48" s="110">
        <f>'23.11'!G48+COUNTIF(G$8:G$38,$C48)</f>
        <v>10</v>
      </c>
      <c r="H48" s="110">
        <f>'23.11'!H48+COUNTIF(H$8:H$38,$C48)</f>
        <v>10</v>
      </c>
    </row>
    <row r="49" spans="1:8" s="19" customFormat="1" ht="26.25" x14ac:dyDescent="0.4">
      <c r="A49" s="18"/>
      <c r="B49" s="18"/>
      <c r="C49" s="109" t="str">
        <f>'01.09'!C48</f>
        <v>*Пр.  Теория и методика физической культуры*</v>
      </c>
      <c r="D49" s="111">
        <f>'23.11'!D49+COUNTIF(D$8:D$38,$C49)</f>
        <v>6</v>
      </c>
      <c r="E49" s="111">
        <f>'23.11'!E49+COUNTIF(E$8:E$38,$C49)</f>
        <v>6</v>
      </c>
      <c r="F49" s="111">
        <f>'23.11'!F49+COUNTIF(F$8:F$38,$C49)</f>
        <v>6</v>
      </c>
      <c r="G49" s="111">
        <f>'23.11'!G49+COUNTIF(G$8:G$38,$C49)</f>
        <v>5</v>
      </c>
      <c r="H49" s="111">
        <f>'23.11'!H49+COUNTIF(H$8:H$38,$C49)</f>
        <v>5</v>
      </c>
    </row>
    <row r="50" spans="1:8" s="19" customFormat="1" ht="26.25" x14ac:dyDescent="0.4">
      <c r="A50" s="18"/>
      <c r="B50" s="18"/>
      <c r="C50" s="109" t="str">
        <f>'01.09'!C49</f>
        <v>*Л. Плавание*</v>
      </c>
      <c r="D50" s="110">
        <f>'23.11'!D50+COUNTIF(D$8:D$38,$C50)</f>
        <v>2</v>
      </c>
      <c r="E50" s="110">
        <f>'23.11'!E50+COUNTIF(E$8:E$38,$C50)</f>
        <v>2</v>
      </c>
      <c r="F50" s="110">
        <f>'23.11'!F50+COUNTIF(F$8:F$38,$C50)</f>
        <v>2</v>
      </c>
      <c r="G50" s="110">
        <f>'23.11'!G50+COUNTIF(G$8:G$38,$C50)</f>
        <v>2</v>
      </c>
      <c r="H50" s="110">
        <f>'23.11'!H50+COUNTIF(H$8:H$38,$C50)</f>
        <v>2</v>
      </c>
    </row>
    <row r="51" spans="1:8" s="19" customFormat="1" ht="26.25" x14ac:dyDescent="0.4">
      <c r="A51" s="18"/>
      <c r="B51" s="18"/>
      <c r="C51" s="109" t="str">
        <f>'01.09'!C50</f>
        <v>*Пр. Плавание*</v>
      </c>
      <c r="D51" s="111">
        <f>'23.11'!D51+COUNTIF(D$8:D$38,$C51)</f>
        <v>18</v>
      </c>
      <c r="E51" s="111">
        <f>'23.11'!E51+COUNTIF(E$8:E$38,$C51)</f>
        <v>18</v>
      </c>
      <c r="F51" s="111">
        <f>'23.11'!F51+COUNTIF(F$8:F$38,$C51)</f>
        <v>20</v>
      </c>
      <c r="G51" s="111">
        <f>'23.11'!G51+COUNTIF(G$8:G$38,$C51)</f>
        <v>20</v>
      </c>
      <c r="H51" s="111">
        <f>'23.11'!H51+COUNTIF(H$8:H$38,$C51)</f>
        <v>20</v>
      </c>
    </row>
    <row r="52" spans="1:8" s="19" customFormat="1" ht="26.25" x14ac:dyDescent="0.4">
      <c r="A52" s="18"/>
      <c r="B52" s="18"/>
      <c r="C52" s="109" t="str">
        <f>'01.09'!C51</f>
        <v>*Л. Подвижные игры в спорте и образовании*</v>
      </c>
      <c r="D52" s="110">
        <f>'23.11'!D52+COUNTIF(D$8:D$38,$C52)</f>
        <v>1</v>
      </c>
      <c r="E52" s="110">
        <f>'23.11'!E52+COUNTIF(E$8:E$38,$C52)</f>
        <v>1</v>
      </c>
      <c r="F52" s="110">
        <f>'23.11'!F52+COUNTIF(F$8:F$38,$C52)</f>
        <v>1</v>
      </c>
      <c r="G52" s="110">
        <f>'23.11'!G52+COUNTIF(G$8:G$38,$C52)</f>
        <v>1</v>
      </c>
      <c r="H52" s="110">
        <f>'23.11'!H52+COUNTIF(H$8:H$38,$C52)</f>
        <v>1</v>
      </c>
    </row>
    <row r="53" spans="1:8" s="19" customFormat="1" ht="26.25" x14ac:dyDescent="0.4">
      <c r="A53" s="18"/>
      <c r="B53" s="18"/>
      <c r="C53" s="109" t="str">
        <f>'01.09'!C52</f>
        <v>*Пр. Подвижные игры в спорте и образовании*</v>
      </c>
      <c r="D53" s="111">
        <f>'23.11'!D53+COUNTIF(D$8:D$38,$C53)</f>
        <v>10</v>
      </c>
      <c r="E53" s="111">
        <f>'23.11'!E53+COUNTIF(E$8:E$38,$C53)</f>
        <v>10</v>
      </c>
      <c r="F53" s="111">
        <f>'23.11'!F53+COUNTIF(F$8:F$38,$C53)</f>
        <v>9</v>
      </c>
      <c r="G53" s="111">
        <f>'23.11'!G53+COUNTIF(G$8:G$38,$C53)</f>
        <v>10</v>
      </c>
      <c r="H53" s="111">
        <f>'23.11'!H53+COUNTIF(H$8:H$38,$C53)</f>
        <v>10</v>
      </c>
    </row>
    <row r="54" spans="1:8" s="19" customFormat="1" ht="26.25" x14ac:dyDescent="0.4">
      <c r="A54" s="18"/>
      <c r="B54" s="18"/>
      <c r="C54" s="109" t="str">
        <f>'01.09'!C53</f>
        <v>*Л. Самооборона (самбо)*</v>
      </c>
      <c r="D54" s="110">
        <f>'23.11'!D54+COUNTIF(D$8:D$38,$C54)</f>
        <v>1</v>
      </c>
      <c r="E54" s="110">
        <f>'23.11'!E54+COUNTIF(E$8:E$38,$C54)</f>
        <v>1</v>
      </c>
      <c r="F54" s="110">
        <f>'23.11'!F54+COUNTIF(F$8:F$38,$C54)</f>
        <v>1</v>
      </c>
      <c r="G54" s="110">
        <f>'23.11'!G54+COUNTIF(G$8:G$38,$C54)</f>
        <v>1</v>
      </c>
      <c r="H54" s="110">
        <f>'23.11'!H54+COUNTIF(H$8:H$38,$C54)</f>
        <v>1</v>
      </c>
    </row>
    <row r="55" spans="1:8" s="19" customFormat="1" ht="26.25" x14ac:dyDescent="0.4">
      <c r="A55" s="18"/>
      <c r="B55" s="18"/>
      <c r="C55" s="109" t="str">
        <f>'01.09'!C54</f>
        <v>*Пр. Самооборона (самбо)*</v>
      </c>
      <c r="D55" s="111">
        <f>'23.11'!D55+COUNTIF(D$8:D$38,$C55)</f>
        <v>10</v>
      </c>
      <c r="E55" s="111">
        <f>'23.11'!E55+COUNTIF(E$8:E$38,$C55)</f>
        <v>10</v>
      </c>
      <c r="F55" s="111">
        <f>'23.11'!F55+COUNTIF(F$8:F$38,$C55)</f>
        <v>9</v>
      </c>
      <c r="G55" s="111">
        <f>'23.11'!G55+COUNTIF(G$8:G$38,$C55)</f>
        <v>10</v>
      </c>
      <c r="H55" s="111">
        <f>'23.11'!H55+COUNTIF(H$8:H$38,$C55)</f>
        <v>10</v>
      </c>
    </row>
    <row r="56" spans="1:8" s="19" customFormat="1" ht="26.25" x14ac:dyDescent="0.4">
      <c r="A56" s="18"/>
      <c r="B56" s="18"/>
      <c r="C56" s="109" t="str">
        <f>'01.09'!C55</f>
        <v>*Л. Методика реализации программ*</v>
      </c>
      <c r="D56" s="110">
        <f>'23.11'!D56+COUNTIF(D$8:D$38,$C56)</f>
        <v>3</v>
      </c>
      <c r="E56" s="110">
        <f>'23.11'!E56+COUNTIF(E$8:E$38,$C56)</f>
        <v>3</v>
      </c>
      <c r="F56" s="110">
        <f>'23.11'!F56+COUNTIF(F$8:F$38,$C56)</f>
        <v>3</v>
      </c>
      <c r="G56" s="110">
        <f>'23.11'!G56+COUNTIF(G$8:G$38,$C56)</f>
        <v>3</v>
      </c>
      <c r="H56" s="110">
        <f>'23.11'!H56+COUNTIF(H$8:H$38,$C56)</f>
        <v>3</v>
      </c>
    </row>
    <row r="57" spans="1:8" s="19" customFormat="1" ht="26.25" x14ac:dyDescent="0.4">
      <c r="A57" s="18"/>
      <c r="B57" s="18"/>
      <c r="C57" s="109" t="str">
        <f>'01.09'!C56</f>
        <v>*Пр. Методика реализации программ*</v>
      </c>
      <c r="D57" s="111">
        <f>'23.11'!D57+COUNTIF(D$8:D$38,$C57)</f>
        <v>6</v>
      </c>
      <c r="E57" s="111">
        <f>'23.11'!E57+COUNTIF(E$8:E$38,$C57)</f>
        <v>6</v>
      </c>
      <c r="F57" s="111">
        <f>'23.11'!F57+COUNTIF(F$8:F$38,$C57)</f>
        <v>6</v>
      </c>
      <c r="G57" s="111">
        <f>'23.11'!G57+COUNTIF(G$8:G$38,$C57)</f>
        <v>6</v>
      </c>
      <c r="H57" s="111">
        <f>'23.11'!H57+COUNTIF(H$8:H$38,$C57)</f>
        <v>6</v>
      </c>
    </row>
    <row r="58" spans="1:8" s="19" customFormat="1" ht="26.25" x14ac:dyDescent="0.4">
      <c r="A58" s="18"/>
      <c r="B58" s="18"/>
      <c r="C58" s="109" t="str">
        <f>'01.09'!C57</f>
        <v>*Л. Методика преподавания*</v>
      </c>
      <c r="D58" s="110">
        <f>'23.11'!D58+COUNTIF(D$8:D$38,$C58)</f>
        <v>3</v>
      </c>
      <c r="E58" s="110">
        <f>'23.11'!E58+COUNTIF(E$8:E$38,$C58)</f>
        <v>3</v>
      </c>
      <c r="F58" s="110">
        <f>'23.11'!F58+COUNTIF(F$8:F$38,$C58)</f>
        <v>3</v>
      </c>
      <c r="G58" s="110">
        <f>'23.11'!G58+COUNTIF(G$8:G$38,$C58)</f>
        <v>3</v>
      </c>
      <c r="H58" s="110">
        <f>'23.11'!H58+COUNTIF(H$8:H$38,$C58)</f>
        <v>3</v>
      </c>
    </row>
    <row r="59" spans="1:8" s="19" customFormat="1" ht="26.25" x14ac:dyDescent="0.4">
      <c r="A59" s="18"/>
      <c r="B59" s="18"/>
      <c r="C59" s="109" t="str">
        <f>'01.09'!C58</f>
        <v>*Пр. Методика преподавания*</v>
      </c>
      <c r="D59" s="111">
        <f>'23.11'!D59+COUNTIF(D$8:D$38,$C59)</f>
        <v>6</v>
      </c>
      <c r="E59" s="111">
        <f>'23.11'!E59+COUNTIF(E$8:E$38,$C59)</f>
        <v>6</v>
      </c>
      <c r="F59" s="111">
        <f>'23.11'!F59+COUNTIF(F$8:F$38,$C59)</f>
        <v>6</v>
      </c>
      <c r="G59" s="111">
        <f>'23.11'!G59+COUNTIF(G$8:G$38,$C59)</f>
        <v>6</v>
      </c>
      <c r="H59" s="111">
        <f>'23.11'!H59+COUNTIF(H$8:H$38,$C59)</f>
        <v>6</v>
      </c>
    </row>
    <row r="60" spans="1:8" s="19" customFormat="1" ht="26.25" x14ac:dyDescent="0.4">
      <c r="A60" s="18"/>
      <c r="B60" s="18"/>
      <c r="C60" s="109">
        <f>'01.09'!C59</f>
        <v>0</v>
      </c>
      <c r="D60" s="110">
        <f>'23.11'!D60+COUNTIF(D$8:D$38,$C60)</f>
        <v>0</v>
      </c>
      <c r="E60" s="110">
        <f>'23.11'!E60+COUNTIF(E$8:E$38,$C60)</f>
        <v>0</v>
      </c>
      <c r="F60" s="110">
        <f>'23.11'!F60+COUNTIF(F$8:F$38,$C60)</f>
        <v>0</v>
      </c>
      <c r="G60" s="110">
        <f>'23.11'!G60+COUNTIF(G$8:G$38,$C60)</f>
        <v>0</v>
      </c>
      <c r="H60" s="110">
        <f>'23.11'!H60+COUNTIF(H$8:H$38,$C60)</f>
        <v>0</v>
      </c>
    </row>
    <row r="61" spans="1:8" s="19" customFormat="1" ht="26.25" x14ac:dyDescent="0.4">
      <c r="A61" s="18"/>
      <c r="B61" s="18"/>
      <c r="C61" s="109">
        <f>'01.09'!C60</f>
        <v>0</v>
      </c>
      <c r="D61" s="111">
        <f>'23.11'!D61+COUNTIF(D$8:D$38,$C61)</f>
        <v>0</v>
      </c>
      <c r="E61" s="111">
        <f>'23.11'!E61+COUNTIF(E$8:E$38,$C61)</f>
        <v>0</v>
      </c>
      <c r="F61" s="111">
        <f>'23.11'!F61+COUNTIF(F$8:F$38,$C61)</f>
        <v>0</v>
      </c>
      <c r="G61" s="111">
        <f>'23.11'!G61+COUNTIF(G$8:G$38,$C61)</f>
        <v>0</v>
      </c>
      <c r="H61" s="111">
        <f>'23.11'!H61+COUNTIF(H$8:H$38,$C61)</f>
        <v>0</v>
      </c>
    </row>
    <row r="62" spans="1:8" ht="26.25" x14ac:dyDescent="0.4">
      <c r="A62" s="2"/>
      <c r="B62" s="2"/>
      <c r="C62" s="109">
        <f>'01.09'!C61</f>
        <v>0</v>
      </c>
      <c r="D62" s="110">
        <f>'23.11'!D62+COUNTIF(D$8:D$38,$C62)</f>
        <v>0</v>
      </c>
      <c r="E62" s="110">
        <f>'23.11'!E62+COUNTIF(E$8:E$38,$C62)</f>
        <v>0</v>
      </c>
      <c r="F62" s="110">
        <f>'23.11'!F62+COUNTIF(F$8:F$38,$C62)</f>
        <v>0</v>
      </c>
      <c r="G62" s="110">
        <f>'23.11'!G62+COUNTIF(G$8:G$38,$C62)</f>
        <v>0</v>
      </c>
      <c r="H62" s="110">
        <f>'23.11'!H62+COUNTIF(H$8:H$38,$C62)</f>
        <v>0</v>
      </c>
    </row>
    <row r="63" spans="1:8" ht="26.25" x14ac:dyDescent="0.4">
      <c r="A63" s="2"/>
      <c r="B63" s="2"/>
      <c r="C63" s="109">
        <f>'01.09'!C62</f>
        <v>0</v>
      </c>
      <c r="D63" s="111">
        <f>'23.11'!D63+COUNTIF(D$8:D$38,$C63)</f>
        <v>0</v>
      </c>
      <c r="E63" s="111">
        <f>'23.11'!E63+COUNTIF(E$8:E$38,$C63)</f>
        <v>0</v>
      </c>
      <c r="F63" s="111">
        <f>'23.11'!F63+COUNTIF(F$8:F$38,$C63)</f>
        <v>0</v>
      </c>
      <c r="G63" s="111">
        <f>'23.11'!G63+COUNTIF(G$8:G$38,$C63)</f>
        <v>0</v>
      </c>
      <c r="H63" s="111">
        <f>'23.11'!H63+COUNTIF(H$8:H$38,$C63)</f>
        <v>0</v>
      </c>
    </row>
    <row r="64" spans="1:8" ht="26.25" x14ac:dyDescent="0.4">
      <c r="A64" s="2"/>
      <c r="B64" s="2"/>
      <c r="C64" s="109">
        <f>'01.09'!C63</f>
        <v>0</v>
      </c>
      <c r="D64" s="110">
        <f>'23.11'!D64+COUNTIF(D$8:D$38,$C64)</f>
        <v>0</v>
      </c>
      <c r="E64" s="110">
        <f>'23.11'!E64+COUNTIF(E$8:E$38,$C64)</f>
        <v>0</v>
      </c>
      <c r="F64" s="110">
        <f>'23.11'!F64+COUNTIF(F$8:F$38,$C64)</f>
        <v>0</v>
      </c>
      <c r="G64" s="110">
        <f>'23.11'!G64+COUNTIF(G$8:G$38,$C64)</f>
        <v>0</v>
      </c>
      <c r="H64" s="110">
        <f>'23.11'!H64+COUNTIF(H$8:H$38,$C64)</f>
        <v>0</v>
      </c>
    </row>
    <row r="65" spans="1:8" ht="26.25" x14ac:dyDescent="0.4">
      <c r="A65" s="2"/>
      <c r="B65" s="2"/>
      <c r="C65" s="109">
        <f>'01.09'!C64</f>
        <v>0</v>
      </c>
      <c r="D65" s="111">
        <f>'23.11'!D65+COUNTIF(D$8:D$38,$C65)</f>
        <v>0</v>
      </c>
      <c r="E65" s="111">
        <f>'23.11'!E65+COUNTIF(E$8:E$38,$C65)</f>
        <v>0</v>
      </c>
      <c r="F65" s="111">
        <f>'23.11'!F65+COUNTIF(F$8:F$38,$C65)</f>
        <v>0</v>
      </c>
      <c r="G65" s="111">
        <f>'23.11'!G65+COUNTIF(G$8:G$38,$C65)</f>
        <v>0</v>
      </c>
      <c r="H65" s="111">
        <f>'23.11'!H65+COUNTIF(H$8:H$38,$C65)</f>
        <v>0</v>
      </c>
    </row>
    <row r="66" spans="1:8" ht="26.25" x14ac:dyDescent="0.4">
      <c r="A66" s="2"/>
      <c r="B66" s="2"/>
      <c r="C66" s="109">
        <f>'01.09'!C65</f>
        <v>0</v>
      </c>
      <c r="D66" s="110">
        <f>'23.11'!D66+COUNTIF(D$8:D$38,$C66)</f>
        <v>0</v>
      </c>
      <c r="E66" s="110">
        <f>'23.11'!E66+COUNTIF(E$8:E$38,$C66)</f>
        <v>0</v>
      </c>
      <c r="F66" s="110">
        <f>'23.11'!F66+COUNTIF(F$8:F$38,$C66)</f>
        <v>0</v>
      </c>
      <c r="G66" s="110">
        <f>'23.11'!G66+COUNTIF(G$8:G$38,$C66)</f>
        <v>0</v>
      </c>
      <c r="H66" s="110">
        <f>'23.11'!H66+COUNTIF(H$8:H$38,$C66)</f>
        <v>0</v>
      </c>
    </row>
    <row r="67" spans="1:8" ht="26.25" x14ac:dyDescent="0.4">
      <c r="A67" s="2"/>
      <c r="B67" s="2"/>
      <c r="C67" s="109">
        <f>'01.09'!C66</f>
        <v>0</v>
      </c>
      <c r="D67" s="111">
        <f>'23.11'!D67+COUNTIF(D$8:D$38,$C67)</f>
        <v>0</v>
      </c>
      <c r="E67" s="111">
        <f>'23.11'!E67+COUNTIF(E$8:E$38,$C67)</f>
        <v>0</v>
      </c>
      <c r="F67" s="111">
        <f>'23.11'!F67+COUNTIF(F$8:F$38,$C67)</f>
        <v>0</v>
      </c>
      <c r="G67" s="111">
        <f>'23.11'!G67+COUNTIF(G$8:G$38,$C67)</f>
        <v>0</v>
      </c>
      <c r="H67" s="111">
        <f>'23.11'!H67+COUNTIF(H$8:H$38,$C67)</f>
        <v>0</v>
      </c>
    </row>
    <row r="68" spans="1:8" ht="26.25" x14ac:dyDescent="0.4">
      <c r="A68" s="2"/>
      <c r="B68" s="2"/>
      <c r="C68" s="109">
        <f>'01.09'!C67</f>
        <v>0</v>
      </c>
      <c r="D68" s="110">
        <f>'23.11'!D68+COUNTIF(D$8:D$38,$C68)</f>
        <v>0</v>
      </c>
      <c r="E68" s="110">
        <f>'23.11'!E68+COUNTIF(E$8:E$38,$C68)</f>
        <v>0</v>
      </c>
      <c r="F68" s="110">
        <f>'23.11'!F68+COUNTIF(F$8:F$38,$C68)</f>
        <v>0</v>
      </c>
      <c r="G68" s="110">
        <f>'23.11'!G68+COUNTIF(G$8:G$38,$C68)</f>
        <v>0</v>
      </c>
      <c r="H68" s="110">
        <f>'23.11'!H68+COUNTIF(H$8:H$38,$C68)</f>
        <v>0</v>
      </c>
    </row>
    <row r="69" spans="1:8" ht="26.25" x14ac:dyDescent="0.4">
      <c r="A69" s="2"/>
      <c r="B69" s="2"/>
      <c r="C69" s="109">
        <f>'01.09'!C68</f>
        <v>0</v>
      </c>
      <c r="D69" s="111">
        <f>'23.11'!D69+COUNTIF(D$8:D$38,$C69)</f>
        <v>0</v>
      </c>
      <c r="E69" s="111">
        <f>'23.11'!E69+COUNTIF(E$8:E$38,$C69)</f>
        <v>0</v>
      </c>
      <c r="F69" s="111">
        <f>'23.11'!F69+COUNTIF(F$8:F$38,$C69)</f>
        <v>0</v>
      </c>
      <c r="G69" s="111">
        <f>'23.11'!G69+COUNTIF(G$8:G$38,$C69)</f>
        <v>0</v>
      </c>
      <c r="H69" s="111">
        <f>'23.11'!H69+COUNTIF(H$8:H$38,$C69)</f>
        <v>0</v>
      </c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B1:H1"/>
    <mergeCell ref="B2:H2"/>
    <mergeCell ref="B3:H3"/>
    <mergeCell ref="B4:H4"/>
    <mergeCell ref="A5:H5"/>
    <mergeCell ref="A34:A38"/>
    <mergeCell ref="B34:B38"/>
    <mergeCell ref="A29:A33"/>
    <mergeCell ref="B29:B33"/>
    <mergeCell ref="C6:C7"/>
    <mergeCell ref="B8:B12"/>
    <mergeCell ref="B13:B18"/>
    <mergeCell ref="A13:A18"/>
    <mergeCell ref="A24:A28"/>
    <mergeCell ref="B19:B23"/>
    <mergeCell ref="B24:B28"/>
    <mergeCell ref="A19:A23"/>
    <mergeCell ref="A8:A12"/>
    <mergeCell ref="A6:A7"/>
    <mergeCell ref="B6:B7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J72"/>
  <sheetViews>
    <sheetView view="pageBreakPreview" topLeftCell="A30" zoomScale="40" zoomScaleNormal="40" zoomScaleSheetLayoutView="40" zoomScalePageLayoutView="40" workbookViewId="0">
      <selection activeCell="F31" sqref="F31"/>
    </sheetView>
  </sheetViews>
  <sheetFormatPr defaultRowHeight="15" x14ac:dyDescent="0.25"/>
  <cols>
    <col min="1" max="2" width="4.42578125" customWidth="1"/>
    <col min="3" max="3" width="23.5703125" customWidth="1"/>
    <col min="4" max="8" width="64" customWidth="1"/>
  </cols>
  <sheetData>
    <row r="1" spans="1:8" ht="33" customHeight="1" x14ac:dyDescent="0.3">
      <c r="A1" s="178"/>
      <c r="B1" s="760" t="s">
        <v>140</v>
      </c>
      <c r="C1" s="760"/>
      <c r="D1" s="760"/>
      <c r="E1" s="760"/>
      <c r="F1" s="760"/>
      <c r="G1" s="760"/>
      <c r="H1" s="760"/>
    </row>
    <row r="2" spans="1:8" ht="33" customHeight="1" x14ac:dyDescent="0.3">
      <c r="A2" s="179"/>
      <c r="B2" s="760" t="s">
        <v>87</v>
      </c>
      <c r="C2" s="760"/>
      <c r="D2" s="760"/>
      <c r="E2" s="760"/>
      <c r="F2" s="760"/>
      <c r="G2" s="760"/>
      <c r="H2" s="760"/>
    </row>
    <row r="3" spans="1:8" ht="39.75" customHeight="1" x14ac:dyDescent="0.25">
      <c r="A3" s="229"/>
      <c r="B3" s="787" t="s">
        <v>81</v>
      </c>
      <c r="C3" s="787"/>
      <c r="D3" s="787"/>
      <c r="E3" s="787"/>
      <c r="F3" s="787"/>
      <c r="G3" s="787"/>
      <c r="H3" s="787"/>
    </row>
    <row r="4" spans="1:8" ht="33" customHeight="1" x14ac:dyDescent="0.25">
      <c r="A4" s="180"/>
      <c r="B4" s="760" t="s">
        <v>142</v>
      </c>
      <c r="C4" s="760"/>
      <c r="D4" s="760"/>
      <c r="E4" s="760"/>
      <c r="F4" s="760"/>
      <c r="G4" s="760"/>
      <c r="H4" s="760"/>
    </row>
    <row r="5" spans="1:8" ht="33" customHeight="1" thickBot="1" x14ac:dyDescent="0.3">
      <c r="A5" s="682" t="s">
        <v>112</v>
      </c>
      <c r="B5" s="682"/>
      <c r="C5" s="682"/>
      <c r="D5" s="682"/>
      <c r="E5" s="682"/>
      <c r="F5" s="682"/>
      <c r="G5" s="682"/>
      <c r="H5" s="682"/>
    </row>
    <row r="6" spans="1:8" ht="26.25" customHeight="1" thickBot="1" x14ac:dyDescent="0.3">
      <c r="A6" s="770" t="s">
        <v>54</v>
      </c>
      <c r="B6" s="770" t="s">
        <v>14</v>
      </c>
      <c r="C6" s="793" t="s">
        <v>55</v>
      </c>
      <c r="D6" s="241" t="s">
        <v>5</v>
      </c>
      <c r="E6" s="242" t="s">
        <v>6</v>
      </c>
      <c r="F6" s="242" t="s">
        <v>7</v>
      </c>
      <c r="G6" s="242" t="s">
        <v>8</v>
      </c>
      <c r="H6" s="243" t="s">
        <v>9</v>
      </c>
    </row>
    <row r="7" spans="1:8" ht="77.25" customHeight="1" thickBot="1" x14ac:dyDescent="0.3">
      <c r="A7" s="771"/>
      <c r="B7" s="771"/>
      <c r="C7" s="794"/>
      <c r="D7" s="300" t="s">
        <v>106</v>
      </c>
      <c r="E7" s="370" t="s">
        <v>136</v>
      </c>
      <c r="F7" s="370" t="s">
        <v>107</v>
      </c>
      <c r="G7" s="370" t="s">
        <v>90</v>
      </c>
      <c r="H7" s="449" t="s">
        <v>78</v>
      </c>
    </row>
    <row r="8" spans="1:8" ht="84.75" customHeight="1" x14ac:dyDescent="0.25">
      <c r="A8" s="801" t="s">
        <v>0</v>
      </c>
      <c r="B8" s="803">
        <v>46363</v>
      </c>
      <c r="C8" s="480" t="s">
        <v>10</v>
      </c>
      <c r="D8" s="316"/>
      <c r="E8" s="299"/>
      <c r="F8" s="299"/>
      <c r="G8" s="551"/>
      <c r="H8" s="362"/>
    </row>
    <row r="9" spans="1:8" ht="84.75" customHeight="1" x14ac:dyDescent="0.25">
      <c r="A9" s="802"/>
      <c r="B9" s="775"/>
      <c r="C9" s="490" t="s">
        <v>11</v>
      </c>
      <c r="D9" s="281"/>
      <c r="E9" s="279"/>
      <c r="F9" s="383"/>
      <c r="G9" s="383"/>
      <c r="H9" s="414"/>
    </row>
    <row r="10" spans="1:8" ht="84.75" customHeight="1" x14ac:dyDescent="0.25">
      <c r="A10" s="802"/>
      <c r="B10" s="775"/>
      <c r="C10" s="490" t="s">
        <v>12</v>
      </c>
      <c r="D10" s="601"/>
      <c r="E10" s="383"/>
      <c r="F10" s="383"/>
      <c r="G10" s="460"/>
      <c r="H10" s="510"/>
    </row>
    <row r="11" spans="1:8" ht="84.75" customHeight="1" x14ac:dyDescent="0.25">
      <c r="A11" s="802"/>
      <c r="B11" s="775"/>
      <c r="C11" s="490" t="s">
        <v>13</v>
      </c>
      <c r="D11" s="418"/>
      <c r="E11" s="383"/>
      <c r="F11" s="383"/>
      <c r="G11" s="460"/>
      <c r="H11" s="284"/>
    </row>
    <row r="12" spans="1:8" ht="84.75" customHeight="1" thickBot="1" x14ac:dyDescent="0.3">
      <c r="A12" s="802"/>
      <c r="B12" s="775"/>
      <c r="C12" s="481" t="s">
        <v>15</v>
      </c>
      <c r="D12" s="595"/>
      <c r="E12" s="330"/>
      <c r="F12" s="330"/>
      <c r="G12" s="330"/>
      <c r="H12" s="350"/>
    </row>
    <row r="13" spans="1:8" ht="84.75" customHeight="1" x14ac:dyDescent="0.25">
      <c r="A13" s="801" t="s">
        <v>1</v>
      </c>
      <c r="B13" s="798">
        <f>B8+1</f>
        <v>46364</v>
      </c>
      <c r="C13" s="504" t="s">
        <v>10</v>
      </c>
      <c r="D13" s="517"/>
      <c r="E13" s="591"/>
      <c r="F13" s="591"/>
      <c r="G13" s="466"/>
      <c r="H13" s="467"/>
    </row>
    <row r="14" spans="1:8" ht="84.75" customHeight="1" x14ac:dyDescent="0.25">
      <c r="A14" s="802"/>
      <c r="B14" s="775"/>
      <c r="C14" s="505" t="s">
        <v>11</v>
      </c>
      <c r="D14" s="418"/>
      <c r="E14" s="383"/>
      <c r="F14" s="383"/>
      <c r="G14" s="279"/>
      <c r="H14" s="280"/>
    </row>
    <row r="15" spans="1:8" ht="84.75" customHeight="1" x14ac:dyDescent="0.25">
      <c r="A15" s="802"/>
      <c r="B15" s="775"/>
      <c r="C15" s="505" t="s">
        <v>12</v>
      </c>
      <c r="D15" s="418"/>
      <c r="E15" s="279"/>
      <c r="F15" s="279"/>
      <c r="G15" s="279"/>
      <c r="H15" s="510"/>
    </row>
    <row r="16" spans="1:8" ht="84.75" customHeight="1" x14ac:dyDescent="0.25">
      <c r="A16" s="802"/>
      <c r="B16" s="775"/>
      <c r="C16" s="505" t="s">
        <v>13</v>
      </c>
      <c r="D16" s="418"/>
      <c r="E16" s="279"/>
      <c r="F16" s="279"/>
      <c r="G16" s="279"/>
      <c r="H16" s="510"/>
    </row>
    <row r="17" spans="1:10" ht="84.75" customHeight="1" x14ac:dyDescent="0.25">
      <c r="A17" s="802"/>
      <c r="B17" s="775"/>
      <c r="C17" s="488" t="s">
        <v>15</v>
      </c>
      <c r="D17" s="542"/>
      <c r="E17" s="541"/>
      <c r="F17" s="540"/>
      <c r="G17" s="540"/>
      <c r="H17" s="194"/>
    </row>
    <row r="18" spans="1:10" ht="84.75" customHeight="1" thickBot="1" x14ac:dyDescent="0.3">
      <c r="A18" s="802"/>
      <c r="B18" s="775"/>
      <c r="C18" s="506" t="s">
        <v>60</v>
      </c>
      <c r="D18" s="582"/>
      <c r="E18" s="430"/>
      <c r="F18" s="583"/>
      <c r="G18" s="583"/>
      <c r="H18" s="584"/>
    </row>
    <row r="19" spans="1:10" ht="84.75" customHeight="1" x14ac:dyDescent="0.25">
      <c r="A19" s="804" t="s">
        <v>2</v>
      </c>
      <c r="B19" s="756">
        <f>B13+1</f>
        <v>46365</v>
      </c>
      <c r="C19" s="480" t="s">
        <v>10</v>
      </c>
      <c r="D19" s="539"/>
      <c r="E19" s="466"/>
      <c r="F19" s="466"/>
      <c r="G19" s="466"/>
      <c r="H19" s="467"/>
    </row>
    <row r="20" spans="1:10" ht="84.75" customHeight="1" x14ac:dyDescent="0.25">
      <c r="A20" s="808"/>
      <c r="B20" s="757"/>
      <c r="C20" s="490" t="s">
        <v>11</v>
      </c>
      <c r="D20" s="278"/>
      <c r="E20" s="279"/>
      <c r="F20" s="279"/>
      <c r="G20" s="279"/>
      <c r="H20" s="280"/>
    </row>
    <row r="21" spans="1:10" ht="84.75" customHeight="1" x14ac:dyDescent="0.25">
      <c r="A21" s="808"/>
      <c r="B21" s="757"/>
      <c r="C21" s="490" t="s">
        <v>12</v>
      </c>
      <c r="D21" s="418"/>
      <c r="E21" s="410"/>
      <c r="F21" s="279"/>
      <c r="G21" s="279"/>
      <c r="H21" s="510"/>
      <c r="J21" s="3"/>
    </row>
    <row r="22" spans="1:10" ht="84.75" customHeight="1" x14ac:dyDescent="0.25">
      <c r="A22" s="808"/>
      <c r="B22" s="757"/>
      <c r="C22" s="490" t="s">
        <v>13</v>
      </c>
      <c r="D22" s="418"/>
      <c r="E22" s="383"/>
      <c r="F22" s="279"/>
      <c r="G22" s="279"/>
      <c r="H22" s="510"/>
    </row>
    <row r="23" spans="1:10" ht="84.75" customHeight="1" thickBot="1" x14ac:dyDescent="0.3">
      <c r="A23" s="808"/>
      <c r="B23" s="815"/>
      <c r="C23" s="481" t="s">
        <v>15</v>
      </c>
      <c r="D23" s="217"/>
      <c r="E23" s="457"/>
      <c r="F23" s="218"/>
      <c r="G23" s="218"/>
      <c r="H23" s="219"/>
    </row>
    <row r="24" spans="1:10" ht="84.75" customHeight="1" x14ac:dyDescent="0.25">
      <c r="A24" s="804" t="s">
        <v>3</v>
      </c>
      <c r="B24" s="796">
        <f>B19+1</f>
        <v>46366</v>
      </c>
      <c r="C24" s="504" t="s">
        <v>10</v>
      </c>
      <c r="D24" s="302"/>
      <c r="E24" s="303"/>
      <c r="F24" s="303"/>
      <c r="G24" s="303"/>
      <c r="H24" s="321"/>
    </row>
    <row r="25" spans="1:10" ht="84.75" customHeight="1" x14ac:dyDescent="0.25">
      <c r="A25" s="805"/>
      <c r="B25" s="757"/>
      <c r="C25" s="505" t="s">
        <v>11</v>
      </c>
      <c r="D25" s="281"/>
      <c r="E25" s="248"/>
      <c r="F25" s="319"/>
      <c r="G25" s="248"/>
      <c r="H25" s="282"/>
    </row>
    <row r="26" spans="1:10" ht="84.75" customHeight="1" x14ac:dyDescent="0.25">
      <c r="A26" s="805"/>
      <c r="B26" s="757"/>
      <c r="C26" s="505" t="s">
        <v>12</v>
      </c>
      <c r="D26" s="418"/>
      <c r="E26" s="383"/>
      <c r="F26" s="442"/>
      <c r="G26" s="410"/>
      <c r="H26" s="473"/>
    </row>
    <row r="27" spans="1:10" ht="84.75" customHeight="1" x14ac:dyDescent="0.25">
      <c r="A27" s="805"/>
      <c r="B27" s="757"/>
      <c r="C27" s="505" t="s">
        <v>13</v>
      </c>
      <c r="D27" s="517"/>
      <c r="E27" s="383"/>
      <c r="F27" s="383"/>
      <c r="G27" s="410"/>
      <c r="H27" s="473"/>
    </row>
    <row r="28" spans="1:10" ht="84.75" customHeight="1" thickBot="1" x14ac:dyDescent="0.3">
      <c r="A28" s="806"/>
      <c r="B28" s="758"/>
      <c r="C28" s="506" t="s">
        <v>15</v>
      </c>
      <c r="D28" s="566"/>
      <c r="E28" s="567"/>
      <c r="F28" s="546"/>
      <c r="G28" s="546"/>
      <c r="H28" s="568"/>
    </row>
    <row r="29" spans="1:10" ht="84.75" customHeight="1" x14ac:dyDescent="0.25">
      <c r="A29" s="808" t="s">
        <v>4</v>
      </c>
      <c r="B29" s="792">
        <f>B24+1</f>
        <v>46367</v>
      </c>
      <c r="C29" s="483" t="s">
        <v>10</v>
      </c>
      <c r="D29" s="293"/>
      <c r="E29" s="299"/>
      <c r="F29" s="294"/>
      <c r="G29" s="361"/>
      <c r="H29" s="295"/>
    </row>
    <row r="30" spans="1:10" ht="84.75" customHeight="1" x14ac:dyDescent="0.25">
      <c r="A30" s="808"/>
      <c r="B30" s="757"/>
      <c r="C30" s="484" t="s">
        <v>11</v>
      </c>
      <c r="D30" s="317"/>
      <c r="E30" s="319"/>
      <c r="F30" s="247"/>
      <c r="G30" s="460"/>
      <c r="H30" s="284"/>
    </row>
    <row r="31" spans="1:10" ht="84.75" customHeight="1" x14ac:dyDescent="0.25">
      <c r="A31" s="808"/>
      <c r="B31" s="757"/>
      <c r="C31" s="484" t="s">
        <v>12</v>
      </c>
      <c r="D31" s="281"/>
      <c r="E31" s="248"/>
      <c r="F31" s="248"/>
      <c r="G31" s="319"/>
      <c r="H31" s="318"/>
    </row>
    <row r="32" spans="1:10" ht="84.75" customHeight="1" x14ac:dyDescent="0.25">
      <c r="A32" s="808"/>
      <c r="B32" s="757"/>
      <c r="C32" s="484" t="s">
        <v>13</v>
      </c>
      <c r="D32" s="281"/>
      <c r="E32" s="248"/>
      <c r="F32" s="248"/>
      <c r="G32" s="279"/>
      <c r="H32" s="282"/>
    </row>
    <row r="33" spans="1:8" ht="84.75" customHeight="1" thickBot="1" x14ac:dyDescent="0.3">
      <c r="A33" s="809"/>
      <c r="B33" s="757"/>
      <c r="C33" s="485" t="s">
        <v>15</v>
      </c>
      <c r="D33" s="285"/>
      <c r="E33" s="286"/>
      <c r="F33" s="286"/>
      <c r="G33" s="286"/>
      <c r="H33" s="287"/>
    </row>
    <row r="34" spans="1:8" ht="42.75" customHeight="1" x14ac:dyDescent="0.25">
      <c r="A34" s="757" t="s">
        <v>47</v>
      </c>
      <c r="B34" s="756">
        <f>B29+1</f>
        <v>46368</v>
      </c>
      <c r="C34" s="507" t="s">
        <v>10</v>
      </c>
      <c r="D34" s="331"/>
      <c r="E34" s="332"/>
      <c r="F34" s="332"/>
      <c r="G34" s="332"/>
      <c r="H34" s="333"/>
    </row>
    <row r="35" spans="1:8" ht="42.75" customHeight="1" x14ac:dyDescent="0.25">
      <c r="A35" s="757"/>
      <c r="B35" s="757"/>
      <c r="C35" s="508" t="s">
        <v>11</v>
      </c>
      <c r="D35" s="334"/>
      <c r="E35" s="335"/>
      <c r="F35" s="335"/>
      <c r="G35" s="336"/>
      <c r="H35" s="335"/>
    </row>
    <row r="36" spans="1:8" ht="42.75" customHeight="1" x14ac:dyDescent="0.25">
      <c r="A36" s="757"/>
      <c r="B36" s="757"/>
      <c r="C36" s="508" t="s">
        <v>12</v>
      </c>
      <c r="D36" s="334"/>
      <c r="E36" s="335"/>
      <c r="F36" s="335"/>
      <c r="G36" s="335"/>
      <c r="H36" s="337"/>
    </row>
    <row r="37" spans="1:8" ht="42.75" customHeight="1" x14ac:dyDescent="0.25">
      <c r="A37" s="757"/>
      <c r="B37" s="757"/>
      <c r="C37" s="508" t="s">
        <v>13</v>
      </c>
      <c r="D37" s="334"/>
      <c r="E37" s="338"/>
      <c r="F37" s="338"/>
      <c r="G37" s="335"/>
      <c r="H37" s="335"/>
    </row>
    <row r="38" spans="1:8" ht="42.75" customHeight="1" thickBot="1" x14ac:dyDescent="0.3">
      <c r="A38" s="758"/>
      <c r="B38" s="758"/>
      <c r="C38" s="509" t="s">
        <v>15</v>
      </c>
      <c r="D38" s="339"/>
      <c r="E38" s="340"/>
      <c r="F38" s="340"/>
      <c r="G38" s="340"/>
      <c r="H38" s="340"/>
    </row>
    <row r="39" spans="1:8" ht="32.25" customHeight="1" x14ac:dyDescent="0.3">
      <c r="A39" s="2"/>
      <c r="B39" s="2"/>
      <c r="C39" s="44"/>
      <c r="D39" s="181" t="s">
        <v>82</v>
      </c>
      <c r="E39" s="44"/>
      <c r="F39" s="44"/>
      <c r="G39" s="44"/>
      <c r="H39" s="44"/>
    </row>
    <row r="40" spans="1:8" s="19" customFormat="1" ht="26.25" x14ac:dyDescent="0.4">
      <c r="A40" s="18"/>
      <c r="B40" s="18"/>
      <c r="C40" s="109" t="str">
        <f>'01.09'!C39</f>
        <v>*Л. Физиология человека*</v>
      </c>
      <c r="D40" s="110">
        <f>'30.11'!D40+COUNTIF(D$8:D$38,$C40)</f>
        <v>12</v>
      </c>
      <c r="E40" s="110">
        <f>'30.11'!E40+COUNTIF(E$8:E$38,$C40)</f>
        <v>12</v>
      </c>
      <c r="F40" s="110">
        <f>'30.11'!F40+COUNTIF(F$8:F$38,$C40)</f>
        <v>12</v>
      </c>
      <c r="G40" s="110">
        <f>'30.11'!G40+COUNTIF(G$8:G$38,$C40)</f>
        <v>12</v>
      </c>
      <c r="H40" s="110">
        <f>'30.11'!H40+COUNTIF(H$8:H$38,$C40)</f>
        <v>12</v>
      </c>
    </row>
    <row r="41" spans="1:8" s="19" customFormat="1" ht="26.25" x14ac:dyDescent="0.4">
      <c r="A41" s="18"/>
      <c r="B41" s="18"/>
      <c r="C41" s="109" t="str">
        <f>'01.09'!C40</f>
        <v>*Пр. Физиология человека*</v>
      </c>
      <c r="D41" s="111">
        <f>'30.11'!D41+COUNTIF(D$8:D$38,$C41)</f>
        <v>19</v>
      </c>
      <c r="E41" s="111">
        <f>'30.11'!E41+COUNTIF(E$8:E$38,$C41)</f>
        <v>20</v>
      </c>
      <c r="F41" s="111">
        <f>'30.11'!F41+COUNTIF(F$8:F$38,$C41)</f>
        <v>19</v>
      </c>
      <c r="G41" s="111">
        <f>'30.11'!G41+COUNTIF(G$8:G$38,$C41)</f>
        <v>20</v>
      </c>
      <c r="H41" s="111">
        <f>'30.11'!H41+COUNTIF(H$8:H$38,$C41)</f>
        <v>20</v>
      </c>
    </row>
    <row r="42" spans="1:8" s="19" customFormat="1" ht="26.25" x14ac:dyDescent="0.4">
      <c r="A42" s="18"/>
      <c r="B42" s="18"/>
      <c r="C42" s="109" t="str">
        <f>'01.09'!C41</f>
        <v>*Л. Элективные дисциплины по ФКиС: Фехтование*</v>
      </c>
      <c r="D42" s="110">
        <f>'30.11'!D42+COUNTIF(D$8:D$38,$C42)</f>
        <v>1</v>
      </c>
      <c r="E42" s="110">
        <f>'30.11'!E42+COUNTIF(E$8:E$38,$C42)</f>
        <v>1</v>
      </c>
      <c r="F42" s="110">
        <f>'30.11'!F42+COUNTIF(F$8:F$38,$C42)</f>
        <v>1</v>
      </c>
      <c r="G42" s="110">
        <f>'30.11'!G42+COUNTIF(G$8:G$38,$C42)</f>
        <v>1</v>
      </c>
      <c r="H42" s="110">
        <f>'30.11'!H42+COUNTIF(H$8:H$38,$C42)</f>
        <v>1</v>
      </c>
    </row>
    <row r="43" spans="1:8" s="19" customFormat="1" ht="26.25" x14ac:dyDescent="0.4">
      <c r="A43" s="18"/>
      <c r="B43" s="18"/>
      <c r="C43" s="109" t="str">
        <f>'01.09'!C42</f>
        <v>*Пр. Элективные дисциплины по ФКиС: Фехтование*</v>
      </c>
      <c r="D43" s="111">
        <f>'30.11'!D43+COUNTIF(D$8:D$38,$C43)</f>
        <v>6</v>
      </c>
      <c r="E43" s="111">
        <f>'30.11'!E43+COUNTIF(E$8:E$38,$C43)</f>
        <v>6</v>
      </c>
      <c r="F43" s="111">
        <f>'30.11'!F43+COUNTIF(F$8:F$38,$C43)</f>
        <v>6</v>
      </c>
      <c r="G43" s="111">
        <f>'30.11'!G43+COUNTIF(G$8:G$38,$C43)</f>
        <v>6</v>
      </c>
      <c r="H43" s="111">
        <f>'30.11'!H43+COUNTIF(H$8:H$38,$C43)</f>
        <v>6</v>
      </c>
    </row>
    <row r="44" spans="1:8" s="19" customFormat="1" ht="26.25" x14ac:dyDescent="0.4">
      <c r="A44" s="18"/>
      <c r="B44" s="18"/>
      <c r="C44" s="109" t="str">
        <f>'01.09'!C43</f>
        <v>*Л. Педагогика физической культуры и спорта*</v>
      </c>
      <c r="D44" s="110">
        <f>'30.11'!D44+COUNTIF(D$8:D$38,$C44)</f>
        <v>5</v>
      </c>
      <c r="E44" s="110">
        <f>'30.11'!E44+COUNTIF(E$8:E$38,$C44)</f>
        <v>5</v>
      </c>
      <c r="F44" s="110">
        <f>'30.11'!F44+COUNTIF(F$8:F$38,$C44)</f>
        <v>5</v>
      </c>
      <c r="G44" s="110">
        <f>'30.11'!G44+COUNTIF(G$8:G$38,$C44)</f>
        <v>5</v>
      </c>
      <c r="H44" s="110">
        <f>'30.11'!H44+COUNTIF(H$8:H$38,$C44)</f>
        <v>5</v>
      </c>
    </row>
    <row r="45" spans="1:8" s="19" customFormat="1" ht="26.25" x14ac:dyDescent="0.4">
      <c r="A45" s="18"/>
      <c r="B45" s="18"/>
      <c r="C45" s="109" t="str">
        <f>'01.09'!C44</f>
        <v>*Пр. Педагогика физической культуры и спорта*</v>
      </c>
      <c r="D45" s="111">
        <f>'30.11'!D45+COUNTIF(D$8:D$38,$C45)</f>
        <v>6</v>
      </c>
      <c r="E45" s="111">
        <f>'30.11'!E45+COUNTIF(E$8:E$38,$C45)</f>
        <v>5</v>
      </c>
      <c r="F45" s="111">
        <f>'30.11'!F45+COUNTIF(F$8:F$38,$C45)</f>
        <v>5</v>
      </c>
      <c r="G45" s="111">
        <f>'30.11'!G45+COUNTIF(G$8:G$38,$C45)</f>
        <v>5</v>
      </c>
      <c r="H45" s="111">
        <f>'30.11'!H45+COUNTIF(H$8:H$38,$C45)</f>
        <v>4</v>
      </c>
    </row>
    <row r="46" spans="1:8" s="19" customFormat="1" ht="26.25" x14ac:dyDescent="0.4">
      <c r="A46" s="18"/>
      <c r="B46" s="18"/>
      <c r="C46" s="109" t="str">
        <f>'01.09'!C45</f>
        <v>*Л. Теория и методика*</v>
      </c>
      <c r="D46" s="110">
        <f>'30.11'!D46+COUNTIF(D$8:D$38,$C46)</f>
        <v>4</v>
      </c>
      <c r="E46" s="110">
        <f>'30.11'!E46+COUNTIF(E$8:E$38,$C46)</f>
        <v>4</v>
      </c>
      <c r="F46" s="110">
        <f>'30.11'!F46+COUNTIF(F$8:F$38,$C46)</f>
        <v>4</v>
      </c>
      <c r="G46" s="110">
        <f>'30.11'!G46+COUNTIF(G$8:G$38,$C46)</f>
        <v>4</v>
      </c>
      <c r="H46" s="110">
        <f>'30.11'!H46+COUNTIF(H$8:H$38,$C46)</f>
        <v>4</v>
      </c>
    </row>
    <row r="47" spans="1:8" s="19" customFormat="1" ht="26.25" x14ac:dyDescent="0.4">
      <c r="A47" s="18"/>
      <c r="B47" s="18"/>
      <c r="C47" s="109" t="str">
        <f>'01.09'!C46</f>
        <v>*Пр. Теория и методика*</v>
      </c>
      <c r="D47" s="111">
        <f>'30.11'!D47+COUNTIF(D$8:D$38,$C47)</f>
        <v>27</v>
      </c>
      <c r="E47" s="111">
        <f>'30.11'!E47+COUNTIF(E$8:E$38,$C47)</f>
        <v>27</v>
      </c>
      <c r="F47" s="111">
        <f>'30.11'!F47+COUNTIF(F$8:F$38,$C47)</f>
        <v>27</v>
      </c>
      <c r="G47" s="111">
        <f>'30.11'!G47+COUNTIF(G$8:G$38,$C47)</f>
        <v>27</v>
      </c>
      <c r="H47" s="111">
        <f>'30.11'!H47+COUNTIF(H$8:H$38,$C47)</f>
        <v>25</v>
      </c>
    </row>
    <row r="48" spans="1:8" s="19" customFormat="1" ht="26.25" x14ac:dyDescent="0.4">
      <c r="A48" s="18"/>
      <c r="B48" s="18"/>
      <c r="C48" s="109" t="str">
        <f>'01.09'!C47</f>
        <v>*Л.  Теория и методика физической культуры*</v>
      </c>
      <c r="D48" s="110">
        <f>'30.11'!D48+COUNTIF(D$8:D$38,$C48)</f>
        <v>10</v>
      </c>
      <c r="E48" s="110">
        <f>'30.11'!E48+COUNTIF(E$8:E$38,$C48)</f>
        <v>10</v>
      </c>
      <c r="F48" s="110">
        <f>'30.11'!F48+COUNTIF(F$8:F$38,$C48)</f>
        <v>10</v>
      </c>
      <c r="G48" s="110">
        <f>'30.11'!G48+COUNTIF(G$8:G$38,$C48)</f>
        <v>10</v>
      </c>
      <c r="H48" s="110">
        <f>'30.11'!H48+COUNTIF(H$8:H$38,$C48)</f>
        <v>10</v>
      </c>
    </row>
    <row r="49" spans="1:8" s="19" customFormat="1" ht="26.25" x14ac:dyDescent="0.4">
      <c r="A49" s="18"/>
      <c r="B49" s="18"/>
      <c r="C49" s="109" t="str">
        <f>'01.09'!C48</f>
        <v>*Пр.  Теория и методика физической культуры*</v>
      </c>
      <c r="D49" s="111">
        <f>'30.11'!D49+COUNTIF(D$8:D$38,$C49)</f>
        <v>6</v>
      </c>
      <c r="E49" s="111">
        <f>'30.11'!E49+COUNTIF(E$8:E$38,$C49)</f>
        <v>6</v>
      </c>
      <c r="F49" s="111">
        <f>'30.11'!F49+COUNTIF(F$8:F$38,$C49)</f>
        <v>6</v>
      </c>
      <c r="G49" s="111">
        <f>'30.11'!G49+COUNTIF(G$8:G$38,$C49)</f>
        <v>5</v>
      </c>
      <c r="H49" s="111">
        <f>'30.11'!H49+COUNTIF(H$8:H$38,$C49)</f>
        <v>5</v>
      </c>
    </row>
    <row r="50" spans="1:8" s="19" customFormat="1" ht="26.25" x14ac:dyDescent="0.4">
      <c r="A50" s="18"/>
      <c r="B50" s="18"/>
      <c r="C50" s="109" t="str">
        <f>'01.09'!C49</f>
        <v>*Л. Плавание*</v>
      </c>
      <c r="D50" s="110">
        <f>'30.11'!D50+COUNTIF(D$8:D$38,$C50)</f>
        <v>2</v>
      </c>
      <c r="E50" s="110">
        <f>'30.11'!E50+COUNTIF(E$8:E$38,$C50)</f>
        <v>2</v>
      </c>
      <c r="F50" s="110">
        <f>'30.11'!F50+COUNTIF(F$8:F$38,$C50)</f>
        <v>2</v>
      </c>
      <c r="G50" s="110">
        <f>'30.11'!G50+COUNTIF(G$8:G$38,$C50)</f>
        <v>2</v>
      </c>
      <c r="H50" s="110">
        <f>'30.11'!H50+COUNTIF(H$8:H$38,$C50)</f>
        <v>2</v>
      </c>
    </row>
    <row r="51" spans="1:8" s="19" customFormat="1" ht="26.25" x14ac:dyDescent="0.4">
      <c r="A51" s="18"/>
      <c r="B51" s="18"/>
      <c r="C51" s="109" t="str">
        <f>'01.09'!C50</f>
        <v>*Пр. Плавание*</v>
      </c>
      <c r="D51" s="111">
        <f>'30.11'!D51+COUNTIF(D$8:D$38,$C51)</f>
        <v>18</v>
      </c>
      <c r="E51" s="111">
        <f>'30.11'!E51+COUNTIF(E$8:E$38,$C51)</f>
        <v>18</v>
      </c>
      <c r="F51" s="111">
        <f>'30.11'!F51+COUNTIF(F$8:F$38,$C51)</f>
        <v>20</v>
      </c>
      <c r="G51" s="111">
        <f>'30.11'!G51+COUNTIF(G$8:G$38,$C51)</f>
        <v>20</v>
      </c>
      <c r="H51" s="111">
        <f>'30.11'!H51+COUNTIF(H$8:H$38,$C51)</f>
        <v>20</v>
      </c>
    </row>
    <row r="52" spans="1:8" s="19" customFormat="1" ht="26.25" x14ac:dyDescent="0.4">
      <c r="A52" s="18"/>
      <c r="B52" s="18"/>
      <c r="C52" s="109" t="str">
        <f>'01.09'!C51</f>
        <v>*Л. Подвижные игры в спорте и образовании*</v>
      </c>
      <c r="D52" s="110">
        <f>'30.11'!D52+COUNTIF(D$8:D$38,$C52)</f>
        <v>1</v>
      </c>
      <c r="E52" s="110">
        <f>'30.11'!E52+COUNTIF(E$8:E$38,$C52)</f>
        <v>1</v>
      </c>
      <c r="F52" s="110">
        <f>'30.11'!F52+COUNTIF(F$8:F$38,$C52)</f>
        <v>1</v>
      </c>
      <c r="G52" s="110">
        <f>'30.11'!G52+COUNTIF(G$8:G$38,$C52)</f>
        <v>1</v>
      </c>
      <c r="H52" s="110">
        <f>'30.11'!H52+COUNTIF(H$8:H$38,$C52)</f>
        <v>1</v>
      </c>
    </row>
    <row r="53" spans="1:8" s="19" customFormat="1" ht="26.25" x14ac:dyDescent="0.4">
      <c r="A53" s="18"/>
      <c r="B53" s="18"/>
      <c r="C53" s="109" t="str">
        <f>'01.09'!C52</f>
        <v>*Пр. Подвижные игры в спорте и образовании*</v>
      </c>
      <c r="D53" s="111">
        <f>'30.11'!D53+COUNTIF(D$8:D$38,$C53)</f>
        <v>10</v>
      </c>
      <c r="E53" s="111">
        <f>'30.11'!E53+COUNTIF(E$8:E$38,$C53)</f>
        <v>10</v>
      </c>
      <c r="F53" s="111">
        <f>'30.11'!F53+COUNTIF(F$8:F$38,$C53)</f>
        <v>9</v>
      </c>
      <c r="G53" s="111">
        <f>'30.11'!G53+COUNTIF(G$8:G$38,$C53)</f>
        <v>10</v>
      </c>
      <c r="H53" s="111">
        <f>'30.11'!H53+COUNTIF(H$8:H$38,$C53)</f>
        <v>10</v>
      </c>
    </row>
    <row r="54" spans="1:8" s="19" customFormat="1" ht="26.25" x14ac:dyDescent="0.4">
      <c r="A54" s="18"/>
      <c r="B54" s="18"/>
      <c r="C54" s="109" t="str">
        <f>'01.09'!C53</f>
        <v>*Л. Самооборона (самбо)*</v>
      </c>
      <c r="D54" s="110">
        <f>'30.11'!D54+COUNTIF(D$8:D$38,$C54)</f>
        <v>1</v>
      </c>
      <c r="E54" s="110">
        <f>'30.11'!E54+COUNTIF(E$8:E$38,$C54)</f>
        <v>1</v>
      </c>
      <c r="F54" s="110">
        <f>'30.11'!F54+COUNTIF(F$8:F$38,$C54)</f>
        <v>1</v>
      </c>
      <c r="G54" s="110">
        <f>'30.11'!G54+COUNTIF(G$8:G$38,$C54)</f>
        <v>1</v>
      </c>
      <c r="H54" s="110">
        <f>'30.11'!H54+COUNTIF(H$8:H$38,$C54)</f>
        <v>1</v>
      </c>
    </row>
    <row r="55" spans="1:8" s="19" customFormat="1" ht="26.25" x14ac:dyDescent="0.4">
      <c r="A55" s="18"/>
      <c r="B55" s="18"/>
      <c r="C55" s="109" t="str">
        <f>'01.09'!C54</f>
        <v>*Пр. Самооборона (самбо)*</v>
      </c>
      <c r="D55" s="111">
        <f>'30.11'!D55+COUNTIF(D$8:D$38,$C55)</f>
        <v>10</v>
      </c>
      <c r="E55" s="111">
        <f>'30.11'!E55+COUNTIF(E$8:E$38,$C55)</f>
        <v>10</v>
      </c>
      <c r="F55" s="111">
        <f>'30.11'!F55+COUNTIF(F$8:F$38,$C55)</f>
        <v>9</v>
      </c>
      <c r="G55" s="111">
        <f>'30.11'!G55+COUNTIF(G$8:G$38,$C55)</f>
        <v>10</v>
      </c>
      <c r="H55" s="111">
        <f>'30.11'!H55+COUNTIF(H$8:H$38,$C55)</f>
        <v>10</v>
      </c>
    </row>
    <row r="56" spans="1:8" s="19" customFormat="1" ht="26.25" x14ac:dyDescent="0.4">
      <c r="A56" s="18"/>
      <c r="B56" s="18"/>
      <c r="C56" s="109" t="str">
        <f>'01.09'!C55</f>
        <v>*Л. Методика реализации программ*</v>
      </c>
      <c r="D56" s="110">
        <f>'30.11'!D56+COUNTIF(D$8:D$38,$C56)</f>
        <v>3</v>
      </c>
      <c r="E56" s="110">
        <f>'30.11'!E56+COUNTIF(E$8:E$38,$C56)</f>
        <v>3</v>
      </c>
      <c r="F56" s="110">
        <f>'30.11'!F56+COUNTIF(F$8:F$38,$C56)</f>
        <v>3</v>
      </c>
      <c r="G56" s="110">
        <f>'30.11'!G56+COUNTIF(G$8:G$38,$C56)</f>
        <v>3</v>
      </c>
      <c r="H56" s="110">
        <f>'30.11'!H56+COUNTIF(H$8:H$38,$C56)</f>
        <v>3</v>
      </c>
    </row>
    <row r="57" spans="1:8" s="19" customFormat="1" ht="26.25" x14ac:dyDescent="0.4">
      <c r="A57" s="18"/>
      <c r="B57" s="18"/>
      <c r="C57" s="109" t="str">
        <f>'01.09'!C56</f>
        <v>*Пр. Методика реализации программ*</v>
      </c>
      <c r="D57" s="111">
        <f>'30.11'!D57+COUNTIF(D$8:D$38,$C57)</f>
        <v>6</v>
      </c>
      <c r="E57" s="111">
        <f>'30.11'!E57+COUNTIF(E$8:E$38,$C57)</f>
        <v>6</v>
      </c>
      <c r="F57" s="111">
        <f>'30.11'!F57+COUNTIF(F$8:F$38,$C57)</f>
        <v>6</v>
      </c>
      <c r="G57" s="111">
        <f>'30.11'!G57+COUNTIF(G$8:G$38,$C57)</f>
        <v>6</v>
      </c>
      <c r="H57" s="111">
        <f>'30.11'!H57+COUNTIF(H$8:H$38,$C57)</f>
        <v>6</v>
      </c>
    </row>
    <row r="58" spans="1:8" s="19" customFormat="1" ht="26.25" x14ac:dyDescent="0.4">
      <c r="A58" s="18"/>
      <c r="B58" s="18"/>
      <c r="C58" s="109" t="str">
        <f>'01.09'!C57</f>
        <v>*Л. Методика преподавания*</v>
      </c>
      <c r="D58" s="110">
        <f>'30.11'!D58+COUNTIF(D$8:D$38,$C58)</f>
        <v>3</v>
      </c>
      <c r="E58" s="110">
        <f>'30.11'!E58+COUNTIF(E$8:E$38,$C58)</f>
        <v>3</v>
      </c>
      <c r="F58" s="110">
        <f>'30.11'!F58+COUNTIF(F$8:F$38,$C58)</f>
        <v>3</v>
      </c>
      <c r="G58" s="110">
        <f>'30.11'!G58+COUNTIF(G$8:G$38,$C58)</f>
        <v>3</v>
      </c>
      <c r="H58" s="110">
        <f>'30.11'!H58+COUNTIF(H$8:H$38,$C58)</f>
        <v>3</v>
      </c>
    </row>
    <row r="59" spans="1:8" s="19" customFormat="1" ht="26.25" x14ac:dyDescent="0.4">
      <c r="A59" s="18"/>
      <c r="B59" s="18"/>
      <c r="C59" s="109" t="str">
        <f>'01.09'!C58</f>
        <v>*Пр. Методика преподавания*</v>
      </c>
      <c r="D59" s="111">
        <f>'30.11'!D59+COUNTIF(D$8:D$38,$C59)</f>
        <v>6</v>
      </c>
      <c r="E59" s="111">
        <f>'30.11'!E59+COUNTIF(E$8:E$38,$C59)</f>
        <v>6</v>
      </c>
      <c r="F59" s="111">
        <f>'30.11'!F59+COUNTIF(F$8:F$38,$C59)</f>
        <v>6</v>
      </c>
      <c r="G59" s="111">
        <f>'30.11'!G59+COUNTIF(G$8:G$38,$C59)</f>
        <v>6</v>
      </c>
      <c r="H59" s="111">
        <f>'30.11'!H59+COUNTIF(H$8:H$38,$C59)</f>
        <v>6</v>
      </c>
    </row>
    <row r="60" spans="1:8" s="19" customFormat="1" ht="26.25" x14ac:dyDescent="0.4">
      <c r="A60" s="18"/>
      <c r="B60" s="18"/>
      <c r="C60" s="109">
        <f>'01.09'!C59</f>
        <v>0</v>
      </c>
      <c r="D60" s="110">
        <f>'30.11'!D60+COUNTIF(D$8:D$38,$C60)</f>
        <v>0</v>
      </c>
      <c r="E60" s="110">
        <f>'30.11'!E60+COUNTIF(E$8:E$38,$C60)</f>
        <v>0</v>
      </c>
      <c r="F60" s="110">
        <f>'30.11'!F60+COUNTIF(F$8:F$38,$C60)</f>
        <v>0</v>
      </c>
      <c r="G60" s="110">
        <f>'30.11'!G60+COUNTIF(G$8:G$38,$C60)</f>
        <v>0</v>
      </c>
      <c r="H60" s="110">
        <f>'30.11'!H60+COUNTIF(H$8:H$38,$C60)</f>
        <v>0</v>
      </c>
    </row>
    <row r="61" spans="1:8" s="19" customFormat="1" ht="26.25" x14ac:dyDescent="0.4">
      <c r="A61" s="18"/>
      <c r="B61" s="18"/>
      <c r="C61" s="109">
        <f>'01.09'!C60</f>
        <v>0</v>
      </c>
      <c r="D61" s="111">
        <f>'30.11'!D61+COUNTIF(D$8:D$38,$C61)</f>
        <v>0</v>
      </c>
      <c r="E61" s="111">
        <f>'30.11'!E61+COUNTIF(E$8:E$38,$C61)</f>
        <v>0</v>
      </c>
      <c r="F61" s="111">
        <f>'30.11'!F61+COUNTIF(F$8:F$38,$C61)</f>
        <v>0</v>
      </c>
      <c r="G61" s="111">
        <f>'30.11'!G61+COUNTIF(G$8:G$38,$C61)</f>
        <v>0</v>
      </c>
      <c r="H61" s="111">
        <f>'30.11'!H61+COUNTIF(H$8:H$38,$C61)</f>
        <v>0</v>
      </c>
    </row>
    <row r="62" spans="1:8" ht="26.25" x14ac:dyDescent="0.4">
      <c r="A62" s="2"/>
      <c r="B62" s="2"/>
      <c r="C62" s="109">
        <f>'01.09'!C61</f>
        <v>0</v>
      </c>
      <c r="D62" s="110">
        <f>'30.11'!D62+COUNTIF(D$8:D$38,$C62)</f>
        <v>0</v>
      </c>
      <c r="E62" s="110">
        <f>'30.11'!E62+COUNTIF(E$8:E$38,$C62)</f>
        <v>0</v>
      </c>
      <c r="F62" s="110">
        <f>'30.11'!F62+COUNTIF(F$8:F$38,$C62)</f>
        <v>0</v>
      </c>
      <c r="G62" s="110">
        <f>'30.11'!G62+COUNTIF(G$8:G$38,$C62)</f>
        <v>0</v>
      </c>
      <c r="H62" s="110">
        <f>'30.11'!H62+COUNTIF(H$8:H$38,$C62)</f>
        <v>0</v>
      </c>
    </row>
    <row r="63" spans="1:8" ht="26.25" x14ac:dyDescent="0.4">
      <c r="A63" s="2"/>
      <c r="B63" s="2"/>
      <c r="C63" s="109">
        <f>'01.09'!C62</f>
        <v>0</v>
      </c>
      <c r="D63" s="111">
        <f>'30.11'!D63+COUNTIF(D$8:D$38,$C63)</f>
        <v>0</v>
      </c>
      <c r="E63" s="111">
        <f>'30.11'!E63+COUNTIF(E$8:E$38,$C63)</f>
        <v>0</v>
      </c>
      <c r="F63" s="111">
        <f>'30.11'!F63+COUNTIF(F$8:F$38,$C63)</f>
        <v>0</v>
      </c>
      <c r="G63" s="111">
        <f>'30.11'!G63+COUNTIF(G$8:G$38,$C63)</f>
        <v>0</v>
      </c>
      <c r="H63" s="111">
        <f>'30.11'!H63+COUNTIF(H$8:H$38,$C63)</f>
        <v>0</v>
      </c>
    </row>
    <row r="64" spans="1:8" ht="26.25" x14ac:dyDescent="0.4">
      <c r="A64" s="2"/>
      <c r="B64" s="2"/>
      <c r="C64" s="109">
        <f>'01.09'!C63</f>
        <v>0</v>
      </c>
      <c r="D64" s="110">
        <f>'30.11'!D64+COUNTIF(D$8:D$38,$C64)</f>
        <v>0</v>
      </c>
      <c r="E64" s="110">
        <f>'30.11'!E64+COUNTIF(E$8:E$38,$C64)</f>
        <v>0</v>
      </c>
      <c r="F64" s="110">
        <f>'30.11'!F64+COUNTIF(F$8:F$38,$C64)</f>
        <v>0</v>
      </c>
      <c r="G64" s="110">
        <f>'30.11'!G64+COUNTIF(G$8:G$38,$C64)</f>
        <v>0</v>
      </c>
      <c r="H64" s="110">
        <f>'30.11'!H64+COUNTIF(H$8:H$38,$C64)</f>
        <v>0</v>
      </c>
    </row>
    <row r="65" spans="1:8" ht="26.25" x14ac:dyDescent="0.4">
      <c r="A65" s="2"/>
      <c r="B65" s="2"/>
      <c r="C65" s="109">
        <f>'01.09'!C64</f>
        <v>0</v>
      </c>
      <c r="D65" s="111">
        <f>'30.11'!D65+COUNTIF(D$8:D$38,$C65)</f>
        <v>0</v>
      </c>
      <c r="E65" s="111">
        <f>'30.11'!E65+COUNTIF(E$8:E$38,$C65)</f>
        <v>0</v>
      </c>
      <c r="F65" s="111">
        <f>'30.11'!F65+COUNTIF(F$8:F$38,$C65)</f>
        <v>0</v>
      </c>
      <c r="G65" s="111">
        <f>'30.11'!G65+COUNTIF(G$8:G$38,$C65)</f>
        <v>0</v>
      </c>
      <c r="H65" s="111">
        <f>'30.11'!H65+COUNTIF(H$8:H$38,$C65)</f>
        <v>0</v>
      </c>
    </row>
    <row r="66" spans="1:8" ht="26.25" x14ac:dyDescent="0.4">
      <c r="A66" s="2"/>
      <c r="B66" s="2"/>
      <c r="C66" s="109">
        <f>'01.09'!C65</f>
        <v>0</v>
      </c>
      <c r="D66" s="110">
        <f>'30.11'!D66+COUNTIF(D$8:D$38,$C66)</f>
        <v>0</v>
      </c>
      <c r="E66" s="110">
        <f>'30.11'!E66+COUNTIF(E$8:E$38,$C66)</f>
        <v>0</v>
      </c>
      <c r="F66" s="110">
        <f>'30.11'!F66+COUNTIF(F$8:F$38,$C66)</f>
        <v>0</v>
      </c>
      <c r="G66" s="110">
        <f>'30.11'!G66+COUNTIF(G$8:G$38,$C66)</f>
        <v>0</v>
      </c>
      <c r="H66" s="110">
        <f>'30.11'!H66+COUNTIF(H$8:H$38,$C66)</f>
        <v>0</v>
      </c>
    </row>
    <row r="67" spans="1:8" ht="26.25" x14ac:dyDescent="0.4">
      <c r="A67" s="2"/>
      <c r="B67" s="2"/>
      <c r="C67" s="109">
        <f>'01.09'!C66</f>
        <v>0</v>
      </c>
      <c r="D67" s="111">
        <f>'30.11'!D67+COUNTIF(D$8:D$38,$C67)</f>
        <v>0</v>
      </c>
      <c r="E67" s="111">
        <f>'30.11'!E67+COUNTIF(E$8:E$38,$C67)</f>
        <v>0</v>
      </c>
      <c r="F67" s="111">
        <f>'30.11'!F67+COUNTIF(F$8:F$38,$C67)</f>
        <v>0</v>
      </c>
      <c r="G67" s="111">
        <f>'30.11'!G67+COUNTIF(G$8:G$38,$C67)</f>
        <v>0</v>
      </c>
      <c r="H67" s="111">
        <f>'30.11'!H67+COUNTIF(H$8:H$38,$C67)</f>
        <v>0</v>
      </c>
    </row>
    <row r="68" spans="1:8" ht="26.25" x14ac:dyDescent="0.4">
      <c r="A68" s="2"/>
      <c r="B68" s="2"/>
      <c r="C68" s="109">
        <f>'01.09'!C67</f>
        <v>0</v>
      </c>
      <c r="D68" s="110">
        <f>'30.11'!D68+COUNTIF(D$8:D$38,$C68)</f>
        <v>0</v>
      </c>
      <c r="E68" s="110">
        <f>'30.11'!E68+COUNTIF(E$8:E$38,$C68)</f>
        <v>0</v>
      </c>
      <c r="F68" s="110">
        <f>'30.11'!F68+COUNTIF(F$8:F$38,$C68)</f>
        <v>0</v>
      </c>
      <c r="G68" s="110">
        <f>'30.11'!G68+COUNTIF(G$8:G$38,$C68)</f>
        <v>0</v>
      </c>
      <c r="H68" s="110">
        <f>'30.11'!H68+COUNTIF(H$8:H$38,$C68)</f>
        <v>0</v>
      </c>
    </row>
    <row r="69" spans="1:8" ht="26.25" x14ac:dyDescent="0.4">
      <c r="A69" s="2"/>
      <c r="B69" s="2"/>
      <c r="C69" s="109">
        <f>'01.09'!C68</f>
        <v>0</v>
      </c>
      <c r="D69" s="111">
        <f>'30.11'!D69+COUNTIF(D$8:D$38,$C69)</f>
        <v>0</v>
      </c>
      <c r="E69" s="111">
        <f>'30.11'!E69+COUNTIF(E$8:E$38,$C69)</f>
        <v>0</v>
      </c>
      <c r="F69" s="111">
        <f>'30.11'!F69+COUNTIF(F$8:F$38,$C69)</f>
        <v>0</v>
      </c>
      <c r="G69" s="111">
        <f>'30.11'!G69+COUNTIF(G$8:G$38,$C69)</f>
        <v>0</v>
      </c>
      <c r="H69" s="111">
        <f>'30.11'!H69+COUNTIF(H$8:H$38,$C69)</f>
        <v>0</v>
      </c>
    </row>
    <row r="70" spans="1:8" ht="26.25" x14ac:dyDescent="0.4">
      <c r="A70" s="2"/>
      <c r="B70" s="2"/>
      <c r="C70" s="109">
        <f>'01.09'!C69</f>
        <v>0</v>
      </c>
      <c r="D70" s="110">
        <f>'30.11'!D70+COUNTIF(D$8:D$38,$C70)</f>
        <v>0</v>
      </c>
      <c r="E70" s="110">
        <f>'30.11'!E70+COUNTIF(E$8:E$38,$C70)</f>
        <v>0</v>
      </c>
      <c r="F70" s="110">
        <f>'30.11'!F70+COUNTIF(F$8:F$38,$C70)</f>
        <v>0</v>
      </c>
      <c r="G70" s="110">
        <f>'30.11'!G70+COUNTIF(G$8:G$38,$C70)</f>
        <v>0</v>
      </c>
      <c r="H70" s="110">
        <f>'30.11'!H70+COUNTIF(H$8:H$38,$C70)</f>
        <v>0</v>
      </c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B1:H1"/>
    <mergeCell ref="B2:H2"/>
    <mergeCell ref="B3:H3"/>
    <mergeCell ref="B4:H4"/>
    <mergeCell ref="B8:B12"/>
    <mergeCell ref="C6:C7"/>
    <mergeCell ref="A5:H5"/>
    <mergeCell ref="B13:B18"/>
    <mergeCell ref="A8:A12"/>
    <mergeCell ref="B6:B7"/>
    <mergeCell ref="A13:A18"/>
    <mergeCell ref="A6:A7"/>
    <mergeCell ref="A34:A38"/>
    <mergeCell ref="B34:B38"/>
    <mergeCell ref="A24:A28"/>
    <mergeCell ref="A29:A33"/>
    <mergeCell ref="B19:B23"/>
    <mergeCell ref="B24:B28"/>
    <mergeCell ref="B29:B33"/>
    <mergeCell ref="A19:A23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/>
  <dimension ref="A1:J72"/>
  <sheetViews>
    <sheetView view="pageBreakPreview" topLeftCell="A29" zoomScale="40" zoomScaleNormal="40" zoomScaleSheetLayoutView="40" zoomScalePageLayoutView="40" workbookViewId="0">
      <selection activeCell="E35" sqref="E35"/>
    </sheetView>
  </sheetViews>
  <sheetFormatPr defaultRowHeight="15" x14ac:dyDescent="0.25"/>
  <cols>
    <col min="1" max="1" width="4.42578125" customWidth="1"/>
    <col min="2" max="2" width="5.7109375" customWidth="1"/>
    <col min="3" max="3" width="21.42578125" customWidth="1"/>
    <col min="4" max="8" width="64.5703125" customWidth="1"/>
  </cols>
  <sheetData>
    <row r="1" spans="1:8" ht="33.75" customHeight="1" x14ac:dyDescent="0.3">
      <c r="A1" s="178"/>
      <c r="B1" s="760" t="s">
        <v>140</v>
      </c>
      <c r="C1" s="760"/>
      <c r="D1" s="760"/>
      <c r="E1" s="760"/>
      <c r="F1" s="760"/>
      <c r="G1" s="760"/>
      <c r="H1" s="760"/>
    </row>
    <row r="2" spans="1:8" ht="33.75" customHeight="1" x14ac:dyDescent="0.3">
      <c r="A2" s="179"/>
      <c r="B2" s="760" t="s">
        <v>87</v>
      </c>
      <c r="C2" s="760"/>
      <c r="D2" s="760"/>
      <c r="E2" s="760"/>
      <c r="F2" s="760"/>
      <c r="G2" s="760"/>
      <c r="H2" s="760"/>
    </row>
    <row r="3" spans="1:8" ht="38.25" customHeight="1" x14ac:dyDescent="0.25">
      <c r="A3" s="229"/>
      <c r="B3" s="787" t="s">
        <v>81</v>
      </c>
      <c r="C3" s="787"/>
      <c r="D3" s="787"/>
      <c r="E3" s="787"/>
      <c r="F3" s="787"/>
      <c r="G3" s="787"/>
      <c r="H3" s="787"/>
    </row>
    <row r="4" spans="1:8" ht="33.75" customHeight="1" x14ac:dyDescent="0.25">
      <c r="A4" s="180"/>
      <c r="B4" s="760" t="s">
        <v>142</v>
      </c>
      <c r="C4" s="760"/>
      <c r="D4" s="760"/>
      <c r="E4" s="760"/>
      <c r="F4" s="760"/>
      <c r="G4" s="760"/>
      <c r="H4" s="760"/>
    </row>
    <row r="5" spans="1:8" ht="33.75" customHeight="1" thickBot="1" x14ac:dyDescent="0.3">
      <c r="A5" s="682" t="s">
        <v>112</v>
      </c>
      <c r="B5" s="682"/>
      <c r="C5" s="682"/>
      <c r="D5" s="682"/>
      <c r="E5" s="682"/>
      <c r="F5" s="682"/>
      <c r="G5" s="682"/>
      <c r="H5" s="682"/>
    </row>
    <row r="6" spans="1:8" ht="29.25" customHeight="1" thickBot="1" x14ac:dyDescent="0.3">
      <c r="A6" s="770" t="s">
        <v>54</v>
      </c>
      <c r="B6" s="770" t="s">
        <v>14</v>
      </c>
      <c r="C6" s="793" t="s">
        <v>55</v>
      </c>
      <c r="D6" s="241" t="s">
        <v>5</v>
      </c>
      <c r="E6" s="242" t="s">
        <v>6</v>
      </c>
      <c r="F6" s="242" t="s">
        <v>7</v>
      </c>
      <c r="G6" s="242" t="s">
        <v>8</v>
      </c>
      <c r="H6" s="243" t="s">
        <v>9</v>
      </c>
    </row>
    <row r="7" spans="1:8" ht="97.5" customHeight="1" thickBot="1" x14ac:dyDescent="0.3">
      <c r="A7" s="771"/>
      <c r="B7" s="771"/>
      <c r="C7" s="794"/>
      <c r="D7" s="300" t="s">
        <v>106</v>
      </c>
      <c r="E7" s="370" t="s">
        <v>136</v>
      </c>
      <c r="F7" s="370" t="s">
        <v>107</v>
      </c>
      <c r="G7" s="370" t="s">
        <v>90</v>
      </c>
      <c r="H7" s="449" t="s">
        <v>78</v>
      </c>
    </row>
    <row r="8" spans="1:8" ht="69" customHeight="1" x14ac:dyDescent="0.25">
      <c r="A8" s="804" t="s">
        <v>0</v>
      </c>
      <c r="B8" s="792">
        <v>46370</v>
      </c>
      <c r="C8" s="480" t="s">
        <v>10</v>
      </c>
      <c r="D8" s="316"/>
      <c r="E8" s="299"/>
      <c r="F8" s="299"/>
      <c r="G8" s="551"/>
      <c r="H8" s="362"/>
    </row>
    <row r="9" spans="1:8" ht="69" customHeight="1" x14ac:dyDescent="0.25">
      <c r="A9" s="808"/>
      <c r="B9" s="757"/>
      <c r="C9" s="490" t="s">
        <v>11</v>
      </c>
      <c r="D9" s="281"/>
      <c r="E9" s="279"/>
      <c r="F9" s="369"/>
      <c r="G9" s="369"/>
      <c r="H9" s="552"/>
    </row>
    <row r="10" spans="1:8" ht="69" customHeight="1" x14ac:dyDescent="0.25">
      <c r="A10" s="808"/>
      <c r="B10" s="757"/>
      <c r="C10" s="490" t="s">
        <v>12</v>
      </c>
      <c r="D10" s="569"/>
      <c r="E10" s="369"/>
      <c r="F10" s="369"/>
      <c r="G10" s="474"/>
      <c r="H10" s="510"/>
    </row>
    <row r="11" spans="1:8" ht="69" customHeight="1" x14ac:dyDescent="0.25">
      <c r="A11" s="808"/>
      <c r="B11" s="757"/>
      <c r="C11" s="490" t="s">
        <v>13</v>
      </c>
      <c r="D11" s="374"/>
      <c r="E11" s="369"/>
      <c r="F11" s="369"/>
      <c r="G11" s="460"/>
      <c r="H11" s="284"/>
    </row>
    <row r="12" spans="1:8" ht="69" customHeight="1" thickBot="1" x14ac:dyDescent="0.3">
      <c r="A12" s="808"/>
      <c r="B12" s="757"/>
      <c r="C12" s="481" t="s">
        <v>15</v>
      </c>
      <c r="D12" s="555"/>
      <c r="E12" s="330"/>
      <c r="F12" s="330"/>
      <c r="G12" s="330"/>
      <c r="H12" s="350"/>
    </row>
    <row r="13" spans="1:8" ht="69" customHeight="1" x14ac:dyDescent="0.25">
      <c r="A13" s="804" t="s">
        <v>1</v>
      </c>
      <c r="B13" s="756">
        <f>B8+1</f>
        <v>46371</v>
      </c>
      <c r="C13" s="504" t="s">
        <v>10</v>
      </c>
      <c r="D13" s="375"/>
      <c r="E13" s="520"/>
      <c r="F13" s="520"/>
      <c r="G13" s="466"/>
      <c r="H13" s="467"/>
    </row>
    <row r="14" spans="1:8" ht="69" customHeight="1" x14ac:dyDescent="0.25">
      <c r="A14" s="808"/>
      <c r="B14" s="757"/>
      <c r="C14" s="505" t="s">
        <v>11</v>
      </c>
      <c r="D14" s="374"/>
      <c r="E14" s="369"/>
      <c r="F14" s="369"/>
      <c r="G14" s="279"/>
      <c r="H14" s="280"/>
    </row>
    <row r="15" spans="1:8" ht="69" customHeight="1" x14ac:dyDescent="0.25">
      <c r="A15" s="808"/>
      <c r="B15" s="757"/>
      <c r="C15" s="505" t="s">
        <v>12</v>
      </c>
      <c r="D15" s="374"/>
      <c r="E15" s="279"/>
      <c r="F15" s="279"/>
      <c r="G15" s="279"/>
      <c r="H15" s="492"/>
    </row>
    <row r="16" spans="1:8" ht="69" customHeight="1" x14ac:dyDescent="0.25">
      <c r="A16" s="808"/>
      <c r="B16" s="757"/>
      <c r="C16" s="505" t="s">
        <v>13</v>
      </c>
      <c r="D16" s="374"/>
      <c r="E16" s="279"/>
      <c r="F16" s="279"/>
      <c r="G16" s="279"/>
      <c r="H16" s="492"/>
    </row>
    <row r="17" spans="1:10" ht="69" customHeight="1" x14ac:dyDescent="0.25">
      <c r="A17" s="808"/>
      <c r="B17" s="757"/>
      <c r="C17" s="488" t="s">
        <v>15</v>
      </c>
      <c r="D17" s="542"/>
      <c r="E17" s="541"/>
      <c r="F17" s="540"/>
      <c r="G17" s="540"/>
      <c r="H17" s="194"/>
    </row>
    <row r="18" spans="1:10" ht="69" customHeight="1" thickBot="1" x14ac:dyDescent="0.3">
      <c r="A18" s="808"/>
      <c r="B18" s="757"/>
      <c r="C18" s="506" t="s">
        <v>60</v>
      </c>
      <c r="D18" s="543"/>
      <c r="E18" s="503"/>
      <c r="F18" s="544"/>
      <c r="G18" s="544"/>
      <c r="H18" s="545"/>
    </row>
    <row r="19" spans="1:10" ht="69" customHeight="1" x14ac:dyDescent="0.25">
      <c r="A19" s="804" t="s">
        <v>2</v>
      </c>
      <c r="B19" s="756">
        <f>B13+1</f>
        <v>46372</v>
      </c>
      <c r="C19" s="480" t="s">
        <v>10</v>
      </c>
      <c r="D19" s="539"/>
      <c r="E19" s="466"/>
      <c r="F19" s="466"/>
      <c r="G19" s="466"/>
      <c r="H19" s="467"/>
    </row>
    <row r="20" spans="1:10" ht="69" customHeight="1" x14ac:dyDescent="0.25">
      <c r="A20" s="808"/>
      <c r="B20" s="757"/>
      <c r="C20" s="490" t="s">
        <v>11</v>
      </c>
      <c r="D20" s="278"/>
      <c r="E20" s="279"/>
      <c r="F20" s="279"/>
      <c r="G20" s="279"/>
      <c r="H20" s="280"/>
    </row>
    <row r="21" spans="1:10" ht="69" customHeight="1" x14ac:dyDescent="0.25">
      <c r="A21" s="808"/>
      <c r="B21" s="757"/>
      <c r="C21" s="490" t="s">
        <v>12</v>
      </c>
      <c r="D21" s="374"/>
      <c r="E21" s="402"/>
      <c r="F21" s="279"/>
      <c r="G21" s="279"/>
      <c r="H21" s="492"/>
      <c r="J21" s="3"/>
    </row>
    <row r="22" spans="1:10" ht="69" customHeight="1" x14ac:dyDescent="0.25">
      <c r="A22" s="808"/>
      <c r="B22" s="757"/>
      <c r="C22" s="490" t="s">
        <v>13</v>
      </c>
      <c r="D22" s="374"/>
      <c r="E22" s="369"/>
      <c r="F22" s="279"/>
      <c r="G22" s="279"/>
      <c r="H22" s="510"/>
    </row>
    <row r="23" spans="1:10" ht="69" customHeight="1" thickBot="1" x14ac:dyDescent="0.3">
      <c r="A23" s="809"/>
      <c r="B23" s="757"/>
      <c r="C23" s="481" t="s">
        <v>15</v>
      </c>
      <c r="D23" s="217"/>
      <c r="E23" s="457"/>
      <c r="F23" s="218"/>
      <c r="G23" s="218"/>
      <c r="H23" s="219"/>
    </row>
    <row r="24" spans="1:10" ht="69" customHeight="1" x14ac:dyDescent="0.25">
      <c r="A24" s="804" t="s">
        <v>3</v>
      </c>
      <c r="B24" s="756">
        <f>B19+1</f>
        <v>46373</v>
      </c>
      <c r="C24" s="504" t="s">
        <v>10</v>
      </c>
      <c r="D24" s="302"/>
      <c r="E24" s="303"/>
      <c r="F24" s="303"/>
      <c r="G24" s="303"/>
      <c r="H24" s="321"/>
    </row>
    <row r="25" spans="1:10" ht="69" customHeight="1" x14ac:dyDescent="0.25">
      <c r="A25" s="805"/>
      <c r="B25" s="757"/>
      <c r="C25" s="505" t="s">
        <v>11</v>
      </c>
      <c r="D25" s="190"/>
      <c r="E25" s="248"/>
      <c r="F25" s="319"/>
      <c r="G25" s="248"/>
      <c r="H25" s="282"/>
    </row>
    <row r="26" spans="1:10" ht="69" customHeight="1" x14ac:dyDescent="0.25">
      <c r="A26" s="805"/>
      <c r="B26" s="757"/>
      <c r="C26" s="505" t="s">
        <v>12</v>
      </c>
      <c r="D26" s="374"/>
      <c r="E26" s="369"/>
      <c r="F26" s="404"/>
      <c r="G26" s="402"/>
      <c r="H26" s="403"/>
    </row>
    <row r="27" spans="1:10" ht="69" customHeight="1" x14ac:dyDescent="0.25">
      <c r="A27" s="805"/>
      <c r="B27" s="757"/>
      <c r="C27" s="505" t="s">
        <v>13</v>
      </c>
      <c r="D27" s="375"/>
      <c r="E27" s="369"/>
      <c r="F27" s="369"/>
      <c r="G27" s="402"/>
      <c r="H27" s="403"/>
    </row>
    <row r="28" spans="1:10" ht="69" customHeight="1" thickBot="1" x14ac:dyDescent="0.3">
      <c r="A28" s="805"/>
      <c r="B28" s="757"/>
      <c r="C28" s="506" t="s">
        <v>15</v>
      </c>
      <c r="D28" s="566"/>
      <c r="E28" s="567"/>
      <c r="F28" s="546"/>
      <c r="G28" s="546"/>
      <c r="H28" s="568"/>
    </row>
    <row r="29" spans="1:10" ht="69" customHeight="1" x14ac:dyDescent="0.25">
      <c r="A29" s="804" t="s">
        <v>4</v>
      </c>
      <c r="B29" s="756">
        <f>B24+1</f>
        <v>46374</v>
      </c>
      <c r="C29" s="483" t="s">
        <v>10</v>
      </c>
      <c r="D29" s="293"/>
      <c r="E29" s="299"/>
      <c r="F29" s="294"/>
      <c r="G29" s="361"/>
      <c r="H29" s="295"/>
    </row>
    <row r="30" spans="1:10" ht="69" customHeight="1" x14ac:dyDescent="0.25">
      <c r="A30" s="808"/>
      <c r="B30" s="757"/>
      <c r="C30" s="484" t="s">
        <v>11</v>
      </c>
      <c r="D30" s="317"/>
      <c r="E30" s="319"/>
      <c r="F30" s="247"/>
      <c r="G30" s="474"/>
      <c r="H30" s="284"/>
    </row>
    <row r="31" spans="1:10" ht="69" customHeight="1" x14ac:dyDescent="0.25">
      <c r="A31" s="808"/>
      <c r="B31" s="757"/>
      <c r="C31" s="484" t="s">
        <v>12</v>
      </c>
      <c r="D31" s="281"/>
      <c r="E31" s="248"/>
      <c r="F31" s="248"/>
      <c r="G31" s="319"/>
      <c r="H31" s="318"/>
    </row>
    <row r="32" spans="1:10" ht="69" customHeight="1" x14ac:dyDescent="0.25">
      <c r="A32" s="808"/>
      <c r="B32" s="757"/>
      <c r="C32" s="484" t="s">
        <v>13</v>
      </c>
      <c r="D32" s="281"/>
      <c r="E32" s="248"/>
      <c r="F32" s="248"/>
      <c r="G32" s="279"/>
      <c r="H32" s="282"/>
    </row>
    <row r="33" spans="1:8" ht="69" customHeight="1" thickBot="1" x14ac:dyDescent="0.3">
      <c r="A33" s="809"/>
      <c r="B33" s="757"/>
      <c r="C33" s="485" t="s">
        <v>15</v>
      </c>
      <c r="D33" s="285"/>
      <c r="E33" s="286"/>
      <c r="F33" s="286"/>
      <c r="G33" s="286"/>
      <c r="H33" s="287"/>
    </row>
    <row r="34" spans="1:8" ht="69" customHeight="1" x14ac:dyDescent="0.25">
      <c r="A34" s="757" t="s">
        <v>47</v>
      </c>
      <c r="B34" s="756">
        <f>B29+1</f>
        <v>46375</v>
      </c>
      <c r="C34" s="507" t="s">
        <v>10</v>
      </c>
      <c r="D34" s="331"/>
      <c r="E34" s="332"/>
      <c r="F34" s="332"/>
      <c r="G34" s="332"/>
      <c r="H34" s="333"/>
    </row>
    <row r="35" spans="1:8" ht="69" customHeight="1" x14ac:dyDescent="0.25">
      <c r="A35" s="757"/>
      <c r="B35" s="757"/>
      <c r="C35" s="508" t="s">
        <v>11</v>
      </c>
      <c r="D35" s="334"/>
      <c r="E35" s="335"/>
      <c r="F35" s="335"/>
      <c r="G35" s="336"/>
      <c r="H35" s="335"/>
    </row>
    <row r="36" spans="1:8" ht="69" customHeight="1" x14ac:dyDescent="0.25">
      <c r="A36" s="757"/>
      <c r="B36" s="757"/>
      <c r="C36" s="508" t="s">
        <v>12</v>
      </c>
      <c r="D36" s="334"/>
      <c r="E36" s="335"/>
      <c r="F36" s="335"/>
      <c r="G36" s="335"/>
      <c r="H36" s="337"/>
    </row>
    <row r="37" spans="1:8" ht="69" customHeight="1" x14ac:dyDescent="0.25">
      <c r="A37" s="757"/>
      <c r="B37" s="757"/>
      <c r="C37" s="508" t="s">
        <v>13</v>
      </c>
      <c r="D37" s="334"/>
      <c r="E37" s="338"/>
      <c r="F37" s="338"/>
      <c r="G37" s="335"/>
      <c r="H37" s="335"/>
    </row>
    <row r="38" spans="1:8" ht="69" customHeight="1" thickBot="1" x14ac:dyDescent="0.3">
      <c r="A38" s="758"/>
      <c r="B38" s="758"/>
      <c r="C38" s="509" t="s">
        <v>15</v>
      </c>
      <c r="D38" s="339"/>
      <c r="E38" s="340"/>
      <c r="F38" s="340"/>
      <c r="G38" s="340"/>
      <c r="H38" s="340"/>
    </row>
    <row r="39" spans="1:8" ht="33.75" customHeight="1" x14ac:dyDescent="0.3">
      <c r="A39" s="2"/>
      <c r="B39" s="2"/>
      <c r="C39" s="44"/>
      <c r="D39" s="181" t="s">
        <v>82</v>
      </c>
      <c r="E39" s="44"/>
      <c r="F39" s="44"/>
      <c r="G39" s="44"/>
      <c r="H39" s="44"/>
    </row>
    <row r="40" spans="1:8" s="19" customFormat="1" ht="26.25" x14ac:dyDescent="0.4">
      <c r="A40" s="18"/>
      <c r="B40" s="155"/>
      <c r="C40" s="109" t="str">
        <f>'01.09'!C39</f>
        <v>*Л. Физиология человека*</v>
      </c>
      <c r="D40" s="110">
        <f>'07.12'!D40+COUNTIF(D$8:D$38,$C40)</f>
        <v>12</v>
      </c>
      <c r="E40" s="110">
        <f>'07.12'!E40+COUNTIF(E$8:E$38,$C40)</f>
        <v>12</v>
      </c>
      <c r="F40" s="110">
        <f>'07.12'!F40+COUNTIF(F$8:F$38,$C40)</f>
        <v>12</v>
      </c>
      <c r="G40" s="110">
        <f>'07.12'!G40+COUNTIF(G$8:G$38,$C40)</f>
        <v>12</v>
      </c>
      <c r="H40" s="110">
        <f>'07.12'!H40+COUNTIF(H$8:H$38,$C40)</f>
        <v>12</v>
      </c>
    </row>
    <row r="41" spans="1:8" s="19" customFormat="1" ht="26.25" x14ac:dyDescent="0.4">
      <c r="A41" s="18"/>
      <c r="B41" s="155"/>
      <c r="C41" s="109" t="str">
        <f>'01.09'!C40</f>
        <v>*Пр. Физиология человека*</v>
      </c>
      <c r="D41" s="111">
        <f>'07.12'!D41+COUNTIF(D$8:D$38,$C41)</f>
        <v>19</v>
      </c>
      <c r="E41" s="111">
        <f>'07.12'!E41+COUNTIF(E$8:E$38,$C41)</f>
        <v>20</v>
      </c>
      <c r="F41" s="111">
        <f>'07.12'!F41+COUNTIF(F$8:F$38,$C41)</f>
        <v>19</v>
      </c>
      <c r="G41" s="111">
        <f>'07.12'!G41+COUNTIF(G$8:G$38,$C41)</f>
        <v>20</v>
      </c>
      <c r="H41" s="111">
        <f>'07.12'!H41+COUNTIF(H$8:H$38,$C41)</f>
        <v>20</v>
      </c>
    </row>
    <row r="42" spans="1:8" s="19" customFormat="1" ht="26.25" x14ac:dyDescent="0.4">
      <c r="A42" s="18"/>
      <c r="B42" s="155"/>
      <c r="C42" s="109" t="str">
        <f>'01.09'!C41</f>
        <v>*Л. Элективные дисциплины по ФКиС: Фехтование*</v>
      </c>
      <c r="D42" s="110">
        <f>'07.12'!D42+COUNTIF(D$8:D$38,$C42)</f>
        <v>1</v>
      </c>
      <c r="E42" s="110">
        <f>'07.12'!E42+COUNTIF(E$8:E$38,$C42)</f>
        <v>1</v>
      </c>
      <c r="F42" s="110">
        <f>'07.12'!F42+COUNTIF(F$8:F$38,$C42)</f>
        <v>1</v>
      </c>
      <c r="G42" s="110">
        <f>'07.12'!G42+COUNTIF(G$8:G$38,$C42)</f>
        <v>1</v>
      </c>
      <c r="H42" s="110">
        <f>'07.12'!H42+COUNTIF(H$8:H$38,$C42)</f>
        <v>1</v>
      </c>
    </row>
    <row r="43" spans="1:8" s="19" customFormat="1" ht="26.25" x14ac:dyDescent="0.4">
      <c r="A43" s="18"/>
      <c r="B43" s="155"/>
      <c r="C43" s="109" t="str">
        <f>'01.09'!C42</f>
        <v>*Пр. Элективные дисциплины по ФКиС: Фехтование*</v>
      </c>
      <c r="D43" s="111">
        <f>'07.12'!D43+COUNTIF(D$8:D$38,$C43)</f>
        <v>6</v>
      </c>
      <c r="E43" s="111">
        <f>'07.12'!E43+COUNTIF(E$8:E$38,$C43)</f>
        <v>6</v>
      </c>
      <c r="F43" s="111">
        <f>'07.12'!F43+COUNTIF(F$8:F$38,$C43)</f>
        <v>6</v>
      </c>
      <c r="G43" s="111">
        <f>'07.12'!G43+COUNTIF(G$8:G$38,$C43)</f>
        <v>6</v>
      </c>
      <c r="H43" s="111">
        <f>'07.12'!H43+COUNTIF(H$8:H$38,$C43)</f>
        <v>6</v>
      </c>
    </row>
    <row r="44" spans="1:8" s="19" customFormat="1" ht="26.25" x14ac:dyDescent="0.4">
      <c r="A44" s="18"/>
      <c r="B44" s="155"/>
      <c r="C44" s="109" t="str">
        <f>'01.09'!C43</f>
        <v>*Л. Педагогика физической культуры и спорта*</v>
      </c>
      <c r="D44" s="110">
        <f>'07.12'!D44+COUNTIF(D$8:D$38,$C44)</f>
        <v>5</v>
      </c>
      <c r="E44" s="110">
        <f>'07.12'!E44+COUNTIF(E$8:E$38,$C44)</f>
        <v>5</v>
      </c>
      <c r="F44" s="110">
        <f>'07.12'!F44+COUNTIF(F$8:F$38,$C44)</f>
        <v>5</v>
      </c>
      <c r="G44" s="110">
        <f>'07.12'!G44+COUNTIF(G$8:G$38,$C44)</f>
        <v>5</v>
      </c>
      <c r="H44" s="110">
        <f>'07.12'!H44+COUNTIF(H$8:H$38,$C44)</f>
        <v>5</v>
      </c>
    </row>
    <row r="45" spans="1:8" s="19" customFormat="1" ht="26.25" x14ac:dyDescent="0.4">
      <c r="A45" s="18"/>
      <c r="B45" s="155"/>
      <c r="C45" s="109" t="str">
        <f>'01.09'!C44</f>
        <v>*Пр. Педагогика физической культуры и спорта*</v>
      </c>
      <c r="D45" s="111">
        <f>'07.12'!D45+COUNTIF(D$8:D$38,$C45)</f>
        <v>6</v>
      </c>
      <c r="E45" s="111">
        <f>'07.12'!E45+COUNTIF(E$8:E$38,$C45)</f>
        <v>5</v>
      </c>
      <c r="F45" s="111">
        <f>'07.12'!F45+COUNTIF(F$8:F$38,$C45)</f>
        <v>5</v>
      </c>
      <c r="G45" s="111">
        <f>'07.12'!G45+COUNTIF(G$8:G$38,$C45)</f>
        <v>5</v>
      </c>
      <c r="H45" s="111">
        <f>'07.12'!H45+COUNTIF(H$8:H$38,$C45)</f>
        <v>4</v>
      </c>
    </row>
    <row r="46" spans="1:8" s="19" customFormat="1" ht="26.25" x14ac:dyDescent="0.4">
      <c r="A46" s="18"/>
      <c r="B46" s="155"/>
      <c r="C46" s="109" t="str">
        <f>'01.09'!C45</f>
        <v>*Л. Теория и методика*</v>
      </c>
      <c r="D46" s="110">
        <f>'07.12'!D46+COUNTIF(D$8:D$38,$C46)</f>
        <v>4</v>
      </c>
      <c r="E46" s="110">
        <f>'07.12'!E46+COUNTIF(E$8:E$38,$C46)</f>
        <v>4</v>
      </c>
      <c r="F46" s="110">
        <f>'07.12'!F46+COUNTIF(F$8:F$38,$C46)</f>
        <v>4</v>
      </c>
      <c r="G46" s="110">
        <f>'07.12'!G46+COUNTIF(G$8:G$38,$C46)</f>
        <v>4</v>
      </c>
      <c r="H46" s="110">
        <f>'07.12'!H46+COUNTIF(H$8:H$38,$C46)</f>
        <v>4</v>
      </c>
    </row>
    <row r="47" spans="1:8" s="19" customFormat="1" ht="26.25" x14ac:dyDescent="0.4">
      <c r="A47" s="18"/>
      <c r="B47" s="155"/>
      <c r="C47" s="109" t="str">
        <f>'01.09'!C46</f>
        <v>*Пр. Теория и методика*</v>
      </c>
      <c r="D47" s="111">
        <f>'07.12'!D47+COUNTIF(D$8:D$38,$C47)</f>
        <v>27</v>
      </c>
      <c r="E47" s="111">
        <f>'07.12'!E47+COUNTIF(E$8:E$38,$C47)</f>
        <v>27</v>
      </c>
      <c r="F47" s="111">
        <f>'07.12'!F47+COUNTIF(F$8:F$38,$C47)</f>
        <v>27</v>
      </c>
      <c r="G47" s="111">
        <f>'07.12'!G47+COUNTIF(G$8:G$38,$C47)</f>
        <v>27</v>
      </c>
      <c r="H47" s="111">
        <f>'07.12'!H47+COUNTIF(H$8:H$38,$C47)</f>
        <v>25</v>
      </c>
    </row>
    <row r="48" spans="1:8" s="19" customFormat="1" ht="26.25" x14ac:dyDescent="0.4">
      <c r="A48" s="18"/>
      <c r="B48" s="155"/>
      <c r="C48" s="109" t="str">
        <f>'01.09'!C47</f>
        <v>*Л.  Теория и методика физической культуры*</v>
      </c>
      <c r="D48" s="110">
        <f>'07.12'!D48+COUNTIF(D$8:D$38,$C48)</f>
        <v>10</v>
      </c>
      <c r="E48" s="110">
        <f>'07.12'!E48+COUNTIF(E$8:E$38,$C48)</f>
        <v>10</v>
      </c>
      <c r="F48" s="110">
        <f>'07.12'!F48+COUNTIF(F$8:F$38,$C48)</f>
        <v>10</v>
      </c>
      <c r="G48" s="110">
        <f>'07.12'!G48+COUNTIF(G$8:G$38,$C48)</f>
        <v>10</v>
      </c>
      <c r="H48" s="110">
        <f>'07.12'!H48+COUNTIF(H$8:H$38,$C48)</f>
        <v>10</v>
      </c>
    </row>
    <row r="49" spans="1:8" s="19" customFormat="1" ht="26.25" x14ac:dyDescent="0.4">
      <c r="A49" s="18"/>
      <c r="B49" s="155"/>
      <c r="C49" s="109" t="str">
        <f>'01.09'!C48</f>
        <v>*Пр.  Теория и методика физической культуры*</v>
      </c>
      <c r="D49" s="111">
        <f>'07.12'!D49+COUNTIF(D$8:D$38,$C49)</f>
        <v>6</v>
      </c>
      <c r="E49" s="111">
        <f>'07.12'!E49+COUNTIF(E$8:E$38,$C49)</f>
        <v>6</v>
      </c>
      <c r="F49" s="111">
        <f>'07.12'!F49+COUNTIF(F$8:F$38,$C49)</f>
        <v>6</v>
      </c>
      <c r="G49" s="111">
        <f>'07.12'!G49+COUNTIF(G$8:G$38,$C49)</f>
        <v>5</v>
      </c>
      <c r="H49" s="111">
        <f>'07.12'!H49+COUNTIF(H$8:H$38,$C49)</f>
        <v>5</v>
      </c>
    </row>
    <row r="50" spans="1:8" s="19" customFormat="1" ht="26.25" x14ac:dyDescent="0.4">
      <c r="A50" s="18"/>
      <c r="B50" s="155"/>
      <c r="C50" s="109" t="str">
        <f>'01.09'!C49</f>
        <v>*Л. Плавание*</v>
      </c>
      <c r="D50" s="110">
        <f>'07.12'!D50+COUNTIF(D$8:D$38,$C50)</f>
        <v>2</v>
      </c>
      <c r="E50" s="110">
        <f>'07.12'!E50+COUNTIF(E$8:E$38,$C50)</f>
        <v>2</v>
      </c>
      <c r="F50" s="110">
        <f>'07.12'!F50+COUNTIF(F$8:F$38,$C50)</f>
        <v>2</v>
      </c>
      <c r="G50" s="110">
        <f>'07.12'!G50+COUNTIF(G$8:G$38,$C50)</f>
        <v>2</v>
      </c>
      <c r="H50" s="110">
        <f>'07.12'!H50+COUNTIF(H$8:H$38,$C50)</f>
        <v>2</v>
      </c>
    </row>
    <row r="51" spans="1:8" s="19" customFormat="1" ht="26.25" x14ac:dyDescent="0.4">
      <c r="A51" s="18"/>
      <c r="B51" s="155"/>
      <c r="C51" s="109" t="str">
        <f>'01.09'!C50</f>
        <v>*Пр. Плавание*</v>
      </c>
      <c r="D51" s="111">
        <f>'07.12'!D51+COUNTIF(D$8:D$38,$C51)</f>
        <v>18</v>
      </c>
      <c r="E51" s="111">
        <f>'07.12'!E51+COUNTIF(E$8:E$38,$C51)</f>
        <v>18</v>
      </c>
      <c r="F51" s="111">
        <f>'07.12'!F51+COUNTIF(F$8:F$38,$C51)</f>
        <v>20</v>
      </c>
      <c r="G51" s="111">
        <f>'07.12'!G51+COUNTIF(G$8:G$38,$C51)</f>
        <v>20</v>
      </c>
      <c r="H51" s="111">
        <f>'07.12'!H51+COUNTIF(H$8:H$38,$C51)</f>
        <v>20</v>
      </c>
    </row>
    <row r="52" spans="1:8" s="19" customFormat="1" ht="26.25" x14ac:dyDescent="0.4">
      <c r="A52" s="18"/>
      <c r="B52" s="155"/>
      <c r="C52" s="109" t="str">
        <f>'01.09'!C51</f>
        <v>*Л. Подвижные игры в спорте и образовании*</v>
      </c>
      <c r="D52" s="110">
        <f>'07.12'!D52+COUNTIF(D$8:D$38,$C52)</f>
        <v>1</v>
      </c>
      <c r="E52" s="110">
        <f>'07.12'!E52+COUNTIF(E$8:E$38,$C52)</f>
        <v>1</v>
      </c>
      <c r="F52" s="110">
        <f>'07.12'!F52+COUNTIF(F$8:F$38,$C52)</f>
        <v>1</v>
      </c>
      <c r="G52" s="110">
        <f>'07.12'!G52+COUNTIF(G$8:G$38,$C52)</f>
        <v>1</v>
      </c>
      <c r="H52" s="110">
        <f>'07.12'!H52+COUNTIF(H$8:H$38,$C52)</f>
        <v>1</v>
      </c>
    </row>
    <row r="53" spans="1:8" s="19" customFormat="1" ht="26.25" x14ac:dyDescent="0.4">
      <c r="A53" s="18"/>
      <c r="B53" s="155"/>
      <c r="C53" s="109" t="str">
        <f>'01.09'!C52</f>
        <v>*Пр. Подвижные игры в спорте и образовании*</v>
      </c>
      <c r="D53" s="111">
        <f>'07.12'!D53+COUNTIF(D$8:D$38,$C53)</f>
        <v>10</v>
      </c>
      <c r="E53" s="111">
        <f>'07.12'!E53+COUNTIF(E$8:E$38,$C53)</f>
        <v>10</v>
      </c>
      <c r="F53" s="111">
        <f>'07.12'!F53+COUNTIF(F$8:F$38,$C53)</f>
        <v>9</v>
      </c>
      <c r="G53" s="111">
        <f>'07.12'!G53+COUNTIF(G$8:G$38,$C53)</f>
        <v>10</v>
      </c>
      <c r="H53" s="111">
        <f>'07.12'!H53+COUNTIF(H$8:H$38,$C53)</f>
        <v>10</v>
      </c>
    </row>
    <row r="54" spans="1:8" s="19" customFormat="1" ht="26.25" x14ac:dyDescent="0.4">
      <c r="A54" s="18"/>
      <c r="B54" s="155"/>
      <c r="C54" s="109" t="str">
        <f>'01.09'!C53</f>
        <v>*Л. Самооборона (самбо)*</v>
      </c>
      <c r="D54" s="110">
        <f>'07.12'!D54+COUNTIF(D$8:D$38,$C54)</f>
        <v>1</v>
      </c>
      <c r="E54" s="110">
        <f>'07.12'!E54+COUNTIF(E$8:E$38,$C54)</f>
        <v>1</v>
      </c>
      <c r="F54" s="110">
        <f>'07.12'!F54+COUNTIF(F$8:F$38,$C54)</f>
        <v>1</v>
      </c>
      <c r="G54" s="110">
        <f>'07.12'!G54+COUNTIF(G$8:G$38,$C54)</f>
        <v>1</v>
      </c>
      <c r="H54" s="110">
        <f>'07.12'!H54+COUNTIF(H$8:H$38,$C54)</f>
        <v>1</v>
      </c>
    </row>
    <row r="55" spans="1:8" s="19" customFormat="1" ht="26.25" x14ac:dyDescent="0.4">
      <c r="A55" s="18"/>
      <c r="B55" s="155"/>
      <c r="C55" s="109" t="str">
        <f>'01.09'!C54</f>
        <v>*Пр. Самооборона (самбо)*</v>
      </c>
      <c r="D55" s="111">
        <f>'07.12'!D55+COUNTIF(D$8:D$38,$C55)</f>
        <v>10</v>
      </c>
      <c r="E55" s="111">
        <f>'07.12'!E55+COUNTIF(E$8:E$38,$C55)</f>
        <v>10</v>
      </c>
      <c r="F55" s="111">
        <f>'07.12'!F55+COUNTIF(F$8:F$38,$C55)</f>
        <v>9</v>
      </c>
      <c r="G55" s="111">
        <f>'07.12'!G55+COUNTIF(G$8:G$38,$C55)</f>
        <v>10</v>
      </c>
      <c r="H55" s="111">
        <f>'07.12'!H55+COUNTIF(H$8:H$38,$C55)</f>
        <v>10</v>
      </c>
    </row>
    <row r="56" spans="1:8" s="19" customFormat="1" ht="26.25" x14ac:dyDescent="0.4">
      <c r="A56" s="18"/>
      <c r="B56" s="155"/>
      <c r="C56" s="109" t="str">
        <f>'01.09'!C55</f>
        <v>*Л. Методика реализации программ*</v>
      </c>
      <c r="D56" s="110">
        <f>'07.12'!D56+COUNTIF(D$8:D$38,$C56)</f>
        <v>3</v>
      </c>
      <c r="E56" s="110">
        <f>'07.12'!E56+COUNTIF(E$8:E$38,$C56)</f>
        <v>3</v>
      </c>
      <c r="F56" s="110">
        <f>'07.12'!F56+COUNTIF(F$8:F$38,$C56)</f>
        <v>3</v>
      </c>
      <c r="G56" s="110">
        <f>'07.12'!G56+COUNTIF(G$8:G$38,$C56)</f>
        <v>3</v>
      </c>
      <c r="H56" s="110">
        <f>'07.12'!H56+COUNTIF(H$8:H$38,$C56)</f>
        <v>3</v>
      </c>
    </row>
    <row r="57" spans="1:8" s="19" customFormat="1" ht="26.25" x14ac:dyDescent="0.4">
      <c r="A57" s="18"/>
      <c r="B57" s="155"/>
      <c r="C57" s="109" t="str">
        <f>'01.09'!C56</f>
        <v>*Пр. Методика реализации программ*</v>
      </c>
      <c r="D57" s="111">
        <f>'07.12'!D57+COUNTIF(D$8:D$38,$C57)</f>
        <v>6</v>
      </c>
      <c r="E57" s="111">
        <f>'07.12'!E57+COUNTIF(E$8:E$38,$C57)</f>
        <v>6</v>
      </c>
      <c r="F57" s="111">
        <f>'07.12'!F57+COUNTIF(F$8:F$38,$C57)</f>
        <v>6</v>
      </c>
      <c r="G57" s="111">
        <f>'07.12'!G57+COUNTIF(G$8:G$38,$C57)</f>
        <v>6</v>
      </c>
      <c r="H57" s="111">
        <f>'07.12'!H57+COUNTIF(H$8:H$38,$C57)</f>
        <v>6</v>
      </c>
    </row>
    <row r="58" spans="1:8" s="19" customFormat="1" ht="26.25" x14ac:dyDescent="0.4">
      <c r="A58" s="18"/>
      <c r="B58" s="155"/>
      <c r="C58" s="109" t="str">
        <f>'01.09'!C57</f>
        <v>*Л. Методика преподавания*</v>
      </c>
      <c r="D58" s="110">
        <f>'07.12'!D58+COUNTIF(D$8:D$38,$C58)</f>
        <v>3</v>
      </c>
      <c r="E58" s="110">
        <f>'07.12'!E58+COUNTIF(E$8:E$38,$C58)</f>
        <v>3</v>
      </c>
      <c r="F58" s="110">
        <f>'07.12'!F58+COUNTIF(F$8:F$38,$C58)</f>
        <v>3</v>
      </c>
      <c r="G58" s="110">
        <f>'07.12'!G58+COUNTIF(G$8:G$38,$C58)</f>
        <v>3</v>
      </c>
      <c r="H58" s="110">
        <f>'07.12'!H58+COUNTIF(H$8:H$38,$C58)</f>
        <v>3</v>
      </c>
    </row>
    <row r="59" spans="1:8" s="19" customFormat="1" ht="26.25" x14ac:dyDescent="0.4">
      <c r="A59" s="18"/>
      <c r="B59" s="18"/>
      <c r="C59" s="109" t="str">
        <f>'01.09'!C58</f>
        <v>*Пр. Методика преподавания*</v>
      </c>
      <c r="D59" s="111">
        <f>'07.12'!D59+COUNTIF(D$8:D$38,$C59)</f>
        <v>6</v>
      </c>
      <c r="E59" s="111">
        <f>'07.12'!E59+COUNTIF(E$8:E$38,$C59)</f>
        <v>6</v>
      </c>
      <c r="F59" s="111">
        <f>'07.12'!F59+COUNTIF(F$8:F$38,$C59)</f>
        <v>6</v>
      </c>
      <c r="G59" s="111">
        <f>'07.12'!G59+COUNTIF(G$8:G$38,$C59)</f>
        <v>6</v>
      </c>
      <c r="H59" s="111">
        <f>'07.12'!H59+COUNTIF(H$8:H$38,$C59)</f>
        <v>6</v>
      </c>
    </row>
    <row r="60" spans="1:8" s="19" customFormat="1" ht="26.25" x14ac:dyDescent="0.4">
      <c r="A60" s="18"/>
      <c r="B60" s="18"/>
      <c r="C60" s="109">
        <f>'01.09'!C59</f>
        <v>0</v>
      </c>
      <c r="D60" s="110">
        <f>'07.12'!D60+COUNTIF(D$8:D$38,$C60)</f>
        <v>0</v>
      </c>
      <c r="E60" s="110">
        <f>'07.12'!E60+COUNTIF(E$8:E$38,$C60)</f>
        <v>0</v>
      </c>
      <c r="F60" s="110">
        <f>'07.12'!F60+COUNTIF(F$8:F$38,$C60)</f>
        <v>0</v>
      </c>
      <c r="G60" s="110">
        <f>'07.12'!G60+COUNTIF(G$8:G$38,$C60)</f>
        <v>0</v>
      </c>
      <c r="H60" s="110">
        <f>'07.12'!H60+COUNTIF(H$8:H$38,$C60)</f>
        <v>0</v>
      </c>
    </row>
    <row r="61" spans="1:8" s="19" customFormat="1" ht="26.25" x14ac:dyDescent="0.4">
      <c r="A61" s="18"/>
      <c r="B61" s="18"/>
      <c r="C61" s="109">
        <f>'01.09'!C60</f>
        <v>0</v>
      </c>
      <c r="D61" s="110">
        <f>'07.12'!D61+COUNTIF(D$8:D$38,$C61)</f>
        <v>0</v>
      </c>
      <c r="E61" s="110">
        <f>'07.12'!E61+COUNTIF(E$8:E$38,$C61)</f>
        <v>0</v>
      </c>
      <c r="F61" s="110">
        <f>'07.12'!F61+COUNTIF(F$8:F$38,$C61)</f>
        <v>0</v>
      </c>
      <c r="G61" s="110">
        <f>'07.12'!G61+COUNTIF(G$8:G$38,$C61)</f>
        <v>0</v>
      </c>
      <c r="H61" s="110">
        <f>'07.12'!H61+COUNTIF(H$8:H$38,$C61)</f>
        <v>0</v>
      </c>
    </row>
    <row r="62" spans="1:8" ht="26.25" x14ac:dyDescent="0.4">
      <c r="A62" s="2"/>
      <c r="B62" s="2"/>
      <c r="C62" s="109">
        <f>'01.09'!C61</f>
        <v>0</v>
      </c>
      <c r="D62" s="111">
        <f>'07.12'!D62+COUNTIF(D$8:D$38,$C62)</f>
        <v>0</v>
      </c>
      <c r="E62" s="111">
        <f>'07.12'!E62+COUNTIF(E$8:E$38,$C62)</f>
        <v>0</v>
      </c>
      <c r="F62" s="111">
        <f>'07.12'!F62+COUNTIF(F$8:F$38,$C62)</f>
        <v>0</v>
      </c>
      <c r="G62" s="111">
        <f>'07.12'!G62+COUNTIF(G$8:G$38,$C62)</f>
        <v>0</v>
      </c>
      <c r="H62" s="111">
        <f>'07.12'!H62+COUNTIF(H$8:H$38,$C62)</f>
        <v>0</v>
      </c>
    </row>
    <row r="63" spans="1:8" ht="26.25" x14ac:dyDescent="0.4">
      <c r="A63" s="2"/>
      <c r="B63" s="2"/>
      <c r="C63" s="109">
        <f>'01.09'!C62</f>
        <v>0</v>
      </c>
      <c r="D63" s="110">
        <f>'07.12'!D63+COUNTIF(D$8:D$38,$C63)</f>
        <v>0</v>
      </c>
      <c r="E63" s="110">
        <f>'07.12'!E63+COUNTIF(E$8:E$38,$C63)</f>
        <v>0</v>
      </c>
      <c r="F63" s="110">
        <f>'07.12'!F63+COUNTIF(F$8:F$38,$C63)</f>
        <v>0</v>
      </c>
      <c r="G63" s="110">
        <f>'07.12'!G63+COUNTIF(G$8:G$38,$C63)</f>
        <v>0</v>
      </c>
      <c r="H63" s="110">
        <f>'07.12'!H63+COUNTIF(H$8:H$38,$C63)</f>
        <v>0</v>
      </c>
    </row>
    <row r="64" spans="1:8" ht="26.25" x14ac:dyDescent="0.4">
      <c r="A64" s="2"/>
      <c r="B64" s="2"/>
      <c r="C64" s="109">
        <f>'01.09'!C63</f>
        <v>0</v>
      </c>
      <c r="D64" s="110">
        <f>'07.12'!D64+COUNTIF(D$8:D$38,$C64)</f>
        <v>0</v>
      </c>
      <c r="E64" s="110">
        <f>'07.12'!E64+COUNTIF(E$8:E$38,$C64)</f>
        <v>0</v>
      </c>
      <c r="F64" s="110">
        <f>'07.12'!F64+COUNTIF(F$8:F$38,$C64)</f>
        <v>0</v>
      </c>
      <c r="G64" s="110">
        <f>'07.12'!G64+COUNTIF(G$8:G$38,$C64)</f>
        <v>0</v>
      </c>
      <c r="H64" s="110">
        <f>'07.12'!H64+COUNTIF(H$8:H$38,$C64)</f>
        <v>0</v>
      </c>
    </row>
    <row r="65" spans="1:8" ht="26.25" x14ac:dyDescent="0.4">
      <c r="A65" s="2"/>
      <c r="B65" s="2"/>
      <c r="C65" s="109">
        <f>'01.09'!C64</f>
        <v>0</v>
      </c>
      <c r="D65" s="111">
        <f>'07.12'!D65+COUNTIF(D$8:D$38,$C65)</f>
        <v>0</v>
      </c>
      <c r="E65" s="111">
        <f>'07.12'!E65+COUNTIF(E$8:E$38,$C65)</f>
        <v>0</v>
      </c>
      <c r="F65" s="111">
        <f>'07.12'!F65+COUNTIF(F$8:F$38,$C65)</f>
        <v>0</v>
      </c>
      <c r="G65" s="111">
        <f>'07.12'!G65+COUNTIF(G$8:G$38,$C65)</f>
        <v>0</v>
      </c>
      <c r="H65" s="111">
        <f>'07.12'!H65+COUNTIF(H$8:H$38,$C65)</f>
        <v>0</v>
      </c>
    </row>
    <row r="66" spans="1:8" ht="26.25" x14ac:dyDescent="0.4">
      <c r="A66" s="2"/>
      <c r="B66" s="2"/>
      <c r="C66" s="109">
        <f>'01.09'!C65</f>
        <v>0</v>
      </c>
      <c r="D66" s="110">
        <f>'07.12'!D66+COUNTIF(D$8:D$38,$C66)</f>
        <v>0</v>
      </c>
      <c r="E66" s="110">
        <f>'07.12'!E66+COUNTIF(E$8:E$38,$C66)</f>
        <v>0</v>
      </c>
      <c r="F66" s="110">
        <f>'07.12'!F66+COUNTIF(F$8:F$38,$C66)</f>
        <v>0</v>
      </c>
      <c r="G66" s="110">
        <f>'07.12'!G66+COUNTIF(G$8:G$38,$C66)</f>
        <v>0</v>
      </c>
      <c r="H66" s="110">
        <f>'07.12'!H66+COUNTIF(H$8:H$38,$C66)</f>
        <v>0</v>
      </c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B1:H1"/>
    <mergeCell ref="B2:H2"/>
    <mergeCell ref="B3:H3"/>
    <mergeCell ref="B4:H4"/>
    <mergeCell ref="A5:H5"/>
    <mergeCell ref="A34:A38"/>
    <mergeCell ref="B34:B38"/>
    <mergeCell ref="A29:A33"/>
    <mergeCell ref="B29:B33"/>
    <mergeCell ref="C6:C7"/>
    <mergeCell ref="B8:B12"/>
    <mergeCell ref="B13:B18"/>
    <mergeCell ref="A13:A18"/>
    <mergeCell ref="A24:A28"/>
    <mergeCell ref="B19:B23"/>
    <mergeCell ref="B24:B28"/>
    <mergeCell ref="A19:A23"/>
    <mergeCell ref="A8:A12"/>
    <mergeCell ref="A6:A7"/>
    <mergeCell ref="B6:B7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J72"/>
  <sheetViews>
    <sheetView view="pageBreakPreview" topLeftCell="A31" zoomScale="40" zoomScaleNormal="40" zoomScaleSheetLayoutView="40" zoomScalePageLayoutView="40" workbookViewId="0">
      <selection activeCell="D36" sqref="D36"/>
    </sheetView>
  </sheetViews>
  <sheetFormatPr defaultRowHeight="15" x14ac:dyDescent="0.25"/>
  <cols>
    <col min="1" max="1" width="4.42578125" customWidth="1"/>
    <col min="2" max="2" width="7" customWidth="1"/>
    <col min="3" max="3" width="25.5703125" customWidth="1"/>
    <col min="4" max="8" width="63.28515625" customWidth="1"/>
  </cols>
  <sheetData>
    <row r="1" spans="1:8" ht="30" x14ac:dyDescent="0.3">
      <c r="A1" s="178"/>
      <c r="B1" s="760" t="s">
        <v>140</v>
      </c>
      <c r="C1" s="760"/>
      <c r="D1" s="760"/>
      <c r="E1" s="760"/>
      <c r="F1" s="760"/>
      <c r="G1" s="760"/>
      <c r="H1" s="760"/>
    </row>
    <row r="2" spans="1:8" ht="30" x14ac:dyDescent="0.3">
      <c r="A2" s="179"/>
      <c r="B2" s="760" t="s">
        <v>87</v>
      </c>
      <c r="C2" s="760"/>
      <c r="D2" s="760"/>
      <c r="E2" s="760"/>
      <c r="F2" s="760"/>
      <c r="G2" s="760"/>
      <c r="H2" s="760"/>
    </row>
    <row r="3" spans="1:8" ht="40.5" customHeight="1" x14ac:dyDescent="0.25">
      <c r="A3" s="229"/>
      <c r="B3" s="787" t="s">
        <v>81</v>
      </c>
      <c r="C3" s="787"/>
      <c r="D3" s="787"/>
      <c r="E3" s="787"/>
      <c r="F3" s="787"/>
      <c r="G3" s="787"/>
      <c r="H3" s="787"/>
    </row>
    <row r="4" spans="1:8" ht="30" x14ac:dyDescent="0.25">
      <c r="A4" s="180"/>
      <c r="B4" s="760" t="s">
        <v>142</v>
      </c>
      <c r="C4" s="760"/>
      <c r="D4" s="760"/>
      <c r="E4" s="760"/>
      <c r="F4" s="760"/>
      <c r="G4" s="760"/>
      <c r="H4" s="760"/>
    </row>
    <row r="5" spans="1:8" ht="30.75" thickBot="1" x14ac:dyDescent="0.3">
      <c r="A5" s="682" t="s">
        <v>112</v>
      </c>
      <c r="B5" s="682"/>
      <c r="C5" s="682"/>
      <c r="D5" s="682"/>
      <c r="E5" s="682"/>
      <c r="F5" s="682"/>
      <c r="G5" s="682"/>
      <c r="H5" s="682"/>
    </row>
    <row r="6" spans="1:8" ht="32.25" customHeight="1" thickBot="1" x14ac:dyDescent="0.3">
      <c r="A6" s="762" t="s">
        <v>54</v>
      </c>
      <c r="B6" s="762" t="s">
        <v>14</v>
      </c>
      <c r="C6" s="764" t="s">
        <v>55</v>
      </c>
      <c r="D6" s="241" t="s">
        <v>5</v>
      </c>
      <c r="E6" s="242" t="s">
        <v>6</v>
      </c>
      <c r="F6" s="242" t="s">
        <v>7</v>
      </c>
      <c r="G6" s="242" t="s">
        <v>8</v>
      </c>
      <c r="H6" s="243" t="s">
        <v>9</v>
      </c>
    </row>
    <row r="7" spans="1:8" ht="107.25" customHeight="1" thickBot="1" x14ac:dyDescent="0.3">
      <c r="A7" s="763"/>
      <c r="B7" s="763"/>
      <c r="C7" s="765"/>
      <c r="D7" s="300" t="s">
        <v>106</v>
      </c>
      <c r="E7" s="370" t="s">
        <v>136</v>
      </c>
      <c r="F7" s="370" t="s">
        <v>107</v>
      </c>
      <c r="G7" s="370" t="s">
        <v>90</v>
      </c>
      <c r="H7" s="449" t="s">
        <v>78</v>
      </c>
    </row>
    <row r="8" spans="1:8" ht="87" customHeight="1" x14ac:dyDescent="0.25">
      <c r="A8" s="822" t="s">
        <v>0</v>
      </c>
      <c r="B8" s="747">
        <v>46377</v>
      </c>
      <c r="C8" s="480" t="s">
        <v>10</v>
      </c>
      <c r="D8" s="316"/>
      <c r="E8" s="299"/>
      <c r="F8" s="299"/>
      <c r="G8" s="551"/>
      <c r="H8" s="362"/>
    </row>
    <row r="9" spans="1:8" ht="87" customHeight="1" x14ac:dyDescent="0.25">
      <c r="A9" s="825"/>
      <c r="B9" s="746"/>
      <c r="C9" s="490" t="s">
        <v>11</v>
      </c>
      <c r="D9" s="281"/>
      <c r="E9" s="279"/>
      <c r="F9" s="383"/>
      <c r="G9" s="383"/>
      <c r="H9" s="414"/>
    </row>
    <row r="10" spans="1:8" ht="87" customHeight="1" x14ac:dyDescent="0.25">
      <c r="A10" s="825"/>
      <c r="B10" s="746"/>
      <c r="C10" s="490" t="s">
        <v>12</v>
      </c>
      <c r="D10" s="601"/>
      <c r="E10" s="383"/>
      <c r="F10" s="383"/>
      <c r="G10" s="460"/>
      <c r="H10" s="510"/>
    </row>
    <row r="11" spans="1:8" ht="87" customHeight="1" x14ac:dyDescent="0.25">
      <c r="A11" s="825"/>
      <c r="B11" s="746"/>
      <c r="C11" s="490" t="s">
        <v>13</v>
      </c>
      <c r="D11" s="418"/>
      <c r="E11" s="383"/>
      <c r="F11" s="383"/>
      <c r="G11" s="460"/>
      <c r="H11" s="284"/>
    </row>
    <row r="12" spans="1:8" ht="87" customHeight="1" thickBot="1" x14ac:dyDescent="0.3">
      <c r="A12" s="825"/>
      <c r="B12" s="746"/>
      <c r="C12" s="481" t="s">
        <v>15</v>
      </c>
      <c r="D12" s="595"/>
      <c r="E12" s="330"/>
      <c r="F12" s="330"/>
      <c r="G12" s="330"/>
      <c r="H12" s="350"/>
    </row>
    <row r="13" spans="1:8" s="91" customFormat="1" ht="87" customHeight="1" x14ac:dyDescent="0.25">
      <c r="A13" s="822" t="s">
        <v>1</v>
      </c>
      <c r="B13" s="748">
        <f>B8+1</f>
        <v>46378</v>
      </c>
      <c r="C13" s="504" t="s">
        <v>10</v>
      </c>
      <c r="D13" s="517"/>
      <c r="E13" s="591"/>
      <c r="F13" s="591"/>
      <c r="G13" s="466"/>
      <c r="H13" s="467"/>
    </row>
    <row r="14" spans="1:8" s="91" customFormat="1" ht="87" customHeight="1" x14ac:dyDescent="0.25">
      <c r="A14" s="825"/>
      <c r="B14" s="746"/>
      <c r="C14" s="505" t="s">
        <v>11</v>
      </c>
      <c r="D14" s="418"/>
      <c r="E14" s="383"/>
      <c r="F14" s="383"/>
      <c r="G14" s="279"/>
      <c r="H14" s="280"/>
    </row>
    <row r="15" spans="1:8" s="91" customFormat="1" ht="87" customHeight="1" x14ac:dyDescent="0.25">
      <c r="A15" s="825"/>
      <c r="B15" s="746"/>
      <c r="C15" s="505" t="s">
        <v>12</v>
      </c>
      <c r="D15" s="418"/>
      <c r="E15" s="279"/>
      <c r="F15" s="279"/>
      <c r="G15" s="279"/>
      <c r="H15" s="510"/>
    </row>
    <row r="16" spans="1:8" s="91" customFormat="1" ht="87" customHeight="1" x14ac:dyDescent="0.25">
      <c r="A16" s="825"/>
      <c r="B16" s="746"/>
      <c r="C16" s="505" t="s">
        <v>13</v>
      </c>
      <c r="D16" s="418"/>
      <c r="E16" s="279"/>
      <c r="F16" s="279"/>
      <c r="G16" s="279"/>
      <c r="H16" s="510"/>
    </row>
    <row r="17" spans="1:10" s="91" customFormat="1" ht="87" customHeight="1" x14ac:dyDescent="0.25">
      <c r="A17" s="825"/>
      <c r="B17" s="746"/>
      <c r="C17" s="488" t="s">
        <v>15</v>
      </c>
      <c r="D17" s="542"/>
      <c r="E17" s="541"/>
      <c r="F17" s="540"/>
      <c r="G17" s="540"/>
      <c r="H17" s="194"/>
    </row>
    <row r="18" spans="1:10" s="91" customFormat="1" ht="87" customHeight="1" thickBot="1" x14ac:dyDescent="0.3">
      <c r="A18" s="825"/>
      <c r="B18" s="828"/>
      <c r="C18" s="506" t="s">
        <v>60</v>
      </c>
      <c r="D18" s="582"/>
      <c r="E18" s="430"/>
      <c r="F18" s="583"/>
      <c r="G18" s="583"/>
      <c r="H18" s="584"/>
    </row>
    <row r="19" spans="1:10" s="91" customFormat="1" ht="87" customHeight="1" x14ac:dyDescent="0.25">
      <c r="A19" s="822" t="s">
        <v>2</v>
      </c>
      <c r="B19" s="827">
        <f>B13+1</f>
        <v>46379</v>
      </c>
      <c r="C19" s="483" t="s">
        <v>10</v>
      </c>
      <c r="D19" s="539"/>
      <c r="E19" s="466"/>
      <c r="F19" s="466"/>
      <c r="G19" s="466"/>
      <c r="H19" s="467"/>
    </row>
    <row r="20" spans="1:10" s="91" customFormat="1" ht="87" customHeight="1" x14ac:dyDescent="0.25">
      <c r="A20" s="825"/>
      <c r="B20" s="746"/>
      <c r="C20" s="484" t="s">
        <v>11</v>
      </c>
      <c r="D20" s="278"/>
      <c r="E20" s="279"/>
      <c r="F20" s="279"/>
      <c r="G20" s="279"/>
      <c r="H20" s="280"/>
    </row>
    <row r="21" spans="1:10" s="91" customFormat="1" ht="87" customHeight="1" x14ac:dyDescent="0.25">
      <c r="A21" s="825"/>
      <c r="B21" s="746"/>
      <c r="C21" s="484" t="s">
        <v>12</v>
      </c>
      <c r="D21" s="418"/>
      <c r="E21" s="410"/>
      <c r="F21" s="279"/>
      <c r="G21" s="279"/>
      <c r="H21" s="510"/>
      <c r="J21" s="92"/>
    </row>
    <row r="22" spans="1:10" s="91" customFormat="1" ht="87" customHeight="1" x14ac:dyDescent="0.25">
      <c r="A22" s="825"/>
      <c r="B22" s="746"/>
      <c r="C22" s="484" t="s">
        <v>13</v>
      </c>
      <c r="D22" s="418"/>
      <c r="E22" s="383"/>
      <c r="F22" s="279"/>
      <c r="G22" s="279"/>
      <c r="H22" s="510"/>
    </row>
    <row r="23" spans="1:10" s="91" customFormat="1" ht="87" customHeight="1" thickBot="1" x14ac:dyDescent="0.3">
      <c r="A23" s="826"/>
      <c r="B23" s="755"/>
      <c r="C23" s="485" t="s">
        <v>15</v>
      </c>
      <c r="D23" s="217"/>
      <c r="E23" s="457"/>
      <c r="F23" s="218"/>
      <c r="G23" s="218"/>
      <c r="H23" s="219"/>
    </row>
    <row r="24" spans="1:10" s="91" customFormat="1" ht="87" customHeight="1" x14ac:dyDescent="0.25">
      <c r="A24" s="822" t="s">
        <v>3</v>
      </c>
      <c r="B24" s="827">
        <f>B19+1</f>
        <v>46380</v>
      </c>
      <c r="C24" s="504" t="s">
        <v>10</v>
      </c>
      <c r="D24" s="302"/>
      <c r="E24" s="303"/>
      <c r="F24" s="303"/>
      <c r="G24" s="303"/>
      <c r="H24" s="321"/>
    </row>
    <row r="25" spans="1:10" s="91" customFormat="1" ht="87" customHeight="1" x14ac:dyDescent="0.25">
      <c r="A25" s="823"/>
      <c r="B25" s="746"/>
      <c r="C25" s="505" t="s">
        <v>11</v>
      </c>
      <c r="D25" s="281"/>
      <c r="E25" s="248"/>
      <c r="F25" s="319"/>
      <c r="G25" s="248"/>
      <c r="H25" s="282"/>
    </row>
    <row r="26" spans="1:10" s="91" customFormat="1" ht="87" customHeight="1" x14ac:dyDescent="0.25">
      <c r="A26" s="823"/>
      <c r="B26" s="746"/>
      <c r="C26" s="505" t="s">
        <v>12</v>
      </c>
      <c r="D26" s="418"/>
      <c r="E26" s="383"/>
      <c r="F26" s="442"/>
      <c r="G26" s="410"/>
      <c r="H26" s="473"/>
    </row>
    <row r="27" spans="1:10" s="91" customFormat="1" ht="87" customHeight="1" x14ac:dyDescent="0.25">
      <c r="A27" s="823"/>
      <c r="B27" s="746"/>
      <c r="C27" s="505" t="s">
        <v>13</v>
      </c>
      <c r="D27" s="517"/>
      <c r="E27" s="383"/>
      <c r="F27" s="383"/>
      <c r="G27" s="410"/>
      <c r="H27" s="473"/>
    </row>
    <row r="28" spans="1:10" s="91" customFormat="1" ht="87" customHeight="1" thickBot="1" x14ac:dyDescent="0.3">
      <c r="A28" s="824"/>
      <c r="B28" s="755"/>
      <c r="C28" s="506" t="s">
        <v>15</v>
      </c>
      <c r="D28" s="566"/>
      <c r="E28" s="567"/>
      <c r="F28" s="546"/>
      <c r="G28" s="546"/>
      <c r="H28" s="568"/>
    </row>
    <row r="29" spans="1:10" s="91" customFormat="1" ht="87" customHeight="1" x14ac:dyDescent="0.25">
      <c r="A29" s="825" t="s">
        <v>4</v>
      </c>
      <c r="B29" s="747">
        <f>B24+1</f>
        <v>46381</v>
      </c>
      <c r="C29" s="483" t="s">
        <v>10</v>
      </c>
      <c r="D29" s="293"/>
      <c r="E29" s="299"/>
      <c r="F29" s="294"/>
      <c r="G29" s="361"/>
      <c r="H29" s="295"/>
    </row>
    <row r="30" spans="1:10" s="91" customFormat="1" ht="87" customHeight="1" x14ac:dyDescent="0.25">
      <c r="A30" s="825"/>
      <c r="B30" s="746"/>
      <c r="C30" s="484" t="s">
        <v>11</v>
      </c>
      <c r="D30" s="317"/>
      <c r="E30" s="319"/>
      <c r="F30" s="247"/>
      <c r="G30" s="460"/>
      <c r="H30" s="284"/>
    </row>
    <row r="31" spans="1:10" s="91" customFormat="1" ht="87" customHeight="1" x14ac:dyDescent="0.25">
      <c r="A31" s="825"/>
      <c r="B31" s="746"/>
      <c r="C31" s="484" t="s">
        <v>12</v>
      </c>
      <c r="D31" s="281"/>
      <c r="E31" s="248"/>
      <c r="F31" s="248"/>
      <c r="G31" s="319"/>
      <c r="H31" s="318"/>
    </row>
    <row r="32" spans="1:10" s="91" customFormat="1" ht="87" customHeight="1" x14ac:dyDescent="0.25">
      <c r="A32" s="825"/>
      <c r="B32" s="746"/>
      <c r="C32" s="484" t="s">
        <v>13</v>
      </c>
      <c r="D32" s="281"/>
      <c r="E32" s="248"/>
      <c r="F32" s="248"/>
      <c r="G32" s="279"/>
      <c r="H32" s="282"/>
    </row>
    <row r="33" spans="1:8" s="91" customFormat="1" ht="87" customHeight="1" thickBot="1" x14ac:dyDescent="0.3">
      <c r="A33" s="826"/>
      <c r="B33" s="746"/>
      <c r="C33" s="485" t="s">
        <v>15</v>
      </c>
      <c r="D33" s="285"/>
      <c r="E33" s="286"/>
      <c r="F33" s="286"/>
      <c r="G33" s="286"/>
      <c r="H33" s="287"/>
    </row>
    <row r="34" spans="1:8" s="91" customFormat="1" ht="69.75" customHeight="1" x14ac:dyDescent="0.25">
      <c r="A34" s="746" t="s">
        <v>47</v>
      </c>
      <c r="B34" s="748">
        <f>B29+1</f>
        <v>46382</v>
      </c>
      <c r="C34" s="507" t="s">
        <v>10</v>
      </c>
      <c r="D34" s="570"/>
      <c r="E34" s="571"/>
      <c r="F34" s="571"/>
      <c r="G34" s="571"/>
      <c r="H34" s="572"/>
    </row>
    <row r="35" spans="1:8" s="91" customFormat="1" ht="69.75" customHeight="1" x14ac:dyDescent="0.25">
      <c r="A35" s="746"/>
      <c r="B35" s="746"/>
      <c r="C35" s="508" t="s">
        <v>11</v>
      </c>
      <c r="D35" s="343"/>
      <c r="E35" s="342"/>
      <c r="F35" s="342"/>
      <c r="G35" s="342"/>
      <c r="H35" s="344"/>
    </row>
    <row r="36" spans="1:8" s="91" customFormat="1" ht="69.75" customHeight="1" x14ac:dyDescent="0.25">
      <c r="A36" s="746"/>
      <c r="B36" s="746"/>
      <c r="C36" s="508" t="s">
        <v>12</v>
      </c>
      <c r="D36" s="343"/>
      <c r="E36" s="342"/>
      <c r="F36" s="342"/>
      <c r="G36" s="342"/>
      <c r="H36" s="345"/>
    </row>
    <row r="37" spans="1:8" s="91" customFormat="1" ht="69.75" customHeight="1" x14ac:dyDescent="0.25">
      <c r="A37" s="746"/>
      <c r="B37" s="746"/>
      <c r="C37" s="508" t="s">
        <v>13</v>
      </c>
      <c r="D37" s="343"/>
      <c r="E37" s="342"/>
      <c r="F37" s="342"/>
      <c r="G37" s="342"/>
      <c r="H37" s="344"/>
    </row>
    <row r="38" spans="1:8" s="91" customFormat="1" ht="69.75" customHeight="1" thickBot="1" x14ac:dyDescent="0.3">
      <c r="A38" s="755"/>
      <c r="B38" s="755"/>
      <c r="C38" s="509" t="s">
        <v>15</v>
      </c>
      <c r="D38" s="346"/>
      <c r="E38" s="347"/>
      <c r="F38" s="347"/>
      <c r="G38" s="347"/>
      <c r="H38" s="348"/>
    </row>
    <row r="39" spans="1:8" ht="36" customHeight="1" x14ac:dyDescent="0.25">
      <c r="A39" s="17"/>
      <c r="B39" s="17"/>
      <c r="C39" s="17"/>
      <c r="D39" s="181" t="s">
        <v>82</v>
      </c>
      <c r="E39" s="17"/>
      <c r="F39" s="17"/>
      <c r="G39" s="17"/>
      <c r="H39" s="17"/>
    </row>
    <row r="40" spans="1:8" s="19" customFormat="1" ht="27.75" x14ac:dyDescent="0.4">
      <c r="A40" s="18"/>
      <c r="B40" s="215"/>
      <c r="C40" s="197" t="str">
        <f>'01.09'!C39</f>
        <v>*Л. Физиология человека*</v>
      </c>
      <c r="D40" s="341">
        <f>'14.12'!D40+COUNTIF(D$8:D$38,$C40)</f>
        <v>12</v>
      </c>
      <c r="E40" s="341">
        <f>'14.12'!E40+COUNTIF(E$8:E$38,$C40)</f>
        <v>12</v>
      </c>
      <c r="F40" s="341">
        <f>'14.12'!F40+COUNTIF(F$8:F$38,$C40)</f>
        <v>12</v>
      </c>
      <c r="G40" s="341">
        <f>'14.12'!G40+COUNTIF(G$8:G$38,$C40)</f>
        <v>12</v>
      </c>
      <c r="H40" s="341">
        <f>'14.12'!H40+COUNTIF(H$8:H$38,$C40)</f>
        <v>12</v>
      </c>
    </row>
    <row r="41" spans="1:8" s="19" customFormat="1" ht="27.75" x14ac:dyDescent="0.4">
      <c r="A41" s="18"/>
      <c r="B41" s="215"/>
      <c r="C41" s="197" t="str">
        <f>'01.09'!C40</f>
        <v>*Пр. Физиология человека*</v>
      </c>
      <c r="D41" s="341">
        <f>'14.12'!D41+COUNTIF(D$8:D$38,$C41)</f>
        <v>19</v>
      </c>
      <c r="E41" s="341">
        <f>'14.12'!E41+COUNTIF(E$8:E$38,$C41)</f>
        <v>20</v>
      </c>
      <c r="F41" s="341">
        <f>'14.12'!F41+COUNTIF(F$8:F$38,$C41)</f>
        <v>19</v>
      </c>
      <c r="G41" s="341">
        <f>'14.12'!G41+COUNTIF(G$8:G$38,$C41)</f>
        <v>20</v>
      </c>
      <c r="H41" s="341">
        <f>'14.12'!H41+COUNTIF(H$8:H$38,$C41)</f>
        <v>20</v>
      </c>
    </row>
    <row r="42" spans="1:8" s="19" customFormat="1" ht="27.75" x14ac:dyDescent="0.4">
      <c r="A42" s="18"/>
      <c r="B42" s="216"/>
      <c r="C42" s="197" t="str">
        <f>'01.09'!C41</f>
        <v>*Л. Элективные дисциплины по ФКиС: Фехтование*</v>
      </c>
      <c r="D42" s="341">
        <f>'14.12'!D42+COUNTIF(D$8:D$38,$C42)</f>
        <v>1</v>
      </c>
      <c r="E42" s="341">
        <f>'14.12'!E42+COUNTIF(E$8:E$38,$C42)</f>
        <v>1</v>
      </c>
      <c r="F42" s="341">
        <f>'14.12'!F42+COUNTIF(F$8:F$38,$C42)</f>
        <v>1</v>
      </c>
      <c r="G42" s="341">
        <f>'14.12'!G42+COUNTIF(G$8:G$38,$C42)</f>
        <v>1</v>
      </c>
      <c r="H42" s="341">
        <f>'14.12'!H42+COUNTIF(H$8:H$38,$C42)</f>
        <v>1</v>
      </c>
    </row>
    <row r="43" spans="1:8" s="19" customFormat="1" ht="27.75" x14ac:dyDescent="0.4">
      <c r="A43" s="18"/>
      <c r="B43" s="216"/>
      <c r="C43" s="197" t="str">
        <f>'01.09'!C42</f>
        <v>*Пр. Элективные дисциплины по ФКиС: Фехтование*</v>
      </c>
      <c r="D43" s="341">
        <f>'14.12'!D43+COUNTIF(D$8:D$38,$C43)</f>
        <v>6</v>
      </c>
      <c r="E43" s="341">
        <f>'14.12'!E43+COUNTIF(E$8:E$38,$C43)</f>
        <v>6</v>
      </c>
      <c r="F43" s="341">
        <f>'14.12'!F43+COUNTIF(F$8:F$38,$C43)</f>
        <v>6</v>
      </c>
      <c r="G43" s="341">
        <f>'14.12'!G43+COUNTIF(G$8:G$38,$C43)</f>
        <v>6</v>
      </c>
      <c r="H43" s="341">
        <f>'14.12'!H43+COUNTIF(H$8:H$38,$C43)</f>
        <v>6</v>
      </c>
    </row>
    <row r="44" spans="1:8" s="19" customFormat="1" ht="27.75" x14ac:dyDescent="0.4">
      <c r="A44" s="18"/>
      <c r="B44" s="215"/>
      <c r="C44" s="197" t="str">
        <f>'01.09'!C43</f>
        <v>*Л. Педагогика физической культуры и спорта*</v>
      </c>
      <c r="D44" s="341">
        <f>'14.12'!D44+COUNTIF(D$8:D$38,$C44)</f>
        <v>5</v>
      </c>
      <c r="E44" s="341">
        <f>'14.12'!E44+COUNTIF(E$8:E$38,$C44)</f>
        <v>5</v>
      </c>
      <c r="F44" s="341">
        <f>'14.12'!F44+COUNTIF(F$8:F$38,$C44)</f>
        <v>5</v>
      </c>
      <c r="G44" s="341">
        <f>'14.12'!G44+COUNTIF(G$8:G$38,$C44)</f>
        <v>5</v>
      </c>
      <c r="H44" s="341">
        <f>'14.12'!H44+COUNTIF(H$8:H$38,$C44)</f>
        <v>5</v>
      </c>
    </row>
    <row r="45" spans="1:8" s="19" customFormat="1" ht="27.75" x14ac:dyDescent="0.4">
      <c r="A45" s="18"/>
      <c r="B45" s="215"/>
      <c r="C45" s="197" t="str">
        <f>'01.09'!C44</f>
        <v>*Пр. Педагогика физической культуры и спорта*</v>
      </c>
      <c r="D45" s="341">
        <f>'14.12'!D45+COUNTIF(D$8:D$38,$C45)</f>
        <v>6</v>
      </c>
      <c r="E45" s="341">
        <f>'14.12'!E45+COUNTIF(E$8:E$38,$C45)</f>
        <v>5</v>
      </c>
      <c r="F45" s="341">
        <f>'14.12'!F45+COUNTIF(F$8:F$38,$C45)</f>
        <v>5</v>
      </c>
      <c r="G45" s="341">
        <f>'14.12'!G45+COUNTIF(G$8:G$38,$C45)</f>
        <v>5</v>
      </c>
      <c r="H45" s="341">
        <f>'14.12'!H45+COUNTIF(H$8:H$38,$C45)</f>
        <v>4</v>
      </c>
    </row>
    <row r="46" spans="1:8" s="19" customFormat="1" ht="27.75" x14ac:dyDescent="0.4">
      <c r="A46" s="18"/>
      <c r="B46" s="215"/>
      <c r="C46" s="197" t="str">
        <f>'01.09'!C45</f>
        <v>*Л. Теория и методика*</v>
      </c>
      <c r="D46" s="341">
        <f>'14.12'!D46+COUNTIF(D$8:D$38,$C46)</f>
        <v>4</v>
      </c>
      <c r="E46" s="341">
        <f>'14.12'!E46+COUNTIF(E$8:E$38,$C46)</f>
        <v>4</v>
      </c>
      <c r="F46" s="341">
        <f>'14.12'!F46+COUNTIF(F$8:F$38,$C46)</f>
        <v>4</v>
      </c>
      <c r="G46" s="341">
        <f>'14.12'!G46+COUNTIF(G$8:G$38,$C46)</f>
        <v>4</v>
      </c>
      <c r="H46" s="341">
        <f>'14.12'!H46+COUNTIF(H$8:H$38,$C46)</f>
        <v>4</v>
      </c>
    </row>
    <row r="47" spans="1:8" s="19" customFormat="1" ht="27.75" x14ac:dyDescent="0.4">
      <c r="A47" s="18"/>
      <c r="B47" s="215"/>
      <c r="C47" s="197" t="str">
        <f>'01.09'!C46</f>
        <v>*Пр. Теория и методика*</v>
      </c>
      <c r="D47" s="341">
        <f>'14.12'!D47+COUNTIF(D$8:D$38,$C47)</f>
        <v>27</v>
      </c>
      <c r="E47" s="341">
        <f>'14.12'!E47+COUNTIF(E$8:E$38,$C47)</f>
        <v>27</v>
      </c>
      <c r="F47" s="341">
        <f>'14.12'!F47+COUNTIF(F$8:F$38,$C47)</f>
        <v>27</v>
      </c>
      <c r="G47" s="341">
        <f>'14.12'!G47+COUNTIF(G$8:G$38,$C47)</f>
        <v>27</v>
      </c>
      <c r="H47" s="341">
        <f>'14.12'!H47+COUNTIF(H$8:H$38,$C47)</f>
        <v>25</v>
      </c>
    </row>
    <row r="48" spans="1:8" s="19" customFormat="1" ht="27.75" x14ac:dyDescent="0.4">
      <c r="A48" s="18"/>
      <c r="B48" s="215"/>
      <c r="C48" s="197" t="str">
        <f>'01.09'!C47</f>
        <v>*Л.  Теория и методика физической культуры*</v>
      </c>
      <c r="D48" s="341">
        <f>'14.12'!D48+COUNTIF(D$8:D$38,$C48)</f>
        <v>10</v>
      </c>
      <c r="E48" s="341">
        <f>'14.12'!E48+COUNTIF(E$8:E$38,$C48)</f>
        <v>10</v>
      </c>
      <c r="F48" s="341">
        <f>'14.12'!F48+COUNTIF(F$8:F$38,$C48)</f>
        <v>10</v>
      </c>
      <c r="G48" s="341">
        <f>'14.12'!G48+COUNTIF(G$8:G$38,$C48)</f>
        <v>10</v>
      </c>
      <c r="H48" s="341">
        <f>'14.12'!H48+COUNTIF(H$8:H$38,$C48)</f>
        <v>10</v>
      </c>
    </row>
    <row r="49" spans="1:8" s="19" customFormat="1" ht="27.75" x14ac:dyDescent="0.4">
      <c r="A49" s="18"/>
      <c r="B49" s="215"/>
      <c r="C49" s="197" t="str">
        <f>'01.09'!C48</f>
        <v>*Пр.  Теория и методика физической культуры*</v>
      </c>
      <c r="D49" s="341">
        <f>'14.12'!D49+COUNTIF(D$8:D$38,$C49)</f>
        <v>6</v>
      </c>
      <c r="E49" s="341">
        <f>'14.12'!E49+COUNTIF(E$8:E$38,$C49)</f>
        <v>6</v>
      </c>
      <c r="F49" s="341">
        <f>'14.12'!F49+COUNTIF(F$8:F$38,$C49)</f>
        <v>6</v>
      </c>
      <c r="G49" s="341">
        <f>'14.12'!G49+COUNTIF(G$8:G$38,$C49)</f>
        <v>5</v>
      </c>
      <c r="H49" s="341">
        <f>'14.12'!H49+COUNTIF(H$8:H$38,$C49)</f>
        <v>5</v>
      </c>
    </row>
    <row r="50" spans="1:8" s="19" customFormat="1" ht="27.75" x14ac:dyDescent="0.4">
      <c r="A50" s="18"/>
      <c r="B50" s="215"/>
      <c r="C50" s="197" t="str">
        <f>'01.09'!C49</f>
        <v>*Л. Плавание*</v>
      </c>
      <c r="D50" s="341">
        <f>'14.12'!D50+COUNTIF(D$8:D$38,$C50)</f>
        <v>2</v>
      </c>
      <c r="E50" s="341">
        <f>'14.12'!E50+COUNTIF(E$8:E$38,$C50)</f>
        <v>2</v>
      </c>
      <c r="F50" s="341">
        <f>'14.12'!F50+COUNTIF(F$8:F$38,$C50)</f>
        <v>2</v>
      </c>
      <c r="G50" s="341">
        <f>'14.12'!G50+COUNTIF(G$8:G$38,$C50)</f>
        <v>2</v>
      </c>
      <c r="H50" s="341">
        <f>'14.12'!H50+COUNTIF(H$8:H$38,$C50)</f>
        <v>2</v>
      </c>
    </row>
    <row r="51" spans="1:8" s="19" customFormat="1" ht="27.75" x14ac:dyDescent="0.4">
      <c r="A51" s="18"/>
      <c r="B51" s="215"/>
      <c r="C51" s="197" t="str">
        <f>'01.09'!C50</f>
        <v>*Пр. Плавание*</v>
      </c>
      <c r="D51" s="341">
        <f>'14.12'!D51+COUNTIF(D$8:D$38,$C51)</f>
        <v>18</v>
      </c>
      <c r="E51" s="341">
        <f>'14.12'!E51+COUNTIF(E$8:E$38,$C51)</f>
        <v>18</v>
      </c>
      <c r="F51" s="341">
        <f>'14.12'!F51+COUNTIF(F$8:F$38,$C51)</f>
        <v>20</v>
      </c>
      <c r="G51" s="341">
        <f>'14.12'!G51+COUNTIF(G$8:G$38,$C51)</f>
        <v>20</v>
      </c>
      <c r="H51" s="341">
        <f>'14.12'!H51+COUNTIF(H$8:H$38,$C51)</f>
        <v>20</v>
      </c>
    </row>
    <row r="52" spans="1:8" s="19" customFormat="1" ht="27.75" x14ac:dyDescent="0.4">
      <c r="A52" s="18"/>
      <c r="B52" s="215"/>
      <c r="C52" s="197" t="str">
        <f>'01.09'!C51</f>
        <v>*Л. Подвижные игры в спорте и образовании*</v>
      </c>
      <c r="D52" s="341">
        <f>'14.12'!D52+COUNTIF(D$8:D$38,$C52)</f>
        <v>1</v>
      </c>
      <c r="E52" s="341">
        <f>'14.12'!E52+COUNTIF(E$8:E$38,$C52)</f>
        <v>1</v>
      </c>
      <c r="F52" s="341">
        <f>'14.12'!F52+COUNTIF(F$8:F$38,$C52)</f>
        <v>1</v>
      </c>
      <c r="G52" s="341">
        <f>'14.12'!G52+COUNTIF(G$8:G$38,$C52)</f>
        <v>1</v>
      </c>
      <c r="H52" s="341">
        <f>'14.12'!H52+COUNTIF(H$8:H$38,$C52)</f>
        <v>1</v>
      </c>
    </row>
    <row r="53" spans="1:8" s="19" customFormat="1" ht="27.75" x14ac:dyDescent="0.4">
      <c r="A53" s="18"/>
      <c r="B53" s="215"/>
      <c r="C53" s="197" t="str">
        <f>'01.09'!C52</f>
        <v>*Пр. Подвижные игры в спорте и образовании*</v>
      </c>
      <c r="D53" s="341">
        <f>'14.12'!D53+COUNTIF(D$8:D$38,$C53)</f>
        <v>10</v>
      </c>
      <c r="E53" s="341">
        <f>'14.12'!E53+COUNTIF(E$8:E$38,$C53)</f>
        <v>10</v>
      </c>
      <c r="F53" s="341">
        <f>'14.12'!F53+COUNTIF(F$8:F$38,$C53)</f>
        <v>9</v>
      </c>
      <c r="G53" s="341">
        <f>'14.12'!G53+COUNTIF(G$8:G$38,$C53)</f>
        <v>10</v>
      </c>
      <c r="H53" s="341">
        <f>'14.12'!H53+COUNTIF(H$8:H$38,$C53)</f>
        <v>10</v>
      </c>
    </row>
    <row r="54" spans="1:8" s="19" customFormat="1" ht="27.75" x14ac:dyDescent="0.4">
      <c r="A54" s="18"/>
      <c r="B54" s="215"/>
      <c r="C54" s="197" t="str">
        <f>'01.09'!C53</f>
        <v>*Л. Самооборона (самбо)*</v>
      </c>
      <c r="D54" s="341">
        <f>'14.12'!D54+COUNTIF(D$8:D$38,$C54)</f>
        <v>1</v>
      </c>
      <c r="E54" s="341">
        <f>'14.12'!E54+COUNTIF(E$8:E$38,$C54)</f>
        <v>1</v>
      </c>
      <c r="F54" s="341">
        <f>'14.12'!F54+COUNTIF(F$8:F$38,$C54)</f>
        <v>1</v>
      </c>
      <c r="G54" s="341">
        <f>'14.12'!G54+COUNTIF(G$8:G$38,$C54)</f>
        <v>1</v>
      </c>
      <c r="H54" s="341">
        <f>'14.12'!H54+COUNTIF(H$8:H$38,$C54)</f>
        <v>1</v>
      </c>
    </row>
    <row r="55" spans="1:8" s="19" customFormat="1" ht="27.75" x14ac:dyDescent="0.4">
      <c r="A55" s="18"/>
      <c r="B55" s="215"/>
      <c r="C55" s="197" t="str">
        <f>'01.09'!C54</f>
        <v>*Пр. Самооборона (самбо)*</v>
      </c>
      <c r="D55" s="341">
        <f>'14.12'!D55+COUNTIF(D$8:D$38,$C55)</f>
        <v>10</v>
      </c>
      <c r="E55" s="341">
        <f>'14.12'!E55+COUNTIF(E$8:E$38,$C55)</f>
        <v>10</v>
      </c>
      <c r="F55" s="341">
        <f>'14.12'!F55+COUNTIF(F$8:F$38,$C55)</f>
        <v>9</v>
      </c>
      <c r="G55" s="341">
        <f>'14.12'!G55+COUNTIF(G$8:G$38,$C55)</f>
        <v>10</v>
      </c>
      <c r="H55" s="341">
        <f>'14.12'!H55+COUNTIF(H$8:H$38,$C55)</f>
        <v>10</v>
      </c>
    </row>
    <row r="56" spans="1:8" s="19" customFormat="1" ht="27.75" x14ac:dyDescent="0.4">
      <c r="A56" s="18"/>
      <c r="B56" s="215"/>
      <c r="C56" s="197" t="str">
        <f>'01.09'!C55</f>
        <v>*Л. Методика реализации программ*</v>
      </c>
      <c r="D56" s="341">
        <f>'14.12'!D56+COUNTIF(D$8:D$38,$C56)</f>
        <v>3</v>
      </c>
      <c r="E56" s="341">
        <f>'14.12'!E56+COUNTIF(E$8:E$38,$C56)</f>
        <v>3</v>
      </c>
      <c r="F56" s="341">
        <f>'14.12'!F56+COUNTIF(F$8:F$38,$C56)</f>
        <v>3</v>
      </c>
      <c r="G56" s="341">
        <f>'14.12'!G56+COUNTIF(G$8:G$38,$C56)</f>
        <v>3</v>
      </c>
      <c r="H56" s="341">
        <f>'14.12'!H56+COUNTIF(H$8:H$38,$C56)</f>
        <v>3</v>
      </c>
    </row>
    <row r="57" spans="1:8" s="19" customFormat="1" ht="27.75" x14ac:dyDescent="0.4">
      <c r="A57" s="18"/>
      <c r="B57" s="215"/>
      <c r="C57" s="197" t="str">
        <f>'01.09'!C56</f>
        <v>*Пр. Методика реализации программ*</v>
      </c>
      <c r="D57" s="341">
        <f>'14.12'!D57+COUNTIF(D$8:D$38,$C57)</f>
        <v>6</v>
      </c>
      <c r="E57" s="341">
        <f>'14.12'!E57+COUNTIF(E$8:E$38,$C57)</f>
        <v>6</v>
      </c>
      <c r="F57" s="341">
        <f>'14.12'!F57+COUNTIF(F$8:F$38,$C57)</f>
        <v>6</v>
      </c>
      <c r="G57" s="341">
        <f>'14.12'!G57+COUNTIF(G$8:G$38,$C57)</f>
        <v>6</v>
      </c>
      <c r="H57" s="341">
        <f>'14.12'!H57+COUNTIF(H$8:H$38,$C57)</f>
        <v>6</v>
      </c>
    </row>
    <row r="58" spans="1:8" s="19" customFormat="1" ht="27.75" x14ac:dyDescent="0.4">
      <c r="A58" s="18"/>
      <c r="B58" s="215"/>
      <c r="C58" s="197" t="str">
        <f>'01.09'!C57</f>
        <v>*Л. Методика преподавания*</v>
      </c>
      <c r="D58" s="341">
        <f>'14.12'!D58+COUNTIF(D$8:D$38,$C58)</f>
        <v>3</v>
      </c>
      <c r="E58" s="341">
        <f>'14.12'!E58+COUNTIF(E$8:E$38,$C58)</f>
        <v>3</v>
      </c>
      <c r="F58" s="341">
        <f>'14.12'!F58+COUNTIF(F$8:F$38,$C58)</f>
        <v>3</v>
      </c>
      <c r="G58" s="341">
        <f>'14.12'!G58+COUNTIF(G$8:G$38,$C58)</f>
        <v>3</v>
      </c>
      <c r="H58" s="341">
        <f>'14.12'!H58+COUNTIF(H$8:H$38,$C58)</f>
        <v>3</v>
      </c>
    </row>
    <row r="59" spans="1:8" s="19" customFormat="1" ht="27.75" x14ac:dyDescent="0.4">
      <c r="A59" s="18"/>
      <c r="B59" s="215"/>
      <c r="C59" s="197" t="str">
        <f>'01.09'!C58</f>
        <v>*Пр. Методика преподавания*</v>
      </c>
      <c r="D59" s="341">
        <f>'14.12'!D59+COUNTIF(D$8:D$38,$C59)</f>
        <v>6</v>
      </c>
      <c r="E59" s="341">
        <f>'14.12'!E59+COUNTIF(E$8:E$38,$C59)</f>
        <v>6</v>
      </c>
      <c r="F59" s="341">
        <f>'14.12'!F59+COUNTIF(F$8:F$38,$C59)</f>
        <v>6</v>
      </c>
      <c r="G59" s="341">
        <f>'14.12'!G59+COUNTIF(G$8:G$38,$C59)</f>
        <v>6</v>
      </c>
      <c r="H59" s="341">
        <f>'14.12'!H59+COUNTIF(H$8:H$38,$C59)</f>
        <v>6</v>
      </c>
    </row>
    <row r="60" spans="1:8" s="19" customFormat="1" ht="27.75" x14ac:dyDescent="0.4">
      <c r="A60" s="18"/>
      <c r="B60" s="215"/>
      <c r="C60" s="197">
        <f>'01.09'!C59</f>
        <v>0</v>
      </c>
      <c r="D60" s="341">
        <f>'14.12'!D60+COUNTIF(D$8:D$38,$C60)</f>
        <v>0</v>
      </c>
      <c r="E60" s="341">
        <f>'14.12'!E60+COUNTIF(E$8:E$38,$C60)</f>
        <v>0</v>
      </c>
      <c r="F60" s="341">
        <f>'14.12'!F60+COUNTIF(F$8:F$38,$C60)</f>
        <v>0</v>
      </c>
      <c r="G60" s="341">
        <f>'14.12'!G60+COUNTIF(G$8:G$38,$C60)</f>
        <v>0</v>
      </c>
      <c r="H60" s="341">
        <f>'14.12'!H60+COUNTIF(H$8:H$38,$C60)</f>
        <v>0</v>
      </c>
    </row>
    <row r="61" spans="1:8" s="19" customFormat="1" ht="27.75" x14ac:dyDescent="0.4">
      <c r="A61" s="18"/>
      <c r="B61" s="18"/>
      <c r="C61" s="197">
        <f>'01.09'!C60</f>
        <v>0</v>
      </c>
      <c r="D61" s="341">
        <f>'14.12'!D61+COUNTIF(D$8:D$38,$C61)</f>
        <v>0</v>
      </c>
      <c r="E61" s="341">
        <f>'14.12'!E61+COUNTIF(E$8:E$38,$C61)</f>
        <v>0</v>
      </c>
      <c r="F61" s="341">
        <f>'14.12'!F61+COUNTIF(F$8:F$38,$C61)</f>
        <v>0</v>
      </c>
      <c r="G61" s="341">
        <f>'14.12'!G61+COUNTIF(G$8:G$38,$C61)</f>
        <v>0</v>
      </c>
      <c r="H61" s="341">
        <f>'14.12'!H61+COUNTIF(H$8:H$38,$C61)</f>
        <v>0</v>
      </c>
    </row>
    <row r="62" spans="1:8" ht="27.75" x14ac:dyDescent="0.4">
      <c r="A62" s="2"/>
      <c r="B62" s="2"/>
      <c r="C62" s="197">
        <f>'01.09'!C61</f>
        <v>0</v>
      </c>
      <c r="D62" s="341">
        <f>'14.12'!D62+COUNTIF(D$8:D$38,$C62)</f>
        <v>0</v>
      </c>
      <c r="E62" s="341">
        <f>'14.12'!E62+COUNTIF(E$8:E$38,$C62)</f>
        <v>0</v>
      </c>
      <c r="F62" s="341">
        <f>'14.12'!F62+COUNTIF(F$8:F$38,$C62)</f>
        <v>0</v>
      </c>
      <c r="G62" s="341">
        <f>'14.12'!G62+COUNTIF(G$8:G$38,$C62)</f>
        <v>0</v>
      </c>
      <c r="H62" s="341">
        <f>'14.12'!H62+COUNTIF(H$8:H$38,$C62)</f>
        <v>0</v>
      </c>
    </row>
    <row r="63" spans="1:8" ht="27.75" x14ac:dyDescent="0.4">
      <c r="A63" s="2"/>
      <c r="B63" s="2"/>
      <c r="C63" s="197">
        <f>'01.09'!C62</f>
        <v>0</v>
      </c>
      <c r="D63" s="341">
        <f>'14.12'!D63+COUNTIF(D$8:D$38,$C63)</f>
        <v>0</v>
      </c>
      <c r="E63" s="341">
        <f>'14.12'!E63+COUNTIF(E$8:E$38,$C63)</f>
        <v>0</v>
      </c>
      <c r="F63" s="341">
        <f>'14.12'!F63+COUNTIF(F$8:F$38,$C63)</f>
        <v>0</v>
      </c>
      <c r="G63" s="341">
        <f>'14.12'!G63+COUNTIF(G$8:G$38,$C63)</f>
        <v>0</v>
      </c>
      <c r="H63" s="341">
        <f>'14.12'!H63+COUNTIF(H$8:H$38,$C63)</f>
        <v>0</v>
      </c>
    </row>
    <row r="64" spans="1:8" ht="27.75" x14ac:dyDescent="0.4">
      <c r="A64" s="2"/>
      <c r="B64" s="2"/>
      <c r="C64" s="197">
        <f>'01.09'!C63</f>
        <v>0</v>
      </c>
      <c r="D64" s="341">
        <f>'14.12'!D64+COUNTIF(D$8:D$38,$C64)</f>
        <v>0</v>
      </c>
      <c r="E64" s="341">
        <f>'14.12'!E64+COUNTIF(E$8:E$38,$C64)</f>
        <v>0</v>
      </c>
      <c r="F64" s="341">
        <f>'14.12'!F64+COUNTIF(F$8:F$38,$C64)</f>
        <v>0</v>
      </c>
      <c r="G64" s="341">
        <f>'14.12'!G64+COUNTIF(G$8:G$38,$C64)</f>
        <v>0</v>
      </c>
      <c r="H64" s="341">
        <f>'14.12'!H64+COUNTIF(H$8:H$38,$C64)</f>
        <v>0</v>
      </c>
    </row>
    <row r="65" spans="1:8" ht="27.75" x14ac:dyDescent="0.4">
      <c r="A65" s="2"/>
      <c r="B65" s="2"/>
      <c r="C65" s="197">
        <f>'01.09'!C64</f>
        <v>0</v>
      </c>
      <c r="D65" s="341">
        <f>'14.12'!D65+COUNTIF(D$8:D$38,$C65)</f>
        <v>0</v>
      </c>
      <c r="E65" s="341">
        <f>'14.12'!E65+COUNTIF(E$8:E$38,$C65)</f>
        <v>0</v>
      </c>
      <c r="F65" s="341">
        <f>'14.12'!F65+COUNTIF(F$8:F$38,$C65)</f>
        <v>0</v>
      </c>
      <c r="G65" s="341">
        <f>'14.12'!G65+COUNTIF(G$8:G$38,$C65)</f>
        <v>0</v>
      </c>
      <c r="H65" s="341">
        <f>'14.12'!H65+COUNTIF(H$8:H$38,$C65)</f>
        <v>0</v>
      </c>
    </row>
    <row r="66" spans="1:8" ht="27.75" x14ac:dyDescent="0.4">
      <c r="A66" s="2"/>
      <c r="B66" s="2"/>
      <c r="C66" s="197">
        <f>'01.09'!C65</f>
        <v>0</v>
      </c>
      <c r="D66" s="341">
        <f>'14.12'!D66+COUNTIF(D$8:D$38,$C66)</f>
        <v>0</v>
      </c>
      <c r="E66" s="341">
        <f>'14.12'!E66+COUNTIF(E$8:E$38,$C66)</f>
        <v>0</v>
      </c>
      <c r="F66" s="341">
        <f>'14.12'!F66+COUNTIF(F$8:F$38,$C66)</f>
        <v>0</v>
      </c>
      <c r="G66" s="341">
        <f>'14.12'!G66+COUNTIF(G$8:G$38,$C66)</f>
        <v>0</v>
      </c>
      <c r="H66" s="341">
        <f>'14.12'!H66+COUNTIF(H$8:H$38,$C66)</f>
        <v>0</v>
      </c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B1:H1"/>
    <mergeCell ref="B2:H2"/>
    <mergeCell ref="B3:H3"/>
    <mergeCell ref="B4:H4"/>
    <mergeCell ref="B8:B12"/>
    <mergeCell ref="C6:C7"/>
    <mergeCell ref="A5:H5"/>
    <mergeCell ref="B13:B18"/>
    <mergeCell ref="A8:A12"/>
    <mergeCell ref="B6:B7"/>
    <mergeCell ref="A13:A18"/>
    <mergeCell ref="A6:A7"/>
    <mergeCell ref="A34:A38"/>
    <mergeCell ref="B34:B38"/>
    <mergeCell ref="A24:A28"/>
    <mergeCell ref="A29:A33"/>
    <mergeCell ref="B19:B23"/>
    <mergeCell ref="B24:B28"/>
    <mergeCell ref="B29:B33"/>
    <mergeCell ref="A19:A23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  <rowBreaks count="1" manualBreakCount="1">
    <brk id="39" max="8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view="pageBreakPreview" topLeftCell="A37" zoomScale="40" zoomScaleNormal="40" zoomScaleSheetLayoutView="40" zoomScalePageLayoutView="40" workbookViewId="0">
      <selection activeCell="G93" sqref="G93"/>
    </sheetView>
  </sheetViews>
  <sheetFormatPr defaultRowHeight="15" x14ac:dyDescent="0.25"/>
  <cols>
    <col min="1" max="1" width="4.42578125" customWidth="1"/>
    <col min="2" max="2" width="5.85546875" customWidth="1"/>
    <col min="3" max="3" width="70.5703125" customWidth="1"/>
    <col min="4" max="4" width="63.140625" customWidth="1"/>
    <col min="5" max="5" width="68.140625" customWidth="1"/>
    <col min="6" max="8" width="63.140625" customWidth="1"/>
  </cols>
  <sheetData>
    <row r="1" spans="1:8" ht="34.5" customHeight="1" x14ac:dyDescent="0.3">
      <c r="A1" s="178"/>
      <c r="B1" s="760" t="s">
        <v>140</v>
      </c>
      <c r="C1" s="760"/>
      <c r="D1" s="760"/>
      <c r="E1" s="760"/>
      <c r="F1" s="760"/>
      <c r="G1" s="760"/>
      <c r="H1" s="760"/>
    </row>
    <row r="2" spans="1:8" ht="34.5" customHeight="1" x14ac:dyDescent="0.3">
      <c r="A2" s="179"/>
      <c r="B2" s="760" t="s">
        <v>87</v>
      </c>
      <c r="C2" s="760"/>
      <c r="D2" s="760"/>
      <c r="E2" s="760"/>
      <c r="F2" s="760"/>
      <c r="G2" s="760"/>
      <c r="H2" s="760"/>
    </row>
    <row r="3" spans="1:8" ht="32.25" customHeight="1" x14ac:dyDescent="0.25">
      <c r="A3" s="229"/>
      <c r="B3" s="787" t="s">
        <v>81</v>
      </c>
      <c r="C3" s="787"/>
      <c r="D3" s="787"/>
      <c r="E3" s="787"/>
      <c r="F3" s="787"/>
      <c r="G3" s="787"/>
      <c r="H3" s="787"/>
    </row>
    <row r="4" spans="1:8" ht="34.5" customHeight="1" x14ac:dyDescent="0.25">
      <c r="A4" s="180"/>
      <c r="B4" s="760" t="s">
        <v>142</v>
      </c>
      <c r="C4" s="760"/>
      <c r="D4" s="760"/>
      <c r="E4" s="760"/>
      <c r="F4" s="760"/>
      <c r="G4" s="760"/>
      <c r="H4" s="760"/>
    </row>
    <row r="5" spans="1:8" ht="33.75" customHeight="1" thickBot="1" x14ac:dyDescent="0.3">
      <c r="A5" s="682" t="s">
        <v>112</v>
      </c>
      <c r="B5" s="682"/>
      <c r="C5" s="682"/>
      <c r="D5" s="682"/>
      <c r="E5" s="682"/>
      <c r="F5" s="682"/>
      <c r="G5" s="682"/>
      <c r="H5" s="682"/>
    </row>
    <row r="6" spans="1:8" ht="21" hidden="1" thickBot="1" x14ac:dyDescent="0.35">
      <c r="A6" s="41"/>
      <c r="B6" s="40"/>
      <c r="C6" s="40"/>
      <c r="D6" s="40"/>
      <c r="E6" s="40"/>
      <c r="F6" s="40"/>
      <c r="G6" s="40"/>
      <c r="H6" s="40"/>
    </row>
    <row r="7" spans="1:8" ht="30.75" customHeight="1" thickBot="1" x14ac:dyDescent="0.3">
      <c r="A7" s="762" t="s">
        <v>54</v>
      </c>
      <c r="B7" s="762" t="s">
        <v>14</v>
      </c>
      <c r="C7" s="764" t="s">
        <v>55</v>
      </c>
      <c r="D7" s="241" t="s">
        <v>5</v>
      </c>
      <c r="E7" s="242" t="s">
        <v>6</v>
      </c>
      <c r="F7" s="242" t="s">
        <v>7</v>
      </c>
      <c r="G7" s="242" t="s">
        <v>8</v>
      </c>
      <c r="H7" s="243" t="s">
        <v>9</v>
      </c>
    </row>
    <row r="8" spans="1:8" ht="71.25" customHeight="1" thickBot="1" x14ac:dyDescent="0.3">
      <c r="A8" s="763"/>
      <c r="B8" s="763"/>
      <c r="C8" s="765"/>
      <c r="D8" s="300" t="s">
        <v>106</v>
      </c>
      <c r="E8" s="370" t="s">
        <v>136</v>
      </c>
      <c r="F8" s="370" t="s">
        <v>107</v>
      </c>
      <c r="G8" s="370" t="s">
        <v>90</v>
      </c>
      <c r="H8" s="449" t="s">
        <v>78</v>
      </c>
    </row>
    <row r="9" spans="1:8" ht="86.25" customHeight="1" x14ac:dyDescent="0.25">
      <c r="A9" s="822" t="s">
        <v>0</v>
      </c>
      <c r="B9" s="747">
        <v>46384</v>
      </c>
      <c r="C9" s="553" t="s">
        <v>10</v>
      </c>
      <c r="D9" s="316"/>
      <c r="E9" s="299"/>
      <c r="F9" s="299"/>
      <c r="G9" s="551"/>
      <c r="H9" s="362"/>
    </row>
    <row r="10" spans="1:8" ht="86.25" customHeight="1" x14ac:dyDescent="0.25">
      <c r="A10" s="825"/>
      <c r="B10" s="746"/>
      <c r="C10" s="490" t="s">
        <v>11</v>
      </c>
      <c r="D10" s="281"/>
      <c r="E10" s="279"/>
      <c r="F10" s="383"/>
      <c r="G10" s="383"/>
      <c r="H10" s="414"/>
    </row>
    <row r="11" spans="1:8" ht="86.25" customHeight="1" x14ac:dyDescent="0.25">
      <c r="A11" s="825"/>
      <c r="B11" s="746"/>
      <c r="C11" s="490" t="s">
        <v>12</v>
      </c>
      <c r="D11" s="601"/>
      <c r="E11" s="383"/>
      <c r="F11" s="383"/>
      <c r="G11" s="460"/>
      <c r="H11" s="510"/>
    </row>
    <row r="12" spans="1:8" ht="86.25" customHeight="1" x14ac:dyDescent="0.25">
      <c r="A12" s="825"/>
      <c r="B12" s="746"/>
      <c r="C12" s="490" t="s">
        <v>13</v>
      </c>
      <c r="D12" s="418"/>
      <c r="E12" s="383"/>
      <c r="F12" s="383"/>
      <c r="G12" s="460"/>
      <c r="H12" s="284"/>
    </row>
    <row r="13" spans="1:8" ht="86.25" customHeight="1" thickBot="1" x14ac:dyDescent="0.3">
      <c r="A13" s="825"/>
      <c r="B13" s="828"/>
      <c r="C13" s="554" t="s">
        <v>15</v>
      </c>
      <c r="D13" s="595"/>
      <c r="E13" s="330"/>
      <c r="F13" s="330"/>
      <c r="G13" s="330"/>
      <c r="H13" s="350"/>
    </row>
    <row r="14" spans="1:8" ht="86.25" customHeight="1" x14ac:dyDescent="0.25">
      <c r="A14" s="822" t="s">
        <v>1</v>
      </c>
      <c r="B14" s="827">
        <f>B9+1</f>
        <v>46385</v>
      </c>
      <c r="C14" s="504" t="s">
        <v>10</v>
      </c>
      <c r="D14" s="517"/>
      <c r="E14" s="591"/>
      <c r="F14" s="591"/>
      <c r="G14" s="466"/>
      <c r="H14" s="510"/>
    </row>
    <row r="15" spans="1:8" ht="86.25" customHeight="1" x14ac:dyDescent="0.25">
      <c r="A15" s="825"/>
      <c r="B15" s="746"/>
      <c r="C15" s="505" t="s">
        <v>11</v>
      </c>
      <c r="D15" s="418"/>
      <c r="E15" s="383"/>
      <c r="F15" s="383"/>
      <c r="G15" s="279"/>
      <c r="H15" s="510"/>
    </row>
    <row r="16" spans="1:8" ht="86.25" customHeight="1" x14ac:dyDescent="0.25">
      <c r="A16" s="825"/>
      <c r="B16" s="746"/>
      <c r="C16" s="505" t="s">
        <v>12</v>
      </c>
      <c r="D16" s="418"/>
      <c r="E16" s="279"/>
      <c r="F16" s="279"/>
      <c r="G16" s="279"/>
      <c r="H16" s="510"/>
    </row>
    <row r="17" spans="1:10" ht="86.25" customHeight="1" x14ac:dyDescent="0.25">
      <c r="A17" s="825"/>
      <c r="B17" s="746"/>
      <c r="C17" s="505" t="s">
        <v>13</v>
      </c>
      <c r="D17" s="418"/>
      <c r="E17" s="279"/>
      <c r="F17" s="279"/>
      <c r="G17" s="279"/>
      <c r="H17" s="510"/>
    </row>
    <row r="18" spans="1:10" ht="86.25" customHeight="1" x14ac:dyDescent="0.25">
      <c r="A18" s="825"/>
      <c r="B18" s="828"/>
      <c r="C18" s="488" t="s">
        <v>15</v>
      </c>
      <c r="D18" s="542"/>
      <c r="E18" s="541"/>
      <c r="F18" s="540"/>
      <c r="G18" s="540"/>
      <c r="H18" s="194"/>
    </row>
    <row r="19" spans="1:10" ht="86.25" customHeight="1" thickBot="1" x14ac:dyDescent="0.3">
      <c r="A19" s="826"/>
      <c r="B19" s="755"/>
      <c r="C19" s="506" t="s">
        <v>60</v>
      </c>
      <c r="D19" s="582"/>
      <c r="E19" s="430"/>
      <c r="F19" s="583"/>
      <c r="G19" s="583"/>
      <c r="H19" s="584"/>
      <c r="J19" s="3"/>
    </row>
    <row r="20" spans="1:10" ht="86.25" customHeight="1" x14ac:dyDescent="0.25">
      <c r="A20" s="825" t="s">
        <v>2</v>
      </c>
      <c r="B20" s="747">
        <f>B14+1</f>
        <v>46386</v>
      </c>
      <c r="C20" s="483" t="s">
        <v>10</v>
      </c>
      <c r="D20" s="539"/>
      <c r="E20" s="466"/>
      <c r="F20" s="383"/>
      <c r="G20" s="466"/>
      <c r="H20" s="467"/>
    </row>
    <row r="21" spans="1:10" ht="86.25" customHeight="1" x14ac:dyDescent="0.25">
      <c r="A21" s="825"/>
      <c r="B21" s="746"/>
      <c r="C21" s="484" t="s">
        <v>11</v>
      </c>
      <c r="D21" s="278"/>
      <c r="E21" s="279"/>
      <c r="F21" s="279"/>
      <c r="G21" s="279"/>
      <c r="H21" s="280"/>
    </row>
    <row r="22" spans="1:10" ht="86.25" customHeight="1" x14ac:dyDescent="0.25">
      <c r="A22" s="825"/>
      <c r="B22" s="746"/>
      <c r="C22" s="484" t="s">
        <v>12</v>
      </c>
      <c r="D22" s="418"/>
      <c r="E22" s="410"/>
      <c r="F22" s="279"/>
      <c r="G22" s="279"/>
      <c r="H22" s="510"/>
      <c r="J22" s="3"/>
    </row>
    <row r="23" spans="1:10" ht="86.25" customHeight="1" x14ac:dyDescent="0.25">
      <c r="A23" s="825"/>
      <c r="B23" s="746"/>
      <c r="C23" s="484" t="s">
        <v>13</v>
      </c>
      <c r="D23" s="418"/>
      <c r="E23" s="383"/>
      <c r="F23" s="279"/>
      <c r="G23" s="279"/>
      <c r="H23" s="510"/>
    </row>
    <row r="24" spans="1:10" ht="86.25" customHeight="1" thickBot="1" x14ac:dyDescent="0.3">
      <c r="A24" s="826"/>
      <c r="B24" s="746"/>
      <c r="C24" s="485" t="s">
        <v>15</v>
      </c>
      <c r="D24" s="217"/>
      <c r="E24" s="457"/>
      <c r="F24" s="218"/>
      <c r="G24" s="218"/>
      <c r="H24" s="219"/>
    </row>
    <row r="25" spans="1:10" ht="63" customHeight="1" x14ac:dyDescent="0.25">
      <c r="A25" s="822" t="s">
        <v>3</v>
      </c>
      <c r="B25" s="748">
        <f>B20+1</f>
        <v>46387</v>
      </c>
      <c r="C25" s="504" t="s">
        <v>10</v>
      </c>
      <c r="D25" s="609"/>
      <c r="E25" s="610"/>
      <c r="F25" s="610"/>
      <c r="G25" s="610"/>
      <c r="H25" s="611"/>
    </row>
    <row r="26" spans="1:10" ht="63" customHeight="1" x14ac:dyDescent="0.25">
      <c r="A26" s="833"/>
      <c r="B26" s="746"/>
      <c r="C26" s="505" t="s">
        <v>11</v>
      </c>
      <c r="D26" s="527"/>
      <c r="E26" s="561"/>
      <c r="F26" s="561"/>
      <c r="G26" s="561"/>
      <c r="H26" s="562"/>
    </row>
    <row r="27" spans="1:10" ht="63" customHeight="1" x14ac:dyDescent="0.25">
      <c r="A27" s="833"/>
      <c r="B27" s="746"/>
      <c r="C27" s="505" t="s">
        <v>12</v>
      </c>
      <c r="D27" s="536"/>
      <c r="E27" s="537"/>
      <c r="F27" s="612"/>
      <c r="G27" s="604"/>
      <c r="H27" s="613"/>
    </row>
    <row r="28" spans="1:10" ht="63" customHeight="1" x14ac:dyDescent="0.25">
      <c r="A28" s="833"/>
      <c r="B28" s="746"/>
      <c r="C28" s="505" t="s">
        <v>13</v>
      </c>
      <c r="D28" s="614"/>
      <c r="E28" s="537"/>
      <c r="F28" s="537"/>
      <c r="G28" s="604"/>
      <c r="H28" s="613"/>
    </row>
    <row r="29" spans="1:10" ht="63" customHeight="1" thickBot="1" x14ac:dyDescent="0.3">
      <c r="A29" s="834"/>
      <c r="B29" s="746"/>
      <c r="C29" s="506" t="s">
        <v>15</v>
      </c>
      <c r="D29" s="615"/>
      <c r="E29" s="616"/>
      <c r="F29" s="617"/>
      <c r="G29" s="617"/>
      <c r="H29" s="618"/>
    </row>
    <row r="30" spans="1:10" ht="63" customHeight="1" x14ac:dyDescent="0.25">
      <c r="A30" s="830" t="s">
        <v>4</v>
      </c>
      <c r="B30" s="772">
        <f>B25+1</f>
        <v>46388</v>
      </c>
      <c r="C30" s="553" t="s">
        <v>10</v>
      </c>
      <c r="D30" s="556"/>
      <c r="E30" s="525"/>
      <c r="F30" s="557"/>
      <c r="G30" s="534"/>
      <c r="H30" s="558"/>
    </row>
    <row r="31" spans="1:10" ht="63" customHeight="1" x14ac:dyDescent="0.25">
      <c r="A31" s="831"/>
      <c r="B31" s="773"/>
      <c r="C31" s="490" t="s">
        <v>11</v>
      </c>
      <c r="D31" s="619"/>
      <c r="E31" s="389"/>
      <c r="F31" s="559"/>
      <c r="G31" s="529"/>
      <c r="H31" s="560"/>
    </row>
    <row r="32" spans="1:10" ht="63" customHeight="1" x14ac:dyDescent="0.25">
      <c r="A32" s="831"/>
      <c r="B32" s="773"/>
      <c r="C32" s="490" t="s">
        <v>12</v>
      </c>
      <c r="D32" s="527"/>
      <c r="E32" s="561"/>
      <c r="F32" s="561"/>
      <c r="G32" s="389"/>
      <c r="H32" s="562"/>
    </row>
    <row r="33" spans="1:8" ht="63" customHeight="1" x14ac:dyDescent="0.25">
      <c r="A33" s="831"/>
      <c r="B33" s="773"/>
      <c r="C33" s="490" t="s">
        <v>13</v>
      </c>
      <c r="D33" s="527"/>
      <c r="E33" s="561"/>
      <c r="F33" s="561"/>
      <c r="G33" s="526"/>
      <c r="H33" s="562"/>
    </row>
    <row r="34" spans="1:8" ht="63" customHeight="1" thickBot="1" x14ac:dyDescent="0.3">
      <c r="A34" s="832"/>
      <c r="B34" s="773"/>
      <c r="C34" s="554" t="s">
        <v>15</v>
      </c>
      <c r="D34" s="563"/>
      <c r="E34" s="564"/>
      <c r="F34" s="564"/>
      <c r="G34" s="564"/>
      <c r="H34" s="565"/>
    </row>
    <row r="35" spans="1:8" ht="63" customHeight="1" x14ac:dyDescent="0.25">
      <c r="A35" s="829" t="s">
        <v>47</v>
      </c>
      <c r="B35" s="772">
        <f>B30+1</f>
        <v>46389</v>
      </c>
      <c r="C35" s="214" t="s">
        <v>10</v>
      </c>
      <c r="D35" s="620"/>
      <c r="E35" s="621"/>
      <c r="F35" s="621"/>
      <c r="G35" s="621"/>
      <c r="H35" s="622"/>
    </row>
    <row r="36" spans="1:8" ht="63" customHeight="1" x14ac:dyDescent="0.25">
      <c r="A36" s="773"/>
      <c r="B36" s="773"/>
      <c r="C36" s="212" t="s">
        <v>11</v>
      </c>
      <c r="D36" s="623"/>
      <c r="E36" s="624"/>
      <c r="F36" s="624"/>
      <c r="G36" s="624"/>
      <c r="H36" s="625"/>
    </row>
    <row r="37" spans="1:8" ht="63" customHeight="1" x14ac:dyDescent="0.25">
      <c r="A37" s="773"/>
      <c r="B37" s="773"/>
      <c r="C37" s="212" t="s">
        <v>12</v>
      </c>
      <c r="D37" s="623"/>
      <c r="E37" s="624"/>
      <c r="F37" s="624"/>
      <c r="G37" s="624"/>
      <c r="H37" s="626"/>
    </row>
    <row r="38" spans="1:8" ht="63" customHeight="1" x14ac:dyDescent="0.25">
      <c r="A38" s="773"/>
      <c r="B38" s="773"/>
      <c r="C38" s="212" t="s">
        <v>13</v>
      </c>
      <c r="D38" s="623"/>
      <c r="E38" s="624"/>
      <c r="F38" s="624"/>
      <c r="G38" s="624"/>
      <c r="H38" s="625"/>
    </row>
    <row r="39" spans="1:8" ht="63" customHeight="1" thickBot="1" x14ac:dyDescent="0.3">
      <c r="A39" s="774"/>
      <c r="B39" s="774"/>
      <c r="C39" s="213" t="s">
        <v>15</v>
      </c>
      <c r="D39" s="627"/>
      <c r="E39" s="628"/>
      <c r="F39" s="628"/>
      <c r="G39" s="628"/>
      <c r="H39" s="629"/>
    </row>
    <row r="40" spans="1:8" ht="28.5" customHeight="1" x14ac:dyDescent="0.3">
      <c r="A40" s="2"/>
      <c r="B40" s="2"/>
      <c r="C40" s="44"/>
      <c r="D40" s="181" t="s">
        <v>82</v>
      </c>
      <c r="E40" s="44"/>
      <c r="F40" s="44"/>
      <c r="G40" s="44"/>
      <c r="H40" s="44"/>
    </row>
    <row r="41" spans="1:8" s="19" customFormat="1" ht="26.25" x14ac:dyDescent="0.4">
      <c r="A41" s="18"/>
      <c r="B41" s="530">
        <v>12</v>
      </c>
      <c r="C41" s="439" t="str">
        <f>'01.09'!C39</f>
        <v>*Л. Физиология человека*</v>
      </c>
      <c r="D41" s="112">
        <f>'21.12'!D40+COUNTIF(D$9:D$39,$C41)</f>
        <v>12</v>
      </c>
      <c r="E41" s="112">
        <f>'21.12'!E40+COUNTIF(E$9:E$39,$C41)</f>
        <v>12</v>
      </c>
      <c r="F41" s="112">
        <f>'21.12'!F40+COUNTIF(F$9:F$39,$C41)</f>
        <v>12</v>
      </c>
      <c r="G41" s="112">
        <f>'21.12'!G40+COUNTIF(G$9:G$39,$C41)</f>
        <v>12</v>
      </c>
      <c r="H41" s="112">
        <f>'21.12'!H40+COUNTIF(H$9:H$39,$C41)</f>
        <v>12</v>
      </c>
    </row>
    <row r="42" spans="1:8" s="19" customFormat="1" ht="26.25" x14ac:dyDescent="0.4">
      <c r="A42" s="18"/>
      <c r="B42" s="530">
        <v>28</v>
      </c>
      <c r="C42" s="439" t="str">
        <f>'01.09'!C40</f>
        <v>*Пр. Физиология человека*</v>
      </c>
      <c r="D42" s="112">
        <f>'21.12'!D41+COUNTIF(D$9:D$39,$C42)</f>
        <v>19</v>
      </c>
      <c r="E42" s="112">
        <f>'21.12'!E41+COUNTIF(E$9:E$39,$C42)</f>
        <v>20</v>
      </c>
      <c r="F42" s="112">
        <f>'21.12'!F41+COUNTIF(F$9:F$39,$C42)</f>
        <v>19</v>
      </c>
      <c r="G42" s="112">
        <f>'21.12'!G41+COUNTIF(G$9:G$39,$C42)</f>
        <v>20</v>
      </c>
      <c r="H42" s="112">
        <f>'21.12'!H41+COUNTIF(H$9:H$39,$C42)</f>
        <v>20</v>
      </c>
    </row>
    <row r="43" spans="1:8" s="19" customFormat="1" ht="26.25" x14ac:dyDescent="0.4">
      <c r="A43" s="18"/>
      <c r="B43" s="630">
        <v>1</v>
      </c>
      <c r="C43" s="439" t="str">
        <f>'01.09'!C41</f>
        <v>*Л. Элективные дисциплины по ФКиС: Фехтование*</v>
      </c>
      <c r="D43" s="112">
        <f>'21.12'!D42+COUNTIF(D$9:D$39,$C43)</f>
        <v>1</v>
      </c>
      <c r="E43" s="112">
        <f>'21.12'!E42+COUNTIF(E$9:E$39,$C43)</f>
        <v>1</v>
      </c>
      <c r="F43" s="112">
        <f>'21.12'!F42+COUNTIF(F$9:F$39,$C43)</f>
        <v>1</v>
      </c>
      <c r="G43" s="112">
        <f>'21.12'!G42+COUNTIF(G$9:G$39,$C43)</f>
        <v>1</v>
      </c>
      <c r="H43" s="112">
        <f>'21.12'!H42+COUNTIF(H$9:H$39,$C43)</f>
        <v>1</v>
      </c>
    </row>
    <row r="44" spans="1:8" s="19" customFormat="1" ht="26.25" x14ac:dyDescent="0.4">
      <c r="A44" s="18"/>
      <c r="B44" s="630">
        <v>9</v>
      </c>
      <c r="C44" s="439" t="str">
        <f>'01.09'!C42</f>
        <v>*Пр. Элективные дисциплины по ФКиС: Фехтование*</v>
      </c>
      <c r="D44" s="112">
        <f>'21.12'!D43+COUNTIF(D$9:D$39,$C44)</f>
        <v>6</v>
      </c>
      <c r="E44" s="112">
        <f>'21.12'!E43+COUNTIF(E$9:E$39,$C44)</f>
        <v>6</v>
      </c>
      <c r="F44" s="112">
        <f>'21.12'!F43+COUNTIF(F$9:F$39,$C44)</f>
        <v>6</v>
      </c>
      <c r="G44" s="112">
        <f>'21.12'!G43+COUNTIF(G$9:G$39,$C44)</f>
        <v>6</v>
      </c>
      <c r="H44" s="112">
        <f>'21.12'!H43+COUNTIF(H$9:H$39,$C44)</f>
        <v>6</v>
      </c>
    </row>
    <row r="45" spans="1:8" s="19" customFormat="1" ht="26.25" x14ac:dyDescent="0.4">
      <c r="A45" s="18"/>
      <c r="B45" s="530">
        <v>5</v>
      </c>
      <c r="C45" s="439" t="str">
        <f>'01.09'!C43</f>
        <v>*Л. Педагогика физической культуры и спорта*</v>
      </c>
      <c r="D45" s="112">
        <f>'21.12'!D44+COUNTIF(D$9:D$39,$C45)</f>
        <v>5</v>
      </c>
      <c r="E45" s="112">
        <f>'21.12'!E44+COUNTIF(E$9:E$39,$C45)</f>
        <v>5</v>
      </c>
      <c r="F45" s="112">
        <f>'21.12'!F44+COUNTIF(F$9:F$39,$C45)</f>
        <v>5</v>
      </c>
      <c r="G45" s="112">
        <f>'21.12'!G44+COUNTIF(G$9:G$39,$C45)</f>
        <v>5</v>
      </c>
      <c r="H45" s="112">
        <f>'21.12'!H44+COUNTIF(H$9:H$39,$C45)</f>
        <v>5</v>
      </c>
    </row>
    <row r="46" spans="1:8" s="19" customFormat="1" ht="26.25" x14ac:dyDescent="0.4">
      <c r="A46" s="18"/>
      <c r="B46" s="530">
        <v>11</v>
      </c>
      <c r="C46" s="439" t="str">
        <f>'01.09'!C44</f>
        <v>*Пр. Педагогика физической культуры и спорта*</v>
      </c>
      <c r="D46" s="112">
        <f>'21.12'!D45+COUNTIF(D$9:D$39,$C46)</f>
        <v>6</v>
      </c>
      <c r="E46" s="112">
        <f>'21.12'!E45+COUNTIF(E$9:E$39,$C46)</f>
        <v>5</v>
      </c>
      <c r="F46" s="112">
        <f>'21.12'!F45+COUNTIF(F$9:F$39,$C46)</f>
        <v>5</v>
      </c>
      <c r="G46" s="112">
        <f>'21.12'!G45+COUNTIF(G$9:G$39,$C46)</f>
        <v>5</v>
      </c>
      <c r="H46" s="112">
        <f>'21.12'!H45+COUNTIF(H$9:H$39,$C46)</f>
        <v>4</v>
      </c>
    </row>
    <row r="47" spans="1:8" s="19" customFormat="1" ht="26.25" x14ac:dyDescent="0.4">
      <c r="A47" s="18"/>
      <c r="B47" s="530">
        <v>5</v>
      </c>
      <c r="C47" s="439" t="str">
        <f>'01.09'!C45</f>
        <v>*Л. Теория и методика*</v>
      </c>
      <c r="D47" s="112">
        <f>'21.12'!D46+COUNTIF(D$9:D$39,$C47)</f>
        <v>4</v>
      </c>
      <c r="E47" s="112">
        <f>'21.12'!E46+COUNTIF(E$9:E$39,$C47)</f>
        <v>4</v>
      </c>
      <c r="F47" s="112">
        <f>'21.12'!F46+COUNTIF(F$9:F$39,$C47)</f>
        <v>4</v>
      </c>
      <c r="G47" s="112">
        <f>'21.12'!G46+COUNTIF(G$9:G$39,$C47)</f>
        <v>4</v>
      </c>
      <c r="H47" s="112">
        <f>'21.12'!H46+COUNTIF(H$9:H$39,$C47)</f>
        <v>4</v>
      </c>
    </row>
    <row r="48" spans="1:8" s="19" customFormat="1" ht="26.25" x14ac:dyDescent="0.4">
      <c r="A48" s="18"/>
      <c r="B48" s="530">
        <v>35</v>
      </c>
      <c r="C48" s="439" t="str">
        <f>'01.09'!C46</f>
        <v>*Пр. Теория и методика*</v>
      </c>
      <c r="D48" s="112">
        <f>'21.12'!D47+COUNTIF(D$9:D$39,$C48)</f>
        <v>27</v>
      </c>
      <c r="E48" s="112">
        <f>'21.12'!E47+COUNTIF(E$9:E$39,$C48)</f>
        <v>27</v>
      </c>
      <c r="F48" s="112">
        <f>'21.12'!F47+COUNTIF(F$9:F$39,$C48)</f>
        <v>27</v>
      </c>
      <c r="G48" s="112">
        <f>'21.12'!G47+COUNTIF(G$9:G$39,$C48)</f>
        <v>27</v>
      </c>
      <c r="H48" s="112">
        <f>'21.12'!H47+COUNTIF(H$9:H$39,$C48)</f>
        <v>25</v>
      </c>
    </row>
    <row r="49" spans="1:8" s="19" customFormat="1" ht="26.25" x14ac:dyDescent="0.4">
      <c r="A49" s="18"/>
      <c r="B49" s="530">
        <v>10</v>
      </c>
      <c r="C49" s="439" t="str">
        <f>'01.09'!C47</f>
        <v>*Л.  Теория и методика физической культуры*</v>
      </c>
      <c r="D49" s="112">
        <f>'21.12'!D48+COUNTIF(D$9:D$39,$C49)</f>
        <v>10</v>
      </c>
      <c r="E49" s="112">
        <f>'21.12'!E48+COUNTIF(E$9:E$39,$C49)</f>
        <v>10</v>
      </c>
      <c r="F49" s="112">
        <f>'21.12'!F48+COUNTIF(F$9:F$39,$C49)</f>
        <v>10</v>
      </c>
      <c r="G49" s="112">
        <f>'21.12'!G48+COUNTIF(G$9:G$39,$C49)</f>
        <v>10</v>
      </c>
      <c r="H49" s="112">
        <f>'21.12'!H48+COUNTIF(H$9:H$39,$C49)</f>
        <v>10</v>
      </c>
    </row>
    <row r="50" spans="1:8" s="19" customFormat="1" ht="26.25" x14ac:dyDescent="0.4">
      <c r="A50" s="18"/>
      <c r="B50" s="530">
        <v>9</v>
      </c>
      <c r="C50" s="439" t="str">
        <f>'01.09'!C48</f>
        <v>*Пр.  Теория и методика физической культуры*</v>
      </c>
      <c r="D50" s="112">
        <f>'21.12'!D49+COUNTIF(D$9:D$39,$C50)</f>
        <v>6</v>
      </c>
      <c r="E50" s="112">
        <f>'21.12'!E49+COUNTIF(E$9:E$39,$C50)</f>
        <v>6</v>
      </c>
      <c r="F50" s="112">
        <f>'21.12'!F49+COUNTIF(F$9:F$39,$C50)</f>
        <v>6</v>
      </c>
      <c r="G50" s="112">
        <f>'21.12'!G49+COUNTIF(G$9:G$39,$C50)</f>
        <v>5</v>
      </c>
      <c r="H50" s="112">
        <f>'21.12'!H49+COUNTIF(H$9:H$39,$C50)</f>
        <v>5</v>
      </c>
    </row>
    <row r="51" spans="1:8" s="19" customFormat="1" ht="26.25" x14ac:dyDescent="0.4">
      <c r="A51" s="18"/>
      <c r="B51" s="530">
        <v>2</v>
      </c>
      <c r="C51" s="439" t="str">
        <f>'01.09'!C49</f>
        <v>*Л. Плавание*</v>
      </c>
      <c r="D51" s="112">
        <f>'21.12'!D50+COUNTIF(D$9:D$39,$C51)</f>
        <v>2</v>
      </c>
      <c r="E51" s="112">
        <f>'21.12'!E50+COUNTIF(E$9:E$39,$C51)</f>
        <v>2</v>
      </c>
      <c r="F51" s="112">
        <f>'21.12'!F50+COUNTIF(F$9:F$39,$C51)</f>
        <v>2</v>
      </c>
      <c r="G51" s="112">
        <f>'21.12'!G50+COUNTIF(G$9:G$39,$C51)</f>
        <v>2</v>
      </c>
      <c r="H51" s="112">
        <f>'21.12'!H50+COUNTIF(H$9:H$39,$C51)</f>
        <v>2</v>
      </c>
    </row>
    <row r="52" spans="1:8" s="19" customFormat="1" ht="26.25" x14ac:dyDescent="0.4">
      <c r="A52" s="18"/>
      <c r="B52" s="530">
        <v>30</v>
      </c>
      <c r="C52" s="439" t="str">
        <f>'01.09'!C50</f>
        <v>*Пр. Плавание*</v>
      </c>
      <c r="D52" s="112">
        <f>'21.12'!D51+COUNTIF(D$9:D$39,$C52)</f>
        <v>18</v>
      </c>
      <c r="E52" s="112">
        <f>'21.12'!E51+COUNTIF(E$9:E$39,$C52)</f>
        <v>18</v>
      </c>
      <c r="F52" s="112">
        <f>'21.12'!F51+COUNTIF(F$9:F$39,$C52)</f>
        <v>20</v>
      </c>
      <c r="G52" s="112">
        <f>'21.12'!G51+COUNTIF(G$9:G$39,$C52)</f>
        <v>20</v>
      </c>
      <c r="H52" s="112">
        <f>'21.12'!H51+COUNTIF(H$9:H$39,$C52)</f>
        <v>20</v>
      </c>
    </row>
    <row r="53" spans="1:8" s="19" customFormat="1" ht="26.25" x14ac:dyDescent="0.4">
      <c r="A53" s="18"/>
      <c r="B53" s="530">
        <v>1</v>
      </c>
      <c r="C53" s="439" t="str">
        <f>'01.09'!C51</f>
        <v>*Л. Подвижные игры в спорте и образовании*</v>
      </c>
      <c r="D53" s="112">
        <f>'21.12'!D52+COUNTIF(D$9:D$39,$C53)</f>
        <v>1</v>
      </c>
      <c r="E53" s="112">
        <f>'21.12'!E52+COUNTIF(E$9:E$39,$C53)</f>
        <v>1</v>
      </c>
      <c r="F53" s="112">
        <f>'21.12'!F52+COUNTIF(F$9:F$39,$C53)</f>
        <v>1</v>
      </c>
      <c r="G53" s="112">
        <f>'21.12'!G52+COUNTIF(G$9:G$39,$C53)</f>
        <v>1</v>
      </c>
      <c r="H53" s="112">
        <f>'21.12'!H52+COUNTIF(H$9:H$39,$C53)</f>
        <v>1</v>
      </c>
    </row>
    <row r="54" spans="1:8" s="19" customFormat="1" ht="26.25" x14ac:dyDescent="0.4">
      <c r="A54" s="18"/>
      <c r="B54" s="631">
        <v>15</v>
      </c>
      <c r="C54" s="439" t="str">
        <f>'01.09'!C52</f>
        <v>*Пр. Подвижные игры в спорте и образовании*</v>
      </c>
      <c r="D54" s="112">
        <f>'21.12'!D53+COUNTIF(D$9:D$39,$C54)</f>
        <v>10</v>
      </c>
      <c r="E54" s="112">
        <f>'21.12'!E53+COUNTIF(E$9:E$39,$C54)</f>
        <v>10</v>
      </c>
      <c r="F54" s="112">
        <f>'21.12'!F53+COUNTIF(F$9:F$39,$C54)</f>
        <v>9</v>
      </c>
      <c r="G54" s="112">
        <f>'21.12'!G53+COUNTIF(G$9:G$39,$C54)</f>
        <v>10</v>
      </c>
      <c r="H54" s="112">
        <f>'21.12'!H53+COUNTIF(H$9:H$39,$C54)</f>
        <v>10</v>
      </c>
    </row>
    <row r="55" spans="1:8" s="19" customFormat="1" ht="26.25" x14ac:dyDescent="0.4">
      <c r="A55" s="18"/>
      <c r="B55" s="530">
        <v>1</v>
      </c>
      <c r="C55" s="439" t="str">
        <f>'01.09'!C53</f>
        <v>*Л. Самооборона (самбо)*</v>
      </c>
      <c r="D55" s="112">
        <f>'21.12'!D54+COUNTIF(D$9:D$39,$C55)</f>
        <v>1</v>
      </c>
      <c r="E55" s="112">
        <f>'21.12'!E54+COUNTIF(E$9:E$39,$C55)</f>
        <v>1</v>
      </c>
      <c r="F55" s="112">
        <f>'21.12'!F54+COUNTIF(F$9:F$39,$C55)</f>
        <v>1</v>
      </c>
      <c r="G55" s="112">
        <f>'21.12'!G54+COUNTIF(G$9:G$39,$C55)</f>
        <v>1</v>
      </c>
      <c r="H55" s="112">
        <f>'21.12'!H54+COUNTIF(H$9:H$39,$C55)</f>
        <v>1</v>
      </c>
    </row>
    <row r="56" spans="1:8" s="19" customFormat="1" ht="26.25" x14ac:dyDescent="0.4">
      <c r="A56" s="18"/>
      <c r="B56" s="530">
        <v>15</v>
      </c>
      <c r="C56" s="439" t="str">
        <f>'01.09'!C54</f>
        <v>*Пр. Самооборона (самбо)*</v>
      </c>
      <c r="D56" s="112">
        <f>'21.12'!D55+COUNTIF(D$9:D$39,$C56)</f>
        <v>10</v>
      </c>
      <c r="E56" s="112">
        <f>'21.12'!E55+COUNTIF(E$9:E$39,$C56)</f>
        <v>10</v>
      </c>
      <c r="F56" s="112">
        <f>'21.12'!F55+COUNTIF(F$9:F$39,$C56)</f>
        <v>9</v>
      </c>
      <c r="G56" s="112">
        <f>'21.12'!G55+COUNTIF(G$9:G$39,$C56)</f>
        <v>10</v>
      </c>
      <c r="H56" s="112">
        <f>'21.12'!H55+COUNTIF(H$9:H$39,$C56)</f>
        <v>10</v>
      </c>
    </row>
    <row r="57" spans="1:8" s="19" customFormat="1" ht="26.25" x14ac:dyDescent="0.4">
      <c r="A57" s="18"/>
      <c r="B57" s="530">
        <v>3</v>
      </c>
      <c r="C57" s="439" t="str">
        <f>'01.09'!C55</f>
        <v>*Л. Методика реализации программ*</v>
      </c>
      <c r="D57" s="112">
        <f>'21.12'!D56+COUNTIF(D$9:D$39,$C57)</f>
        <v>3</v>
      </c>
      <c r="E57" s="228">
        <f>'21.12'!E56+COUNTIF(E$9:E$39,$C57)</f>
        <v>3</v>
      </c>
      <c r="F57" s="228">
        <f>'21.12'!F56+COUNTIF(F$9:F$39,$C57)</f>
        <v>3</v>
      </c>
      <c r="G57" s="228">
        <f>'21.12'!G56+COUNTIF(G$9:G$39,$C57)</f>
        <v>3</v>
      </c>
      <c r="H57" s="228">
        <f>'21.12'!H56+COUNTIF(H$9:H$39,$C57)</f>
        <v>3</v>
      </c>
    </row>
    <row r="58" spans="1:8" s="19" customFormat="1" ht="26.25" x14ac:dyDescent="0.4">
      <c r="A58" s="18"/>
      <c r="B58" s="530">
        <v>11</v>
      </c>
      <c r="C58" s="439" t="str">
        <f>'01.09'!C56</f>
        <v>*Пр. Методика реализации программ*</v>
      </c>
      <c r="D58" s="112">
        <f>'21.12'!D57+COUNTIF(D$9:D$39,$C58)</f>
        <v>6</v>
      </c>
      <c r="E58" s="112">
        <f>'21.12'!E57+COUNTIF(E$9:E$39,$C58)</f>
        <v>6</v>
      </c>
      <c r="F58" s="112">
        <f>'21.12'!F57+COUNTIF(F$9:F$39,$C58)</f>
        <v>6</v>
      </c>
      <c r="G58" s="112">
        <f>'21.12'!G57+COUNTIF(G$9:G$39,$C58)</f>
        <v>6</v>
      </c>
      <c r="H58" s="112">
        <f>'21.12'!H57+COUNTIF(H$9:H$39,$C58)</f>
        <v>6</v>
      </c>
    </row>
    <row r="59" spans="1:8" s="19" customFormat="1" ht="26.25" x14ac:dyDescent="0.4">
      <c r="A59" s="18"/>
      <c r="B59" s="530">
        <v>3</v>
      </c>
      <c r="C59" s="439" t="str">
        <f>'01.09'!C57</f>
        <v>*Л. Методика преподавания*</v>
      </c>
      <c r="D59" s="112">
        <f>'21.12'!D58+COUNTIF(D$9:D$39,$C59)</f>
        <v>3</v>
      </c>
      <c r="E59" s="112">
        <f>'21.12'!E58+COUNTIF(E$9:E$39,$C59)</f>
        <v>3</v>
      </c>
      <c r="F59" s="112">
        <f>'21.12'!F58+COUNTIF(F$9:F$39,$C59)</f>
        <v>3</v>
      </c>
      <c r="G59" s="112">
        <f>'21.12'!G58+COUNTIF(G$9:G$39,$C59)</f>
        <v>3</v>
      </c>
      <c r="H59" s="112">
        <f>'21.12'!H58+COUNTIF(H$9:H$39,$C59)</f>
        <v>3</v>
      </c>
    </row>
    <row r="60" spans="1:8" s="19" customFormat="1" ht="26.25" x14ac:dyDescent="0.4">
      <c r="A60" s="18"/>
      <c r="B60" s="530">
        <v>11</v>
      </c>
      <c r="C60" s="109" t="str">
        <f>'01.09'!C58</f>
        <v>*Пр. Методика преподавания*</v>
      </c>
      <c r="D60" s="112">
        <f>'21.12'!D59+COUNTIF(D$9:D$39,$C60)</f>
        <v>6</v>
      </c>
      <c r="E60" s="112">
        <f>'21.12'!E59+COUNTIF(E$9:E$39,$C60)</f>
        <v>6</v>
      </c>
      <c r="F60" s="112">
        <f>'21.12'!F59+COUNTIF(F$9:F$39,$C60)</f>
        <v>6</v>
      </c>
      <c r="G60" s="112">
        <f>'21.12'!G59+COUNTIF(G$9:G$39,$C60)</f>
        <v>6</v>
      </c>
      <c r="H60" s="112">
        <f>'21.12'!H59+COUNTIF(H$9:H$39,$C60)</f>
        <v>6</v>
      </c>
    </row>
    <row r="61" spans="1:8" s="19" customFormat="1" ht="26.25" x14ac:dyDescent="0.4">
      <c r="A61" s="18"/>
      <c r="B61" s="215"/>
      <c r="C61" s="109">
        <f>'01.09'!C59</f>
        <v>0</v>
      </c>
      <c r="D61" s="112">
        <f>'21.12'!D60+COUNTIF(D$9:D$39,$C61)</f>
        <v>0</v>
      </c>
      <c r="E61" s="112">
        <f>'21.12'!E60+COUNTIF(E$9:E$39,$C61)</f>
        <v>0</v>
      </c>
      <c r="F61" s="112">
        <f>'21.12'!F60+COUNTIF(F$9:F$39,$C61)</f>
        <v>0</v>
      </c>
      <c r="G61" s="112">
        <f>'21.12'!G60+COUNTIF(G$9:G$39,$C61)</f>
        <v>0</v>
      </c>
      <c r="H61" s="112">
        <f>'21.12'!H60+COUNTIF(H$9:H$39,$C61)</f>
        <v>0</v>
      </c>
    </row>
    <row r="62" spans="1:8" s="19" customFormat="1" ht="26.25" x14ac:dyDescent="0.4">
      <c r="A62" s="18"/>
      <c r="B62" s="45"/>
      <c r="C62" s="109">
        <f>'01.09'!C60</f>
        <v>0</v>
      </c>
      <c r="D62" s="112">
        <f>'21.12'!D61+COUNTIF(D$9:D$39,$C62)</f>
        <v>0</v>
      </c>
      <c r="E62" s="112">
        <f>'21.12'!E61+COUNTIF(E$9:E$39,$C62)</f>
        <v>0</v>
      </c>
      <c r="F62" s="112">
        <f>'21.12'!F61+COUNTIF(F$9:F$39,$C62)</f>
        <v>0</v>
      </c>
      <c r="G62" s="112">
        <f>'21.12'!G61+COUNTIF(G$9:G$39,$C62)</f>
        <v>0</v>
      </c>
      <c r="H62" s="112">
        <f>'21.12'!H61+COUNTIF(H$9:H$39,$C62)</f>
        <v>0</v>
      </c>
    </row>
    <row r="63" spans="1:8" ht="26.25" x14ac:dyDescent="0.4">
      <c r="A63" s="2"/>
      <c r="B63" s="2"/>
      <c r="C63" s="109">
        <f>'01.09'!C61</f>
        <v>0</v>
      </c>
      <c r="D63" s="112">
        <f>'21.12'!D62+COUNTIF(D$9:D$39,$C63)</f>
        <v>0</v>
      </c>
      <c r="E63" s="112">
        <f>'21.12'!E62+COUNTIF(E$9:E$39,$C63)</f>
        <v>0</v>
      </c>
      <c r="F63" s="112">
        <f>'21.12'!F62+COUNTIF(F$9:F$39,$C63)</f>
        <v>0</v>
      </c>
      <c r="G63" s="112">
        <f>'21.12'!G62+COUNTIF(G$9:G$39,$C63)</f>
        <v>0</v>
      </c>
      <c r="H63" s="112">
        <f>'21.12'!H62+COUNTIF(H$9:H$39,$C63)</f>
        <v>0</v>
      </c>
    </row>
    <row r="64" spans="1:8" ht="26.25" x14ac:dyDescent="0.4">
      <c r="A64" s="2"/>
      <c r="B64" s="2"/>
      <c r="C64" s="109">
        <f>'01.09'!C62</f>
        <v>0</v>
      </c>
      <c r="D64" s="112">
        <f>'21.12'!D63+COUNTIF(D$9:D$39,$C64)</f>
        <v>0</v>
      </c>
      <c r="E64" s="112">
        <f>'21.12'!E63+COUNTIF(E$9:E$39,$C64)</f>
        <v>0</v>
      </c>
      <c r="F64" s="112">
        <f>'21.12'!F63+COUNTIF(F$9:F$39,$C64)</f>
        <v>0</v>
      </c>
      <c r="G64" s="112">
        <f>'21.12'!G63+COUNTIF(G$9:G$39,$C64)</f>
        <v>0</v>
      </c>
      <c r="H64" s="112">
        <f>'21.12'!H63+COUNTIF(H$9:H$39,$C64)</f>
        <v>0</v>
      </c>
    </row>
    <row r="65" spans="1:8" ht="26.25" x14ac:dyDescent="0.4">
      <c r="A65" s="2"/>
      <c r="B65" s="2"/>
      <c r="C65" s="109">
        <f>'01.09'!C63</f>
        <v>0</v>
      </c>
      <c r="D65" s="112">
        <f>'21.12'!D64+COUNTIF(D$9:D$39,$C65)</f>
        <v>0</v>
      </c>
      <c r="E65" s="112">
        <f>'21.12'!E64+COUNTIF(E$9:E$39,$C65)</f>
        <v>0</v>
      </c>
      <c r="F65" s="112">
        <f>'21.12'!F64+COUNTIF(F$9:F$39,$C65)</f>
        <v>0</v>
      </c>
      <c r="G65" s="112">
        <f>'21.12'!G64+COUNTIF(G$9:G$39,$C65)</f>
        <v>0</v>
      </c>
      <c r="H65" s="112">
        <f>'21.12'!H64+COUNTIF(H$9:H$39,$C65)</f>
        <v>0</v>
      </c>
    </row>
    <row r="66" spans="1:8" ht="26.25" x14ac:dyDescent="0.4">
      <c r="A66" s="2"/>
      <c r="B66" s="2"/>
      <c r="C66" s="109">
        <f>'01.09'!C64</f>
        <v>0</v>
      </c>
      <c r="D66" s="112">
        <f>'21.12'!D65+COUNTIF(D$9:D$39,$C66)</f>
        <v>0</v>
      </c>
      <c r="E66" s="112">
        <f>'21.12'!E65+COUNTIF(E$9:E$39,$C66)</f>
        <v>0</v>
      </c>
      <c r="F66" s="112">
        <f>'21.12'!F65+COUNTIF(F$9:F$39,$C66)</f>
        <v>0</v>
      </c>
      <c r="G66" s="112">
        <f>'21.12'!G65+COUNTIF(G$9:G$39,$C66)</f>
        <v>0</v>
      </c>
      <c r="H66" s="112">
        <f>'21.12'!H65+COUNTIF(H$9:H$39,$C66)</f>
        <v>0</v>
      </c>
    </row>
    <row r="67" spans="1:8" ht="26.25" x14ac:dyDescent="0.4">
      <c r="A67" s="2"/>
      <c r="B67" s="2"/>
      <c r="C67" s="109">
        <f>'01.09'!C65</f>
        <v>0</v>
      </c>
      <c r="D67" s="112">
        <f>'21.12'!D66+COUNTIF(D$9:D$39,$C67)</f>
        <v>0</v>
      </c>
      <c r="E67" s="112">
        <f>'21.12'!E66+COUNTIF(E$9:E$39,$C67)</f>
        <v>0</v>
      </c>
      <c r="F67" s="112">
        <f>'21.12'!F66+COUNTIF(F$9:F$39,$C67)</f>
        <v>0</v>
      </c>
      <c r="G67" s="112">
        <f>'21.12'!G66+COUNTIF(G$9:G$39,$C67)</f>
        <v>0</v>
      </c>
      <c r="H67" s="112">
        <f>'21.12'!H66+COUNTIF(H$9:H$39,$C67)</f>
        <v>0</v>
      </c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  <row r="73" spans="1:8" x14ac:dyDescent="0.25">
      <c r="A73" s="2"/>
      <c r="B73" s="2"/>
      <c r="C73" s="2"/>
      <c r="D73" s="2"/>
      <c r="E73" s="2"/>
      <c r="F73" s="2"/>
      <c r="G73" s="2"/>
      <c r="H73" s="2"/>
    </row>
  </sheetData>
  <mergeCells count="20">
    <mergeCell ref="A5:H5"/>
    <mergeCell ref="B1:H1"/>
    <mergeCell ref="B2:H2"/>
    <mergeCell ref="B3:H3"/>
    <mergeCell ref="B4:H4"/>
    <mergeCell ref="A35:A39"/>
    <mergeCell ref="B35:B39"/>
    <mergeCell ref="A7:A8"/>
    <mergeCell ref="C7:C8"/>
    <mergeCell ref="A30:A34"/>
    <mergeCell ref="B30:B34"/>
    <mergeCell ref="A9:A13"/>
    <mergeCell ref="B9:B13"/>
    <mergeCell ref="A14:A19"/>
    <mergeCell ref="B14:B19"/>
    <mergeCell ref="A20:A24"/>
    <mergeCell ref="B20:B24"/>
    <mergeCell ref="A25:A29"/>
    <mergeCell ref="B25:B29"/>
    <mergeCell ref="B7:B8"/>
  </mergeCells>
  <phoneticPr fontId="3" type="noConversion"/>
  <conditionalFormatting sqref="D41:H41">
    <cfRule type="cellIs" dxfId="45" priority="20" operator="lessThan">
      <formula>12</formula>
    </cfRule>
  </conditionalFormatting>
  <conditionalFormatting sqref="D42:H42">
    <cfRule type="cellIs" dxfId="44" priority="19" operator="lessThan">
      <formula>28</formula>
    </cfRule>
  </conditionalFormatting>
  <conditionalFormatting sqref="D43:H43">
    <cfRule type="cellIs" dxfId="43" priority="18" operator="lessThan">
      <formula>1</formula>
    </cfRule>
  </conditionalFormatting>
  <conditionalFormatting sqref="D44:H44">
    <cfRule type="cellIs" dxfId="42" priority="17" operator="lessThan">
      <formula>9</formula>
    </cfRule>
  </conditionalFormatting>
  <conditionalFormatting sqref="D45:H45">
    <cfRule type="cellIs" dxfId="41" priority="16" operator="lessThan">
      <formula>5</formula>
    </cfRule>
  </conditionalFormatting>
  <conditionalFormatting sqref="D46:H46">
    <cfRule type="cellIs" dxfId="40" priority="15" operator="lessThan">
      <formula>11</formula>
    </cfRule>
  </conditionalFormatting>
  <conditionalFormatting sqref="D47:H47">
    <cfRule type="cellIs" dxfId="39" priority="14" operator="lessThan">
      <formula>5</formula>
    </cfRule>
  </conditionalFormatting>
  <conditionalFormatting sqref="D48:H48">
    <cfRule type="cellIs" dxfId="38" priority="13" operator="lessThan">
      <formula>35</formula>
    </cfRule>
  </conditionalFormatting>
  <conditionalFormatting sqref="D49:H49">
    <cfRule type="cellIs" dxfId="37" priority="12" operator="lessThan">
      <formula>10</formula>
    </cfRule>
  </conditionalFormatting>
  <conditionalFormatting sqref="D50:H50">
    <cfRule type="cellIs" dxfId="36" priority="11" operator="lessThan">
      <formula>9</formula>
    </cfRule>
  </conditionalFormatting>
  <conditionalFormatting sqref="D51:H51">
    <cfRule type="cellIs" dxfId="35" priority="10" operator="lessThan">
      <formula>2</formula>
    </cfRule>
  </conditionalFormatting>
  <conditionalFormatting sqref="D52:H52">
    <cfRule type="cellIs" dxfId="34" priority="9" operator="lessThan">
      <formula>30</formula>
    </cfRule>
  </conditionalFormatting>
  <conditionalFormatting sqref="D53:H53">
    <cfRule type="cellIs" dxfId="33" priority="8" operator="lessThan">
      <formula>1</formula>
    </cfRule>
  </conditionalFormatting>
  <conditionalFormatting sqref="D54:H54">
    <cfRule type="cellIs" dxfId="32" priority="7" operator="lessThan">
      <formula>15</formula>
    </cfRule>
  </conditionalFormatting>
  <conditionalFormatting sqref="D55:H55">
    <cfRule type="cellIs" dxfId="31" priority="6" operator="lessThan">
      <formula>1</formula>
    </cfRule>
  </conditionalFormatting>
  <conditionalFormatting sqref="D56:H56">
    <cfRule type="cellIs" dxfId="30" priority="5" operator="lessThan">
      <formula>15</formula>
    </cfRule>
  </conditionalFormatting>
  <conditionalFormatting sqref="D57:H57">
    <cfRule type="cellIs" dxfId="29" priority="4" operator="lessThan">
      <formula>3</formula>
    </cfRule>
  </conditionalFormatting>
  <conditionalFormatting sqref="D58:H58">
    <cfRule type="cellIs" dxfId="28" priority="3" operator="lessThan">
      <formula>11</formula>
    </cfRule>
  </conditionalFormatting>
  <conditionalFormatting sqref="D59:H59">
    <cfRule type="cellIs" dxfId="27" priority="2" operator="lessThan">
      <formula>3</formula>
    </cfRule>
  </conditionalFormatting>
  <conditionalFormatting sqref="D60:H60">
    <cfRule type="cellIs" dxfId="26" priority="1" operator="lessThan">
      <formula>11</formula>
    </cfRule>
  </conditionalFormatting>
  <pageMargins left="0.19685039370078741" right="0.19685039370078741" top="0.19685039370078741" bottom="0.74803149606299213" header="0.19685039370078741" footer="0.31496062992125984"/>
  <pageSetup paperSize="9" scale="27" fitToWidth="0" fitToHeight="0" orientation="portrait" r:id="rId1"/>
  <rowBreaks count="1" manualBreakCount="1">
    <brk id="40" max="7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view="pageBreakPreview" zoomScale="40" zoomScaleNormal="50" zoomScaleSheetLayoutView="40" zoomScalePageLayoutView="40" workbookViewId="0">
      <selection activeCell="D7" sqref="D7:H8"/>
    </sheetView>
  </sheetViews>
  <sheetFormatPr defaultRowHeight="15" x14ac:dyDescent="0.25"/>
  <cols>
    <col min="1" max="1" width="4.42578125" customWidth="1"/>
    <col min="2" max="2" width="4.85546875" customWidth="1"/>
    <col min="3" max="3" width="25.28515625" customWidth="1"/>
    <col min="4" max="8" width="63.7109375" customWidth="1"/>
  </cols>
  <sheetData>
    <row r="1" spans="1:8" ht="34.5" customHeight="1" x14ac:dyDescent="0.3">
      <c r="A1" s="178"/>
      <c r="B1" s="760" t="s">
        <v>104</v>
      </c>
      <c r="C1" s="760"/>
      <c r="D1" s="760"/>
      <c r="E1" s="760"/>
      <c r="F1" s="760"/>
      <c r="G1" s="760"/>
      <c r="H1" s="760"/>
    </row>
    <row r="2" spans="1:8" ht="34.5" customHeight="1" x14ac:dyDescent="0.3">
      <c r="A2" s="179"/>
      <c r="B2" s="760" t="s">
        <v>87</v>
      </c>
      <c r="C2" s="760"/>
      <c r="D2" s="760"/>
      <c r="E2" s="760"/>
      <c r="F2" s="760"/>
      <c r="G2" s="760"/>
      <c r="H2" s="760"/>
    </row>
    <row r="3" spans="1:8" ht="32.25" customHeight="1" x14ac:dyDescent="0.25">
      <c r="A3" s="229"/>
      <c r="B3" s="787" t="s">
        <v>81</v>
      </c>
      <c r="C3" s="787"/>
      <c r="D3" s="787"/>
      <c r="E3" s="787"/>
      <c r="F3" s="787"/>
      <c r="G3" s="787"/>
      <c r="H3" s="787"/>
    </row>
    <row r="4" spans="1:8" ht="34.5" customHeight="1" x14ac:dyDescent="0.25">
      <c r="A4" s="180"/>
      <c r="B4" s="760" t="s">
        <v>105</v>
      </c>
      <c r="C4" s="760"/>
      <c r="D4" s="760"/>
      <c r="E4" s="760"/>
      <c r="F4" s="760"/>
      <c r="G4" s="760"/>
      <c r="H4" s="760"/>
    </row>
    <row r="5" spans="1:8" ht="33.75" customHeight="1" thickBot="1" x14ac:dyDescent="0.3">
      <c r="A5" s="682" t="s">
        <v>112</v>
      </c>
      <c r="B5" s="682"/>
      <c r="C5" s="682"/>
      <c r="D5" s="682"/>
      <c r="E5" s="682"/>
      <c r="F5" s="682"/>
      <c r="G5" s="682"/>
      <c r="H5" s="682"/>
    </row>
    <row r="6" spans="1:8" ht="21" hidden="1" thickBot="1" x14ac:dyDescent="0.35">
      <c r="A6" s="41"/>
      <c r="B6" s="40"/>
      <c r="C6" s="40"/>
      <c r="D6" s="269"/>
      <c r="E6" s="269"/>
      <c r="F6" s="269"/>
      <c r="G6" s="269"/>
      <c r="H6" s="269"/>
    </row>
    <row r="7" spans="1:8" ht="30.75" customHeight="1" thickBot="1" x14ac:dyDescent="0.3">
      <c r="A7" s="762" t="s">
        <v>54</v>
      </c>
      <c r="B7" s="762" t="s">
        <v>14</v>
      </c>
      <c r="C7" s="764" t="s">
        <v>55</v>
      </c>
      <c r="D7" s="241" t="s">
        <v>5</v>
      </c>
      <c r="E7" s="242" t="s">
        <v>6</v>
      </c>
      <c r="F7" s="242" t="s">
        <v>7</v>
      </c>
      <c r="G7" s="242" t="s">
        <v>8</v>
      </c>
      <c r="H7" s="243" t="s">
        <v>9</v>
      </c>
    </row>
    <row r="8" spans="1:8" ht="56.25" thickBot="1" x14ac:dyDescent="0.3">
      <c r="A8" s="763"/>
      <c r="B8" s="763"/>
      <c r="C8" s="765"/>
      <c r="D8" s="300" t="s">
        <v>106</v>
      </c>
      <c r="E8" s="370" t="s">
        <v>110</v>
      </c>
      <c r="F8" s="370" t="s">
        <v>107</v>
      </c>
      <c r="G8" s="370" t="s">
        <v>90</v>
      </c>
      <c r="H8" s="449" t="s">
        <v>78</v>
      </c>
    </row>
    <row r="9" spans="1:8" ht="117" customHeight="1" x14ac:dyDescent="0.25">
      <c r="A9" s="822" t="s">
        <v>0</v>
      </c>
      <c r="B9" s="747">
        <v>45817</v>
      </c>
      <c r="C9" s="67" t="s">
        <v>10</v>
      </c>
      <c r="D9" s="444"/>
      <c r="E9" s="445"/>
      <c r="F9" s="382"/>
      <c r="G9" s="445"/>
      <c r="H9" s="446"/>
    </row>
    <row r="10" spans="1:8" ht="109.5" customHeight="1" x14ac:dyDescent="0.25">
      <c r="A10" s="825"/>
      <c r="B10" s="746"/>
      <c r="C10" s="68" t="s">
        <v>11</v>
      </c>
      <c r="D10" s="317"/>
      <c r="E10" s="383"/>
      <c r="F10" s="319"/>
      <c r="G10" s="383"/>
      <c r="H10" s="414"/>
    </row>
    <row r="11" spans="1:8" ht="92.25" customHeight="1" x14ac:dyDescent="0.25">
      <c r="A11" s="825"/>
      <c r="B11" s="746"/>
      <c r="C11" s="68" t="s">
        <v>12</v>
      </c>
      <c r="D11" s="317"/>
      <c r="E11" s="383"/>
      <c r="F11" s="319"/>
      <c r="G11" s="383"/>
      <c r="H11" s="414"/>
    </row>
    <row r="12" spans="1:8" ht="117.75" customHeight="1" x14ac:dyDescent="0.25">
      <c r="A12" s="825"/>
      <c r="B12" s="746"/>
      <c r="C12" s="68" t="s">
        <v>13</v>
      </c>
      <c r="D12" s="317"/>
      <c r="E12" s="319"/>
      <c r="F12" s="383"/>
      <c r="G12" s="383"/>
      <c r="H12" s="414"/>
    </row>
    <row r="13" spans="1:8" ht="77.25" customHeight="1" thickBot="1" x14ac:dyDescent="0.3">
      <c r="A13" s="825"/>
      <c r="B13" s="746"/>
      <c r="C13" s="69" t="s">
        <v>15</v>
      </c>
      <c r="D13" s="415"/>
      <c r="E13" s="416"/>
      <c r="F13" s="416"/>
      <c r="G13" s="416"/>
      <c r="H13" s="417"/>
    </row>
    <row r="14" spans="1:8" ht="105.75" customHeight="1" x14ac:dyDescent="0.25">
      <c r="A14" s="822" t="s">
        <v>1</v>
      </c>
      <c r="B14" s="748">
        <f>B9+1</f>
        <v>45818</v>
      </c>
      <c r="C14" s="79" t="s">
        <v>10</v>
      </c>
      <c r="D14" s="444"/>
      <c r="E14" s="382"/>
      <c r="F14" s="382"/>
      <c r="G14" s="445"/>
      <c r="H14" s="446"/>
    </row>
    <row r="15" spans="1:8" ht="122.25" customHeight="1" x14ac:dyDescent="0.25">
      <c r="A15" s="825"/>
      <c r="B15" s="746"/>
      <c r="C15" s="80" t="s">
        <v>11</v>
      </c>
      <c r="D15" s="418"/>
      <c r="E15" s="383"/>
      <c r="F15" s="383"/>
      <c r="G15" s="319"/>
      <c r="H15" s="282"/>
    </row>
    <row r="16" spans="1:8" ht="90.75" customHeight="1" x14ac:dyDescent="0.25">
      <c r="A16" s="825"/>
      <c r="B16" s="746"/>
      <c r="C16" s="80" t="s">
        <v>12</v>
      </c>
      <c r="D16" s="418"/>
      <c r="E16" s="383"/>
      <c r="F16" s="319"/>
      <c r="G16" s="383"/>
      <c r="H16" s="318"/>
    </row>
    <row r="17" spans="1:10" ht="105.75" customHeight="1" x14ac:dyDescent="0.25">
      <c r="A17" s="825"/>
      <c r="B17" s="746"/>
      <c r="C17" s="80" t="s">
        <v>13</v>
      </c>
      <c r="D17" s="317"/>
      <c r="E17" s="319"/>
      <c r="F17" s="319"/>
      <c r="G17" s="319"/>
      <c r="H17" s="318"/>
    </row>
    <row r="18" spans="1:10" ht="77.25" customHeight="1" thickBot="1" x14ac:dyDescent="0.3">
      <c r="A18" s="826"/>
      <c r="B18" s="746"/>
      <c r="C18" s="76" t="s">
        <v>60</v>
      </c>
      <c r="D18" s="217"/>
      <c r="E18" s="441"/>
      <c r="F18" s="431"/>
      <c r="G18" s="431"/>
      <c r="H18" s="432"/>
      <c r="J18" s="3"/>
    </row>
    <row r="19" spans="1:10" ht="91.5" customHeight="1" x14ac:dyDescent="0.25">
      <c r="A19" s="822" t="s">
        <v>2</v>
      </c>
      <c r="B19" s="748">
        <f>B14+1</f>
        <v>45819</v>
      </c>
      <c r="C19" s="79" t="s">
        <v>10</v>
      </c>
      <c r="D19" s="444"/>
      <c r="E19" s="445"/>
      <c r="F19" s="382"/>
      <c r="G19" s="445"/>
      <c r="H19" s="446"/>
    </row>
    <row r="20" spans="1:10" ht="27.75" x14ac:dyDescent="0.25">
      <c r="A20" s="825"/>
      <c r="B20" s="746"/>
      <c r="C20" s="80" t="s">
        <v>11</v>
      </c>
      <c r="D20" s="317"/>
      <c r="E20" s="319"/>
      <c r="F20" s="383"/>
      <c r="G20" s="319"/>
      <c r="H20" s="318"/>
    </row>
    <row r="21" spans="1:10" ht="103.5" customHeight="1" x14ac:dyDescent="0.25">
      <c r="A21" s="825"/>
      <c r="B21" s="746"/>
      <c r="C21" s="80" t="s">
        <v>12</v>
      </c>
      <c r="D21" s="317"/>
      <c r="E21" s="442"/>
      <c r="F21" s="383"/>
      <c r="G21" s="319"/>
      <c r="H21" s="414"/>
      <c r="J21" s="3"/>
    </row>
    <row r="22" spans="1:10" ht="103.5" customHeight="1" x14ac:dyDescent="0.25">
      <c r="A22" s="825"/>
      <c r="B22" s="746"/>
      <c r="C22" s="80" t="s">
        <v>13</v>
      </c>
      <c r="D22" s="317"/>
      <c r="E22" s="442"/>
      <c r="F22" s="319"/>
      <c r="G22" s="383"/>
      <c r="H22" s="318"/>
    </row>
    <row r="23" spans="1:10" ht="77.25" customHeight="1" thickBot="1" x14ac:dyDescent="0.3">
      <c r="A23" s="826"/>
      <c r="B23" s="746"/>
      <c r="C23" s="223" t="s">
        <v>15</v>
      </c>
      <c r="D23" s="429"/>
      <c r="E23" s="430"/>
      <c r="F23" s="430"/>
      <c r="G23" s="431"/>
      <c r="H23" s="432"/>
    </row>
    <row r="24" spans="1:10" ht="98.25" customHeight="1" x14ac:dyDescent="0.25">
      <c r="A24" s="822" t="s">
        <v>3</v>
      </c>
      <c r="B24" s="748">
        <f>B19+1</f>
        <v>45820</v>
      </c>
      <c r="C24" s="103" t="s">
        <v>10</v>
      </c>
      <c r="D24" s="433"/>
      <c r="E24" s="434"/>
      <c r="F24" s="434"/>
      <c r="G24" s="434"/>
      <c r="H24" s="435"/>
    </row>
    <row r="25" spans="1:10" ht="90.75" customHeight="1" x14ac:dyDescent="0.25">
      <c r="A25" s="833"/>
      <c r="B25" s="746"/>
      <c r="C25" s="68" t="s">
        <v>11</v>
      </c>
      <c r="D25" s="317"/>
      <c r="E25" s="319"/>
      <c r="F25" s="383"/>
      <c r="G25" s="319"/>
      <c r="H25" s="318"/>
    </row>
    <row r="26" spans="1:10" ht="84.75" customHeight="1" x14ac:dyDescent="0.25">
      <c r="A26" s="833"/>
      <c r="B26" s="746"/>
      <c r="C26" s="68" t="s">
        <v>12</v>
      </c>
      <c r="D26" s="418"/>
      <c r="E26" s="383"/>
      <c r="F26" s="383"/>
      <c r="G26" s="383"/>
      <c r="H26" s="414"/>
    </row>
    <row r="27" spans="1:10" ht="94.5" customHeight="1" x14ac:dyDescent="0.25">
      <c r="A27" s="833"/>
      <c r="B27" s="746"/>
      <c r="C27" s="68" t="s">
        <v>13</v>
      </c>
      <c r="D27" s="418"/>
      <c r="E27" s="383"/>
      <c r="F27" s="383"/>
      <c r="G27" s="383"/>
      <c r="H27" s="414"/>
    </row>
    <row r="28" spans="1:10" ht="45" customHeight="1" thickBot="1" x14ac:dyDescent="0.3">
      <c r="A28" s="834"/>
      <c r="B28" s="746"/>
      <c r="C28" s="102" t="s">
        <v>15</v>
      </c>
      <c r="D28" s="415"/>
      <c r="E28" s="456"/>
      <c r="F28" s="416"/>
      <c r="G28" s="416"/>
      <c r="H28" s="420"/>
    </row>
    <row r="29" spans="1:10" ht="94.5" customHeight="1" x14ac:dyDescent="0.25">
      <c r="A29" s="830" t="s">
        <v>4</v>
      </c>
      <c r="B29" s="772">
        <f>B24+1</f>
        <v>45821</v>
      </c>
      <c r="C29" s="211" t="s">
        <v>10</v>
      </c>
      <c r="D29" s="444"/>
      <c r="E29" s="445"/>
      <c r="F29" s="445"/>
      <c r="G29" s="445"/>
      <c r="H29" s="446"/>
    </row>
    <row r="30" spans="1:10" ht="90.75" customHeight="1" x14ac:dyDescent="0.25">
      <c r="A30" s="831"/>
      <c r="B30" s="773"/>
      <c r="C30" s="212" t="s">
        <v>11</v>
      </c>
      <c r="D30" s="317"/>
      <c r="E30" s="319"/>
      <c r="F30" s="319"/>
      <c r="G30" s="319"/>
      <c r="H30" s="318"/>
    </row>
    <row r="31" spans="1:10" ht="120.75" customHeight="1" x14ac:dyDescent="0.25">
      <c r="A31" s="831"/>
      <c r="B31" s="773"/>
      <c r="C31" s="212" t="s">
        <v>12</v>
      </c>
      <c r="D31" s="317"/>
      <c r="E31" s="319"/>
      <c r="F31" s="319"/>
      <c r="G31" s="319"/>
      <c r="H31" s="318"/>
    </row>
    <row r="32" spans="1:10" ht="120.75" customHeight="1" x14ac:dyDescent="0.25">
      <c r="A32" s="831"/>
      <c r="B32" s="773"/>
      <c r="C32" s="212" t="s">
        <v>13</v>
      </c>
      <c r="D32" s="317"/>
      <c r="E32" s="319"/>
      <c r="F32" s="319"/>
      <c r="G32" s="319"/>
      <c r="H32" s="414"/>
    </row>
    <row r="33" spans="1:8" ht="47.25" customHeight="1" thickBot="1" x14ac:dyDescent="0.3">
      <c r="A33" s="832"/>
      <c r="B33" s="773"/>
      <c r="C33" s="213" t="s">
        <v>15</v>
      </c>
      <c r="D33" s="424"/>
      <c r="E33" s="425"/>
      <c r="F33" s="425"/>
      <c r="G33" s="425"/>
      <c r="H33" s="426"/>
    </row>
    <row r="34" spans="1:8" ht="35.25" customHeight="1" x14ac:dyDescent="0.25">
      <c r="A34" s="829" t="s">
        <v>47</v>
      </c>
      <c r="B34" s="772">
        <f>B29+1</f>
        <v>45822</v>
      </c>
      <c r="C34" s="211" t="s">
        <v>10</v>
      </c>
      <c r="D34" s="461"/>
      <c r="E34" s="462"/>
      <c r="F34" s="462"/>
      <c r="G34" s="462"/>
      <c r="H34" s="27"/>
    </row>
    <row r="35" spans="1:8" ht="35.25" customHeight="1" x14ac:dyDescent="0.25">
      <c r="A35" s="773"/>
      <c r="B35" s="773"/>
      <c r="C35" s="212" t="s">
        <v>11</v>
      </c>
      <c r="D35" s="195"/>
      <c r="E35" s="26"/>
      <c r="F35" s="26"/>
      <c r="G35" s="28"/>
      <c r="H35" s="26"/>
    </row>
    <row r="36" spans="1:8" ht="35.25" customHeight="1" x14ac:dyDescent="0.25">
      <c r="A36" s="773"/>
      <c r="B36" s="773"/>
      <c r="C36" s="212" t="s">
        <v>12</v>
      </c>
      <c r="D36" s="195"/>
      <c r="E36" s="26"/>
      <c r="F36" s="29"/>
      <c r="G36" s="26"/>
      <c r="H36" s="31"/>
    </row>
    <row r="37" spans="1:8" ht="35.25" customHeight="1" x14ac:dyDescent="0.25">
      <c r="A37" s="773"/>
      <c r="B37" s="773"/>
      <c r="C37" s="212" t="s">
        <v>13</v>
      </c>
      <c r="D37" s="196"/>
      <c r="E37" s="27"/>
      <c r="F37" s="27"/>
      <c r="G37" s="26"/>
      <c r="H37" s="29"/>
    </row>
    <row r="38" spans="1:8" ht="35.25" customHeight="1" thickBot="1" x14ac:dyDescent="0.3">
      <c r="A38" s="774"/>
      <c r="B38" s="774"/>
      <c r="C38" s="213" t="s">
        <v>15</v>
      </c>
      <c r="D38" s="30"/>
      <c r="E38" s="25"/>
      <c r="F38" s="25"/>
      <c r="G38" s="25"/>
      <c r="H38" s="25"/>
    </row>
    <row r="39" spans="1:8" ht="28.5" customHeight="1" x14ac:dyDescent="0.3">
      <c r="A39" s="2"/>
      <c r="B39" s="2"/>
      <c r="C39" s="44"/>
      <c r="D39" s="181" t="s">
        <v>82</v>
      </c>
      <c r="E39" s="44"/>
      <c r="F39" s="44"/>
      <c r="G39" s="44"/>
      <c r="H39" s="44"/>
    </row>
    <row r="40" spans="1:8" s="19" customFormat="1" ht="26.25" x14ac:dyDescent="0.4">
      <c r="A40" s="18"/>
      <c r="B40" s="183"/>
      <c r="C40" s="109" t="str">
        <f>'01.09'!C39</f>
        <v>*Л. Физиология человека*</v>
      </c>
      <c r="D40" s="112">
        <f>'28.12'!D41+COUNTIF(D$9:D$38,$C40)</f>
        <v>12</v>
      </c>
      <c r="E40" s="112">
        <f>'28.12'!E41+COUNTIF(E$9:E$38,$C40)</f>
        <v>12</v>
      </c>
      <c r="F40" s="112">
        <f>'28.12'!F41+COUNTIF(F$9:F$38,$C40)</f>
        <v>12</v>
      </c>
      <c r="G40" s="112">
        <f>'28.12'!G41+COUNTIF(G$9:G$38,$C40)</f>
        <v>12</v>
      </c>
      <c r="H40" s="112">
        <f>'28.12'!H41+COUNTIF(H$9:H$38,$C40)</f>
        <v>12</v>
      </c>
    </row>
    <row r="41" spans="1:8" s="19" customFormat="1" ht="26.25" x14ac:dyDescent="0.4">
      <c r="A41" s="18"/>
      <c r="B41" s="183"/>
      <c r="C41" s="109" t="str">
        <f>'01.09'!C40</f>
        <v>*Пр. Физиология человека*</v>
      </c>
      <c r="D41" s="112">
        <f>'28.12'!D42+COUNTIF(D$9:D$38,$C41)</f>
        <v>19</v>
      </c>
      <c r="E41" s="112">
        <f>'28.12'!E42+COUNTIF(E$9:E$38,$C41)</f>
        <v>20</v>
      </c>
      <c r="F41" s="112">
        <f>'28.12'!F42+COUNTIF(F$9:F$38,$C41)</f>
        <v>19</v>
      </c>
      <c r="G41" s="112">
        <f>'28.12'!G42+COUNTIF(G$9:G$38,$C41)</f>
        <v>20</v>
      </c>
      <c r="H41" s="112">
        <f>'28.12'!H42+COUNTIF(H$9:H$38,$C41)</f>
        <v>20</v>
      </c>
    </row>
    <row r="42" spans="1:8" s="19" customFormat="1" ht="26.25" x14ac:dyDescent="0.4">
      <c r="A42" s="18"/>
      <c r="B42" s="184"/>
      <c r="C42" s="109" t="str">
        <f>'01.09'!C41</f>
        <v>*Л. Элективные дисциплины по ФКиС: Фехтование*</v>
      </c>
      <c r="D42" s="112">
        <f>'28.12'!D43+COUNTIF(D$9:D$38,$C42)</f>
        <v>1</v>
      </c>
      <c r="E42" s="112">
        <f>'28.12'!E43+COUNTIF(E$9:E$38,$C42)</f>
        <v>1</v>
      </c>
      <c r="F42" s="112">
        <f>'28.12'!F43+COUNTIF(F$9:F$38,$C42)</f>
        <v>1</v>
      </c>
      <c r="G42" s="112">
        <f>'28.12'!G43+COUNTIF(G$9:G$38,$C42)</f>
        <v>1</v>
      </c>
      <c r="H42" s="112">
        <f>'28.12'!H43+COUNTIF(H$9:H$38,$C42)</f>
        <v>1</v>
      </c>
    </row>
    <row r="43" spans="1:8" s="19" customFormat="1" ht="26.25" x14ac:dyDescent="0.4">
      <c r="A43" s="18"/>
      <c r="B43" s="184"/>
      <c r="C43" s="109" t="str">
        <f>'01.09'!C42</f>
        <v>*Пр. Элективные дисциплины по ФКиС: Фехтование*</v>
      </c>
      <c r="D43" s="112">
        <f>'28.12'!D44+COUNTIF(D$9:D$38,$C43)</f>
        <v>6</v>
      </c>
      <c r="E43" s="112">
        <f>'28.12'!E44+COUNTIF(E$9:E$38,$C43)</f>
        <v>6</v>
      </c>
      <c r="F43" s="112">
        <f>'28.12'!F44+COUNTIF(F$9:F$38,$C43)</f>
        <v>6</v>
      </c>
      <c r="G43" s="112">
        <f>'28.12'!G44+COUNTIF(G$9:G$38,$C43)</f>
        <v>6</v>
      </c>
      <c r="H43" s="112">
        <f>'28.12'!H44+COUNTIF(H$9:H$38,$C43)</f>
        <v>6</v>
      </c>
    </row>
    <row r="44" spans="1:8" s="19" customFormat="1" ht="26.25" x14ac:dyDescent="0.4">
      <c r="A44" s="18"/>
      <c r="B44" s="183"/>
      <c r="C44" s="109" t="str">
        <f>'01.09'!C43</f>
        <v>*Л. Педагогика физической культуры и спорта*</v>
      </c>
      <c r="D44" s="112">
        <f>'28.12'!D45+COUNTIF(D$9:D$38,$C44)</f>
        <v>5</v>
      </c>
      <c r="E44" s="112">
        <f>'28.12'!E45+COUNTIF(E$9:E$38,$C44)</f>
        <v>5</v>
      </c>
      <c r="F44" s="112">
        <f>'28.12'!F45+COUNTIF(F$9:F$38,$C44)</f>
        <v>5</v>
      </c>
      <c r="G44" s="112">
        <f>'28.12'!G45+COUNTIF(G$9:G$38,$C44)</f>
        <v>5</v>
      </c>
      <c r="H44" s="112">
        <f>'28.12'!H45+COUNTIF(H$9:H$38,$C44)</f>
        <v>5</v>
      </c>
    </row>
    <row r="45" spans="1:8" s="19" customFormat="1" ht="26.25" x14ac:dyDescent="0.4">
      <c r="A45" s="18"/>
      <c r="B45" s="183"/>
      <c r="C45" s="109" t="str">
        <f>'01.09'!C44</f>
        <v>*Пр. Педагогика физической культуры и спорта*</v>
      </c>
      <c r="D45" s="112">
        <f>'28.12'!D46+COUNTIF(D$9:D$38,$C45)</f>
        <v>6</v>
      </c>
      <c r="E45" s="112">
        <f>'28.12'!E46+COUNTIF(E$9:E$38,$C45)</f>
        <v>5</v>
      </c>
      <c r="F45" s="112">
        <f>'28.12'!F46+COUNTIF(F$9:F$38,$C45)</f>
        <v>5</v>
      </c>
      <c r="G45" s="112">
        <f>'28.12'!G46+COUNTIF(G$9:G$38,$C45)</f>
        <v>5</v>
      </c>
      <c r="H45" s="112">
        <f>'28.12'!H46+COUNTIF(H$9:H$38,$C45)</f>
        <v>4</v>
      </c>
    </row>
    <row r="46" spans="1:8" s="19" customFormat="1" ht="26.25" x14ac:dyDescent="0.4">
      <c r="A46" s="18"/>
      <c r="B46" s="183"/>
      <c r="C46" s="109" t="str">
        <f>'01.09'!C45</f>
        <v>*Л. Теория и методика*</v>
      </c>
      <c r="D46" s="112">
        <f>'28.12'!D47+COUNTIF(D$9:D$38,$C46)</f>
        <v>4</v>
      </c>
      <c r="E46" s="112">
        <f>'28.12'!E47+COUNTIF(E$9:E$38,$C46)</f>
        <v>4</v>
      </c>
      <c r="F46" s="112">
        <f>'28.12'!F47+COUNTIF(F$9:F$38,$C46)</f>
        <v>4</v>
      </c>
      <c r="G46" s="112">
        <f>'28.12'!G47+COUNTIF(G$9:G$38,$C46)</f>
        <v>4</v>
      </c>
      <c r="H46" s="112">
        <f>'28.12'!H47+COUNTIF(H$9:H$38,$C46)</f>
        <v>4</v>
      </c>
    </row>
    <row r="47" spans="1:8" s="19" customFormat="1" ht="26.25" x14ac:dyDescent="0.4">
      <c r="A47" s="18"/>
      <c r="B47" s="183"/>
      <c r="C47" s="109" t="str">
        <f>'01.09'!C46</f>
        <v>*Пр. Теория и методика*</v>
      </c>
      <c r="D47" s="112">
        <f>'28.12'!D48+COUNTIF(D$9:D$38,$C47)</f>
        <v>27</v>
      </c>
      <c r="E47" s="112">
        <f>'28.12'!E48+COUNTIF(E$9:E$38,$C47)</f>
        <v>27</v>
      </c>
      <c r="F47" s="112">
        <f>'28.12'!F48+COUNTIF(F$9:F$38,$C47)</f>
        <v>27</v>
      </c>
      <c r="G47" s="112">
        <f>'28.12'!G48+COUNTIF(G$9:G$38,$C47)</f>
        <v>27</v>
      </c>
      <c r="H47" s="112">
        <f>'28.12'!H48+COUNTIF(H$9:H$38,$C47)</f>
        <v>25</v>
      </c>
    </row>
    <row r="48" spans="1:8" s="19" customFormat="1" ht="26.25" x14ac:dyDescent="0.4">
      <c r="A48" s="18"/>
      <c r="B48" s="183"/>
      <c r="C48" s="109" t="str">
        <f>'01.09'!C47</f>
        <v>*Л.  Теория и методика физической культуры*</v>
      </c>
      <c r="D48" s="112">
        <f>'28.12'!D49+COUNTIF(D$9:D$38,$C48)</f>
        <v>10</v>
      </c>
      <c r="E48" s="112">
        <f>'28.12'!E49+COUNTIF(E$9:E$38,$C48)</f>
        <v>10</v>
      </c>
      <c r="F48" s="112">
        <f>'28.12'!F49+COUNTIF(F$9:F$38,$C48)</f>
        <v>10</v>
      </c>
      <c r="G48" s="112">
        <f>'28.12'!G49+COUNTIF(G$9:G$38,$C48)</f>
        <v>10</v>
      </c>
      <c r="H48" s="112">
        <f>'28.12'!H49+COUNTIF(H$9:H$38,$C48)</f>
        <v>10</v>
      </c>
    </row>
    <row r="49" spans="1:8" s="19" customFormat="1" ht="24" customHeight="1" x14ac:dyDescent="0.4">
      <c r="A49" s="18"/>
      <c r="B49" s="183"/>
      <c r="C49" s="109" t="str">
        <f>'01.09'!C48</f>
        <v>*Пр.  Теория и методика физической культуры*</v>
      </c>
      <c r="D49" s="112">
        <f>'28.12'!D50+COUNTIF(D$9:D$38,$C49)</f>
        <v>6</v>
      </c>
      <c r="E49" s="112">
        <f>'28.12'!E50+COUNTIF(E$9:E$38,$C49)</f>
        <v>6</v>
      </c>
      <c r="F49" s="112">
        <f>'28.12'!F50+COUNTIF(F$9:F$38,$C49)</f>
        <v>6</v>
      </c>
      <c r="G49" s="112">
        <f>'28.12'!G50+COUNTIF(G$9:G$38,$C49)</f>
        <v>5</v>
      </c>
      <c r="H49" s="112">
        <f>'28.12'!H50+COUNTIF(H$9:H$38,$C49)</f>
        <v>5</v>
      </c>
    </row>
    <row r="50" spans="1:8" s="19" customFormat="1" ht="26.25" x14ac:dyDescent="0.4">
      <c r="A50" s="18"/>
      <c r="B50" s="183"/>
      <c r="C50" s="109" t="str">
        <f>'01.09'!C49</f>
        <v>*Л. Плавание*</v>
      </c>
      <c r="D50" s="112">
        <f>'28.12'!D51+COUNTIF(D$9:D$38,$C50)</f>
        <v>2</v>
      </c>
      <c r="E50" s="112">
        <f>'28.12'!E51+COUNTIF(E$9:E$38,$C50)</f>
        <v>2</v>
      </c>
      <c r="F50" s="112">
        <f>'28.12'!F51+COUNTIF(F$9:F$38,$C50)</f>
        <v>2</v>
      </c>
      <c r="G50" s="112">
        <f>'28.12'!G51+COUNTIF(G$9:G$38,$C50)</f>
        <v>2</v>
      </c>
      <c r="H50" s="112">
        <f>'28.12'!H51+COUNTIF(H$9:H$38,$C50)</f>
        <v>2</v>
      </c>
    </row>
    <row r="51" spans="1:8" s="19" customFormat="1" ht="26.25" x14ac:dyDescent="0.4">
      <c r="A51" s="18"/>
      <c r="B51" s="183"/>
      <c r="C51" s="109" t="str">
        <f>'01.09'!C50</f>
        <v>*Пр. Плавание*</v>
      </c>
      <c r="D51" s="112">
        <f>'28.12'!D52+COUNTIF(D$9:D$38,$C51)</f>
        <v>18</v>
      </c>
      <c r="E51" s="112">
        <f>'28.12'!E52+COUNTIF(E$9:E$38,$C51)</f>
        <v>18</v>
      </c>
      <c r="F51" s="112">
        <f>'28.12'!F52+COUNTIF(F$9:F$38,$C51)</f>
        <v>20</v>
      </c>
      <c r="G51" s="112">
        <f>'28.12'!G52+COUNTIF(G$9:G$38,$C51)</f>
        <v>20</v>
      </c>
      <c r="H51" s="112">
        <f>'28.12'!H52+COUNTIF(H$9:H$38,$C51)</f>
        <v>20</v>
      </c>
    </row>
    <row r="52" spans="1:8" s="19" customFormat="1" ht="26.25" x14ac:dyDescent="0.4">
      <c r="A52" s="18"/>
      <c r="B52" s="183"/>
      <c r="C52" s="109" t="str">
        <f>'01.09'!C51</f>
        <v>*Л. Подвижные игры в спорте и образовании*</v>
      </c>
      <c r="D52" s="112">
        <f>'28.12'!D53+COUNTIF(D$9:D$38,$C52)</f>
        <v>1</v>
      </c>
      <c r="E52" s="112">
        <f>'28.12'!E53+COUNTIF(E$9:E$38,$C52)</f>
        <v>1</v>
      </c>
      <c r="F52" s="112">
        <f>'28.12'!F53+COUNTIF(F$9:F$38,$C52)</f>
        <v>1</v>
      </c>
      <c r="G52" s="112">
        <f>'28.12'!G53+COUNTIF(G$9:G$38,$C52)</f>
        <v>1</v>
      </c>
      <c r="H52" s="112">
        <f>'28.12'!H53+COUNTIF(H$9:H$38,$C52)</f>
        <v>1</v>
      </c>
    </row>
    <row r="53" spans="1:8" s="19" customFormat="1" ht="26.25" x14ac:dyDescent="0.4">
      <c r="A53" s="18"/>
      <c r="B53" s="183"/>
      <c r="C53" s="109" t="str">
        <f>'01.09'!C52</f>
        <v>*Пр. Подвижные игры в спорте и образовании*</v>
      </c>
      <c r="D53" s="112">
        <f>'28.12'!D54+COUNTIF(D$9:D$38,$C53)</f>
        <v>10</v>
      </c>
      <c r="E53" s="112">
        <f>'28.12'!E54+COUNTIF(E$9:E$38,$C53)</f>
        <v>10</v>
      </c>
      <c r="F53" s="112">
        <f>'28.12'!F54+COUNTIF(F$9:F$38,$C53)</f>
        <v>9</v>
      </c>
      <c r="G53" s="112">
        <f>'28.12'!G54+COUNTIF(G$9:G$38,$C53)</f>
        <v>10</v>
      </c>
      <c r="H53" s="112">
        <f>'28.12'!H54+COUNTIF(H$9:H$38,$C53)</f>
        <v>10</v>
      </c>
    </row>
    <row r="54" spans="1:8" s="19" customFormat="1" ht="26.25" x14ac:dyDescent="0.4">
      <c r="A54" s="18"/>
      <c r="B54" s="183"/>
      <c r="C54" s="109" t="str">
        <f>'01.09'!C53</f>
        <v>*Л. Самооборона (самбо)*</v>
      </c>
      <c r="D54" s="112">
        <f>'28.12'!D55+COUNTIF(D$9:D$38,$C54)</f>
        <v>1</v>
      </c>
      <c r="E54" s="112">
        <f>'28.12'!E55+COUNTIF(E$9:E$38,$C54)</f>
        <v>1</v>
      </c>
      <c r="F54" s="112">
        <f>'28.12'!F55+COUNTIF(F$9:F$38,$C54)</f>
        <v>1</v>
      </c>
      <c r="G54" s="112">
        <f>'28.12'!G55+COUNTIF(G$9:G$38,$C54)</f>
        <v>1</v>
      </c>
      <c r="H54" s="112">
        <f>'28.12'!H55+COUNTIF(H$9:H$38,$C54)</f>
        <v>1</v>
      </c>
    </row>
    <row r="55" spans="1:8" s="19" customFormat="1" ht="26.25" x14ac:dyDescent="0.4">
      <c r="A55" s="18"/>
      <c r="B55" s="183"/>
      <c r="C55" s="109" t="str">
        <f>'01.09'!C54</f>
        <v>*Пр. Самооборона (самбо)*</v>
      </c>
      <c r="D55" s="112">
        <f>'28.12'!D56+COUNTIF(D$9:D$38,$C55)</f>
        <v>10</v>
      </c>
      <c r="E55" s="112">
        <f>'28.12'!E56+COUNTIF(E$9:E$38,$C55)</f>
        <v>10</v>
      </c>
      <c r="F55" s="112">
        <f>'28.12'!F56+COUNTIF(F$9:F$38,$C55)</f>
        <v>9</v>
      </c>
      <c r="G55" s="112">
        <f>'28.12'!G56+COUNTIF(G$9:G$38,$C55)</f>
        <v>10</v>
      </c>
      <c r="H55" s="112">
        <f>'28.12'!H56+COUNTIF(H$9:H$38,$C55)</f>
        <v>10</v>
      </c>
    </row>
    <row r="56" spans="1:8" s="19" customFormat="1" ht="26.25" x14ac:dyDescent="0.4">
      <c r="A56" s="18"/>
      <c r="B56" s="183"/>
      <c r="C56" s="109" t="str">
        <f>'01.09'!C55</f>
        <v>*Л. Методика реализации программ*</v>
      </c>
      <c r="D56" s="112">
        <f>'28.12'!D57+COUNTIF(D$9:D$38,$C56)</f>
        <v>3</v>
      </c>
      <c r="E56" s="112">
        <f>'28.12'!E57+COUNTIF(E$9:E$38,$C56)</f>
        <v>3</v>
      </c>
      <c r="F56" s="112">
        <f>'28.12'!F57+COUNTIF(F$9:F$38,$C56)</f>
        <v>3</v>
      </c>
      <c r="G56" s="112">
        <f>'28.12'!G57+COUNTIF(G$9:G$38,$C56)</f>
        <v>3</v>
      </c>
      <c r="H56" s="112">
        <f>'28.12'!H57+COUNTIF(H$9:H$38,$C56)</f>
        <v>3</v>
      </c>
    </row>
    <row r="57" spans="1:8" s="19" customFormat="1" ht="26.25" x14ac:dyDescent="0.4">
      <c r="A57" s="18"/>
      <c r="B57" s="183"/>
      <c r="C57" s="109" t="str">
        <f>'01.09'!C56</f>
        <v>*Пр. Методика реализации программ*</v>
      </c>
      <c r="D57" s="112">
        <f>'28.12'!D58+COUNTIF(D$9:D$38,$C57)</f>
        <v>6</v>
      </c>
      <c r="E57" s="112">
        <f>'28.12'!E58+COUNTIF(E$9:E$38,$C57)</f>
        <v>6</v>
      </c>
      <c r="F57" s="112">
        <f>'28.12'!F58+COUNTIF(F$9:F$38,$C57)</f>
        <v>6</v>
      </c>
      <c r="G57" s="112">
        <f>'28.12'!G58+COUNTIF(G$9:G$38,$C57)</f>
        <v>6</v>
      </c>
      <c r="H57" s="112">
        <f>'28.12'!H58+COUNTIF(H$9:H$38,$C57)</f>
        <v>6</v>
      </c>
    </row>
    <row r="58" spans="1:8" s="19" customFormat="1" ht="26.25" x14ac:dyDescent="0.4">
      <c r="A58" s="18"/>
      <c r="B58" s="183"/>
      <c r="C58" s="109" t="str">
        <f>'01.09'!C57</f>
        <v>*Л. Методика преподавания*</v>
      </c>
      <c r="D58" s="112">
        <f>'28.12'!D59+COUNTIF(D$9:D$38,$C58)</f>
        <v>3</v>
      </c>
      <c r="E58" s="112">
        <f>'28.12'!E59+COUNTIF(E$9:E$38,$C58)</f>
        <v>3</v>
      </c>
      <c r="F58" s="112">
        <f>'28.12'!F59+COUNTIF(F$9:F$38,$C58)</f>
        <v>3</v>
      </c>
      <c r="G58" s="112">
        <f>'28.12'!G59+COUNTIF(G$9:G$38,$C58)</f>
        <v>3</v>
      </c>
      <c r="H58" s="112">
        <f>'28.12'!H59+COUNTIF(H$9:H$38,$C58)</f>
        <v>3</v>
      </c>
    </row>
    <row r="59" spans="1:8" s="19" customFormat="1" ht="26.25" x14ac:dyDescent="0.4">
      <c r="A59" s="18"/>
      <c r="B59" s="183"/>
      <c r="C59" s="109" t="str">
        <f>'01.09'!C58</f>
        <v>*Пр. Методика преподавания*</v>
      </c>
      <c r="D59" s="112">
        <f>'28.12'!D60+COUNTIF(D$9:D$38,$C59)</f>
        <v>6</v>
      </c>
      <c r="E59" s="112">
        <f>'28.12'!E60+COUNTIF(E$9:E$38,$C59)</f>
        <v>6</v>
      </c>
      <c r="F59" s="112">
        <f>'28.12'!F60+COUNTIF(F$9:F$38,$C59)</f>
        <v>6</v>
      </c>
      <c r="G59" s="112">
        <f>'28.12'!G60+COUNTIF(G$9:G$38,$C59)</f>
        <v>6</v>
      </c>
      <c r="H59" s="112">
        <f>'28.12'!H60+COUNTIF(H$9:H$38,$C59)</f>
        <v>6</v>
      </c>
    </row>
    <row r="60" spans="1:8" s="19" customFormat="1" ht="26.25" x14ac:dyDescent="0.4">
      <c r="A60" s="18"/>
      <c r="B60" s="183"/>
      <c r="C60" s="109">
        <f>'01.09'!C59</f>
        <v>0</v>
      </c>
      <c r="D60" s="112">
        <f>'28.12'!D61+COUNTIF(D$9:D$38,$C60)</f>
        <v>0</v>
      </c>
      <c r="E60" s="112">
        <f>'28.12'!E61+COUNTIF(E$9:E$38,$C60)</f>
        <v>0</v>
      </c>
      <c r="F60" s="112">
        <f>'28.12'!F61+COUNTIF(F$9:F$38,$C60)</f>
        <v>0</v>
      </c>
      <c r="G60" s="112">
        <f>'28.12'!G61+COUNTIF(G$9:G$38,$C60)</f>
        <v>0</v>
      </c>
      <c r="H60" s="112">
        <f>'28.12'!H61+COUNTIF(H$9:H$38,$C60)</f>
        <v>0</v>
      </c>
    </row>
    <row r="61" spans="1:8" s="19" customFormat="1" ht="26.25" x14ac:dyDescent="0.4">
      <c r="A61" s="18"/>
      <c r="B61" s="45"/>
      <c r="C61" s="109">
        <f>'01.09'!C60</f>
        <v>0</v>
      </c>
      <c r="D61" s="112">
        <f>'28.12'!D62+COUNTIF(D$9:D$38,$C61)</f>
        <v>0</v>
      </c>
      <c r="E61" s="112">
        <f>'28.12'!E62+COUNTIF(E$9:E$38,$C61)</f>
        <v>0</v>
      </c>
      <c r="F61" s="112">
        <f>'28.12'!F62+COUNTIF(F$9:F$38,$C61)</f>
        <v>0</v>
      </c>
      <c r="G61" s="112">
        <f>'28.12'!G62+COUNTIF(G$9:G$38,$C61)</f>
        <v>0</v>
      </c>
      <c r="H61" s="112">
        <f>'28.12'!H62+COUNTIF(H$9:H$38,$C61)</f>
        <v>0</v>
      </c>
    </row>
    <row r="62" spans="1:8" ht="26.25" x14ac:dyDescent="0.4">
      <c r="A62" s="2"/>
      <c r="B62" s="2"/>
      <c r="C62" s="109">
        <f>'01.09'!C61</f>
        <v>0</v>
      </c>
      <c r="D62" s="112">
        <f>'28.12'!D63+COUNTIF(D$9:D$38,$C62)</f>
        <v>0</v>
      </c>
      <c r="E62" s="112">
        <f>'28.12'!E63+COUNTIF(E$9:E$38,$C62)</f>
        <v>0</v>
      </c>
      <c r="F62" s="112">
        <f>'28.12'!F63+COUNTIF(F$9:F$38,$C62)</f>
        <v>0</v>
      </c>
      <c r="G62" s="112">
        <f>'28.12'!G63+COUNTIF(G$9:G$38,$C62)</f>
        <v>0</v>
      </c>
      <c r="H62" s="112">
        <f>'28.12'!H63+COUNTIF(H$9:H$38,$C62)</f>
        <v>0</v>
      </c>
    </row>
    <row r="63" spans="1:8" ht="26.25" x14ac:dyDescent="0.4">
      <c r="A63" s="2"/>
      <c r="B63" s="2"/>
      <c r="C63" s="109">
        <f>'01.09'!C62</f>
        <v>0</v>
      </c>
      <c r="D63" s="112">
        <f>'28.12'!D64+COUNTIF(D$9:D$38,$C63)</f>
        <v>0</v>
      </c>
      <c r="E63" s="112">
        <f>'28.12'!E64+COUNTIF(E$9:E$38,$C63)</f>
        <v>0</v>
      </c>
      <c r="F63" s="112">
        <f>'28.12'!F64+COUNTIF(F$9:F$38,$C63)</f>
        <v>0</v>
      </c>
      <c r="G63" s="112">
        <f>'28.12'!G64+COUNTIF(G$9:G$38,$C63)</f>
        <v>0</v>
      </c>
      <c r="H63" s="112">
        <f>'28.12'!H64+COUNTIF(H$9:H$38,$C63)</f>
        <v>0</v>
      </c>
    </row>
    <row r="64" spans="1:8" ht="26.25" x14ac:dyDescent="0.4">
      <c r="A64" s="2"/>
      <c r="B64" s="2"/>
      <c r="C64" s="109">
        <f>'01.09'!C63</f>
        <v>0</v>
      </c>
      <c r="D64" s="112">
        <f>'28.12'!D65+COUNTIF(D$9:D$38,$C64)</f>
        <v>0</v>
      </c>
      <c r="E64" s="112">
        <f>'28.12'!E65+COUNTIF(E$9:E$38,$C64)</f>
        <v>0</v>
      </c>
      <c r="F64" s="112">
        <f>'28.12'!F65+COUNTIF(F$9:F$38,$C64)</f>
        <v>0</v>
      </c>
      <c r="G64" s="112">
        <f>'28.12'!G65+COUNTIF(G$9:G$38,$C64)</f>
        <v>0</v>
      </c>
      <c r="H64" s="112">
        <f>'28.12'!H65+COUNTIF(H$9:H$38,$C64)</f>
        <v>0</v>
      </c>
    </row>
    <row r="65" spans="1:8" ht="26.25" x14ac:dyDescent="0.4">
      <c r="A65" s="2"/>
      <c r="B65" s="2"/>
      <c r="C65" s="109">
        <f>'01.09'!C64</f>
        <v>0</v>
      </c>
      <c r="D65" s="112">
        <f>'28.12'!D66+COUNTIF(D$9:D$38,$C65)</f>
        <v>0</v>
      </c>
      <c r="E65" s="112">
        <f>'28.12'!E66+COUNTIF(E$9:E$38,$C65)</f>
        <v>0</v>
      </c>
      <c r="F65" s="112">
        <f>'28.12'!F66+COUNTIF(F$9:F$38,$C65)</f>
        <v>0</v>
      </c>
      <c r="G65" s="112">
        <f>'28.12'!G66+COUNTIF(G$9:G$38,$C65)</f>
        <v>0</v>
      </c>
      <c r="H65" s="112">
        <f>'28.12'!H66+COUNTIF(H$9:H$38,$C65)</f>
        <v>0</v>
      </c>
    </row>
    <row r="66" spans="1:8" ht="26.25" x14ac:dyDescent="0.4">
      <c r="A66" s="2"/>
      <c r="B66" s="2"/>
      <c r="C66" s="109">
        <f>'01.09'!C65</f>
        <v>0</v>
      </c>
      <c r="D66" s="112">
        <f>'28.12'!D67+COUNTIF(D$9:D$38,$C66)</f>
        <v>0</v>
      </c>
      <c r="E66" s="112">
        <f>'28.12'!E67+COUNTIF(E$9:E$38,$C66)</f>
        <v>0</v>
      </c>
      <c r="F66" s="112">
        <f>'28.12'!F67+COUNTIF(F$9:F$38,$C66)</f>
        <v>0</v>
      </c>
      <c r="G66" s="112">
        <f>'28.12'!G67+COUNTIF(G$9:G$38,$C66)</f>
        <v>0</v>
      </c>
      <c r="H66" s="112">
        <f>'28.12'!H67+COUNTIF(H$9:H$38,$C66)</f>
        <v>0</v>
      </c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B1:H1"/>
    <mergeCell ref="B2:H2"/>
    <mergeCell ref="B3:H3"/>
    <mergeCell ref="B4:H4"/>
    <mergeCell ref="A7:A8"/>
    <mergeCell ref="B7:B8"/>
    <mergeCell ref="C7:C8"/>
    <mergeCell ref="A5:H5"/>
    <mergeCell ref="A9:A13"/>
    <mergeCell ref="B9:B13"/>
    <mergeCell ref="A14:A18"/>
    <mergeCell ref="B14:B18"/>
    <mergeCell ref="A19:A23"/>
    <mergeCell ref="B19:B23"/>
    <mergeCell ref="A24:A28"/>
    <mergeCell ref="B24:B28"/>
    <mergeCell ref="A29:A33"/>
    <mergeCell ref="B29:B33"/>
    <mergeCell ref="A34:A38"/>
    <mergeCell ref="B34:B38"/>
  </mergeCells>
  <pageMargins left="0.19685039370078741" right="0.19685039370078741" top="0.19685039370078741" bottom="0.74803149606299213" header="0.19685039370078741" footer="0.31496062992125984"/>
  <pageSetup paperSize="9" scale="28" fitToWidth="0" fitToHeight="0" orientation="portrait" r:id="rId1"/>
  <rowBreaks count="1" manualBreakCount="1">
    <brk id="39" max="8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view="pageBreakPreview" zoomScale="40" zoomScaleNormal="50" zoomScaleSheetLayoutView="40" zoomScalePageLayoutView="40" workbookViewId="0">
      <selection activeCell="E12" sqref="E12"/>
    </sheetView>
  </sheetViews>
  <sheetFormatPr defaultRowHeight="15" x14ac:dyDescent="0.25"/>
  <cols>
    <col min="1" max="1" width="4.42578125" customWidth="1"/>
    <col min="2" max="2" width="8.28515625" customWidth="1"/>
    <col min="3" max="3" width="25.85546875" customWidth="1"/>
    <col min="4" max="8" width="62.42578125" customWidth="1"/>
  </cols>
  <sheetData>
    <row r="1" spans="1:8" ht="34.5" customHeight="1" x14ac:dyDescent="0.3">
      <c r="A1" s="178"/>
      <c r="B1" s="760" t="s">
        <v>104</v>
      </c>
      <c r="C1" s="760"/>
      <c r="D1" s="760"/>
      <c r="E1" s="760"/>
      <c r="F1" s="760"/>
      <c r="G1" s="760"/>
      <c r="H1" s="760"/>
    </row>
    <row r="2" spans="1:8" ht="34.5" customHeight="1" x14ac:dyDescent="0.3">
      <c r="A2" s="179"/>
      <c r="B2" s="760" t="s">
        <v>87</v>
      </c>
      <c r="C2" s="760"/>
      <c r="D2" s="760"/>
      <c r="E2" s="760"/>
      <c r="F2" s="760"/>
      <c r="G2" s="760"/>
      <c r="H2" s="760"/>
    </row>
    <row r="3" spans="1:8" ht="32.25" customHeight="1" x14ac:dyDescent="0.25">
      <c r="A3" s="229"/>
      <c r="B3" s="787" t="s">
        <v>81</v>
      </c>
      <c r="C3" s="787"/>
      <c r="D3" s="787"/>
      <c r="E3" s="787"/>
      <c r="F3" s="787"/>
      <c r="G3" s="787"/>
      <c r="H3" s="787"/>
    </row>
    <row r="4" spans="1:8" ht="34.5" customHeight="1" x14ac:dyDescent="0.25">
      <c r="A4" s="180"/>
      <c r="B4" s="760" t="s">
        <v>105</v>
      </c>
      <c r="C4" s="760"/>
      <c r="D4" s="760"/>
      <c r="E4" s="760"/>
      <c r="F4" s="760"/>
      <c r="G4" s="760"/>
      <c r="H4" s="760"/>
    </row>
    <row r="5" spans="1:8" ht="33.75" customHeight="1" thickBot="1" x14ac:dyDescent="0.3">
      <c r="A5" s="682" t="s">
        <v>112</v>
      </c>
      <c r="B5" s="682"/>
      <c r="C5" s="682"/>
      <c r="D5" s="682"/>
      <c r="E5" s="682"/>
      <c r="F5" s="682"/>
      <c r="G5" s="682"/>
      <c r="H5" s="682"/>
    </row>
    <row r="6" spans="1:8" ht="21" hidden="1" thickBot="1" x14ac:dyDescent="0.35">
      <c r="A6" s="41"/>
      <c r="B6" s="40"/>
      <c r="C6" s="40"/>
      <c r="D6" s="269"/>
      <c r="E6" s="269"/>
      <c r="F6" s="269"/>
      <c r="G6" s="269"/>
      <c r="H6" s="269"/>
    </row>
    <row r="7" spans="1:8" ht="30.75" customHeight="1" thickBot="1" x14ac:dyDescent="0.3">
      <c r="A7" s="762" t="s">
        <v>54</v>
      </c>
      <c r="B7" s="762" t="s">
        <v>14</v>
      </c>
      <c r="C7" s="764" t="s">
        <v>55</v>
      </c>
      <c r="D7" s="241" t="s">
        <v>5</v>
      </c>
      <c r="E7" s="242" t="s">
        <v>6</v>
      </c>
      <c r="F7" s="242" t="s">
        <v>7</v>
      </c>
      <c r="G7" s="242" t="s">
        <v>8</v>
      </c>
      <c r="H7" s="243" t="s">
        <v>9</v>
      </c>
    </row>
    <row r="8" spans="1:8" ht="56.25" thickBot="1" x14ac:dyDescent="0.3">
      <c r="A8" s="763"/>
      <c r="B8" s="763"/>
      <c r="C8" s="765"/>
      <c r="D8" s="300" t="s">
        <v>106</v>
      </c>
      <c r="E8" s="370" t="s">
        <v>110</v>
      </c>
      <c r="F8" s="370" t="s">
        <v>107</v>
      </c>
      <c r="G8" s="370" t="s">
        <v>90</v>
      </c>
      <c r="H8" s="449" t="s">
        <v>78</v>
      </c>
    </row>
    <row r="9" spans="1:8" ht="81" customHeight="1" x14ac:dyDescent="0.25">
      <c r="A9" s="830" t="s">
        <v>0</v>
      </c>
      <c r="B9" s="780">
        <v>45824</v>
      </c>
      <c r="C9" s="211" t="s">
        <v>10</v>
      </c>
      <c r="D9" s="436"/>
      <c r="E9" s="437"/>
      <c r="F9" s="413"/>
      <c r="G9" s="437"/>
      <c r="H9" s="438"/>
    </row>
    <row r="10" spans="1:8" ht="81" customHeight="1" x14ac:dyDescent="0.25">
      <c r="A10" s="831"/>
      <c r="B10" s="773"/>
      <c r="C10" s="212" t="s">
        <v>11</v>
      </c>
      <c r="D10" s="317"/>
      <c r="E10" s="416"/>
      <c r="F10" s="319"/>
      <c r="G10" s="319"/>
      <c r="H10" s="414"/>
    </row>
    <row r="11" spans="1:8" ht="81" customHeight="1" x14ac:dyDescent="0.25">
      <c r="A11" s="831"/>
      <c r="B11" s="773"/>
      <c r="C11" s="212" t="s">
        <v>12</v>
      </c>
      <c r="D11" s="317"/>
      <c r="E11" s="383"/>
      <c r="F11" s="319"/>
      <c r="G11" s="383"/>
      <c r="H11" s="414"/>
    </row>
    <row r="12" spans="1:8" ht="81" customHeight="1" x14ac:dyDescent="0.25">
      <c r="A12" s="831"/>
      <c r="B12" s="773"/>
      <c r="C12" s="212" t="s">
        <v>13</v>
      </c>
      <c r="D12" s="317"/>
      <c r="E12" s="383"/>
      <c r="F12" s="383"/>
      <c r="G12" s="383"/>
      <c r="H12" s="414"/>
    </row>
    <row r="13" spans="1:8" ht="81" customHeight="1" thickBot="1" x14ac:dyDescent="0.3">
      <c r="A13" s="831"/>
      <c r="B13" s="773"/>
      <c r="C13" s="288" t="s">
        <v>15</v>
      </c>
      <c r="D13" s="429"/>
      <c r="E13" s="431"/>
      <c r="F13" s="431"/>
      <c r="G13" s="431"/>
      <c r="H13" s="432"/>
    </row>
    <row r="14" spans="1:8" ht="81" customHeight="1" x14ac:dyDescent="0.25">
      <c r="A14" s="822" t="s">
        <v>1</v>
      </c>
      <c r="B14" s="748">
        <f>B9+1</f>
        <v>45825</v>
      </c>
      <c r="C14" s="79" t="s">
        <v>10</v>
      </c>
      <c r="D14" s="436"/>
      <c r="E14" s="382"/>
      <c r="F14" s="382"/>
      <c r="G14" s="437"/>
      <c r="H14" s="438"/>
    </row>
    <row r="15" spans="1:8" ht="88.5" customHeight="1" x14ac:dyDescent="0.25">
      <c r="A15" s="825"/>
      <c r="B15" s="746"/>
      <c r="C15" s="80" t="s">
        <v>11</v>
      </c>
      <c r="D15" s="418"/>
      <c r="E15" s="383"/>
      <c r="F15" s="383"/>
      <c r="G15" s="319"/>
      <c r="H15" s="318"/>
    </row>
    <row r="16" spans="1:8" ht="81" customHeight="1" x14ac:dyDescent="0.25">
      <c r="A16" s="825"/>
      <c r="B16" s="746"/>
      <c r="C16" s="80" t="s">
        <v>12</v>
      </c>
      <c r="D16" s="317"/>
      <c r="E16" s="319"/>
      <c r="F16" s="319"/>
      <c r="G16" s="383"/>
      <c r="H16" s="318"/>
    </row>
    <row r="17" spans="1:10" ht="77.25" customHeight="1" x14ac:dyDescent="0.25">
      <c r="A17" s="825"/>
      <c r="B17" s="746"/>
      <c r="C17" s="80" t="s">
        <v>13</v>
      </c>
      <c r="D17" s="317"/>
      <c r="E17" s="319"/>
      <c r="F17" s="319"/>
      <c r="G17" s="383"/>
      <c r="H17" s="318"/>
    </row>
    <row r="18" spans="1:10" ht="81" customHeight="1" x14ac:dyDescent="0.25">
      <c r="A18" s="825"/>
      <c r="B18" s="746"/>
      <c r="C18" s="80" t="s">
        <v>15</v>
      </c>
      <c r="D18" s="317"/>
      <c r="E18" s="319"/>
      <c r="F18" s="319"/>
      <c r="G18" s="319"/>
      <c r="H18" s="318"/>
    </row>
    <row r="19" spans="1:10" ht="81" customHeight="1" thickBot="1" x14ac:dyDescent="0.3">
      <c r="A19" s="826"/>
      <c r="B19" s="746"/>
      <c r="C19" s="80" t="s">
        <v>60</v>
      </c>
      <c r="D19" s="204"/>
      <c r="E19" s="441"/>
      <c r="F19" s="416"/>
      <c r="G19" s="416"/>
      <c r="H19" s="417"/>
      <c r="J19" s="3"/>
    </row>
    <row r="20" spans="1:10" ht="81" customHeight="1" x14ac:dyDescent="0.25">
      <c r="A20" s="822" t="s">
        <v>2</v>
      </c>
      <c r="B20" s="748">
        <f>B14+1</f>
        <v>45826</v>
      </c>
      <c r="C20" s="79" t="s">
        <v>10</v>
      </c>
      <c r="D20" s="436"/>
      <c r="E20" s="437"/>
      <c r="F20" s="382"/>
      <c r="G20" s="437"/>
      <c r="H20" s="438"/>
    </row>
    <row r="21" spans="1:10" ht="81" customHeight="1" x14ac:dyDescent="0.25">
      <c r="A21" s="825"/>
      <c r="B21" s="746"/>
      <c r="C21" s="80" t="s">
        <v>11</v>
      </c>
      <c r="D21" s="317"/>
      <c r="E21" s="319"/>
      <c r="F21" s="383"/>
      <c r="G21" s="319"/>
      <c r="H21" s="318"/>
    </row>
    <row r="22" spans="1:10" ht="81" customHeight="1" x14ac:dyDescent="0.25">
      <c r="A22" s="825"/>
      <c r="B22" s="746"/>
      <c r="C22" s="80" t="s">
        <v>12</v>
      </c>
      <c r="D22" s="317"/>
      <c r="E22" s="383"/>
      <c r="F22" s="383"/>
      <c r="G22" s="319"/>
      <c r="H22" s="414"/>
      <c r="J22" s="3"/>
    </row>
    <row r="23" spans="1:10" ht="81" customHeight="1" x14ac:dyDescent="0.25">
      <c r="A23" s="825"/>
      <c r="B23" s="746"/>
      <c r="C23" s="80" t="s">
        <v>13</v>
      </c>
      <c r="D23" s="317"/>
      <c r="E23" s="383"/>
      <c r="F23" s="319"/>
      <c r="G23" s="383"/>
      <c r="H23" s="318"/>
    </row>
    <row r="24" spans="1:10" ht="81" customHeight="1" thickBot="1" x14ac:dyDescent="0.3">
      <c r="A24" s="826"/>
      <c r="B24" s="746"/>
      <c r="C24" s="223" t="s">
        <v>15</v>
      </c>
      <c r="D24" s="429"/>
      <c r="E24" s="430"/>
      <c r="F24" s="430"/>
      <c r="G24" s="431"/>
      <c r="H24" s="432"/>
    </row>
    <row r="25" spans="1:10" ht="81" customHeight="1" x14ac:dyDescent="0.25">
      <c r="A25" s="822" t="s">
        <v>3</v>
      </c>
      <c r="B25" s="748">
        <f>B20+1</f>
        <v>45827</v>
      </c>
      <c r="C25" s="224" t="s">
        <v>10</v>
      </c>
      <c r="D25" s="433"/>
      <c r="E25" s="434"/>
      <c r="F25" s="434"/>
      <c r="G25" s="434"/>
      <c r="H25" s="435"/>
    </row>
    <row r="26" spans="1:10" ht="81" customHeight="1" x14ac:dyDescent="0.25">
      <c r="A26" s="833"/>
      <c r="B26" s="746"/>
      <c r="C26" s="80" t="s">
        <v>11</v>
      </c>
      <c r="D26" s="317"/>
      <c r="E26" s="319"/>
      <c r="F26" s="383"/>
      <c r="G26" s="319"/>
      <c r="H26" s="318"/>
    </row>
    <row r="27" spans="1:10" ht="98.25" customHeight="1" x14ac:dyDescent="0.25">
      <c r="A27" s="833"/>
      <c r="B27" s="746"/>
      <c r="C27" s="80" t="s">
        <v>12</v>
      </c>
      <c r="D27" s="418"/>
      <c r="E27" s="383"/>
      <c r="F27" s="383"/>
      <c r="G27" s="383"/>
      <c r="H27" s="414"/>
    </row>
    <row r="28" spans="1:10" ht="98.25" customHeight="1" x14ac:dyDescent="0.25">
      <c r="A28" s="833"/>
      <c r="B28" s="746"/>
      <c r="C28" s="75" t="s">
        <v>13</v>
      </c>
      <c r="D28" s="375"/>
      <c r="E28" s="442"/>
      <c r="F28" s="383"/>
      <c r="G28" s="383"/>
      <c r="H28" s="414"/>
    </row>
    <row r="29" spans="1:10" ht="98.25" customHeight="1" x14ac:dyDescent="0.25">
      <c r="A29" s="833"/>
      <c r="B29" s="746"/>
      <c r="C29" s="381" t="s">
        <v>60</v>
      </c>
      <c r="D29" s="440"/>
      <c r="E29" s="442"/>
      <c r="F29" s="419"/>
      <c r="G29" s="419"/>
      <c r="H29" s="443"/>
    </row>
    <row r="30" spans="1:10" ht="81" customHeight="1" thickBot="1" x14ac:dyDescent="0.3">
      <c r="A30" s="834"/>
      <c r="B30" s="746"/>
      <c r="C30" s="76" t="s">
        <v>96</v>
      </c>
      <c r="D30" s="204"/>
      <c r="E30" s="442"/>
      <c r="F30" s="416"/>
      <c r="G30" s="416"/>
      <c r="H30" s="420"/>
    </row>
    <row r="31" spans="1:10" ht="81" customHeight="1" x14ac:dyDescent="0.25">
      <c r="A31" s="830" t="s">
        <v>4</v>
      </c>
      <c r="B31" s="772">
        <f>B25+1</f>
        <v>45828</v>
      </c>
      <c r="C31" s="266" t="s">
        <v>10</v>
      </c>
      <c r="D31" s="436"/>
      <c r="E31" s="437"/>
      <c r="F31" s="437"/>
      <c r="G31" s="437"/>
      <c r="H31" s="438"/>
    </row>
    <row r="32" spans="1:10" ht="81" customHeight="1" x14ac:dyDescent="0.25">
      <c r="A32" s="831"/>
      <c r="B32" s="773"/>
      <c r="C32" s="267" t="s">
        <v>11</v>
      </c>
      <c r="D32" s="317"/>
      <c r="E32" s="319"/>
      <c r="F32" s="319"/>
      <c r="G32" s="319"/>
      <c r="H32" s="318"/>
    </row>
    <row r="33" spans="1:8" ht="81" customHeight="1" x14ac:dyDescent="0.25">
      <c r="A33" s="831"/>
      <c r="B33" s="773"/>
      <c r="C33" s="267" t="s">
        <v>12</v>
      </c>
      <c r="D33" s="317"/>
      <c r="E33" s="319"/>
      <c r="F33" s="319"/>
      <c r="G33" s="319"/>
      <c r="H33" s="318"/>
    </row>
    <row r="34" spans="1:8" ht="81" customHeight="1" x14ac:dyDescent="0.25">
      <c r="A34" s="831"/>
      <c r="B34" s="773"/>
      <c r="C34" s="267" t="s">
        <v>13</v>
      </c>
      <c r="D34" s="317"/>
      <c r="E34" s="319"/>
      <c r="F34" s="319"/>
      <c r="G34" s="319"/>
      <c r="H34" s="414"/>
    </row>
    <row r="35" spans="1:8" ht="81" customHeight="1" thickBot="1" x14ac:dyDescent="0.3">
      <c r="A35" s="832"/>
      <c r="B35" s="773"/>
      <c r="C35" s="268" t="s">
        <v>15</v>
      </c>
      <c r="D35" s="424"/>
      <c r="E35" s="425"/>
      <c r="F35" s="425"/>
      <c r="G35" s="425"/>
      <c r="H35" s="426"/>
    </row>
    <row r="36" spans="1:8" ht="67.5" customHeight="1" x14ac:dyDescent="0.25">
      <c r="A36" s="829" t="s">
        <v>47</v>
      </c>
      <c r="B36" s="772">
        <f>B31+1</f>
        <v>45829</v>
      </c>
      <c r="C36" s="266" t="s">
        <v>10</v>
      </c>
      <c r="D36" s="144"/>
      <c r="E36" s="145"/>
      <c r="F36" s="145"/>
      <c r="G36" s="145"/>
      <c r="H36" s="146"/>
    </row>
    <row r="37" spans="1:8" ht="67.5" customHeight="1" x14ac:dyDescent="0.25">
      <c r="A37" s="773"/>
      <c r="B37" s="773"/>
      <c r="C37" s="267" t="s">
        <v>11</v>
      </c>
      <c r="D37" s="262"/>
      <c r="E37" s="141"/>
      <c r="F37" s="141"/>
      <c r="G37" s="142"/>
      <c r="H37" s="263"/>
    </row>
    <row r="38" spans="1:8" ht="67.5" customHeight="1" x14ac:dyDescent="0.25">
      <c r="A38" s="773"/>
      <c r="B38" s="773"/>
      <c r="C38" s="267" t="s">
        <v>12</v>
      </c>
      <c r="D38" s="262"/>
      <c r="E38" s="141"/>
      <c r="F38" s="390"/>
      <c r="G38" s="141"/>
      <c r="H38" s="391"/>
    </row>
    <row r="39" spans="1:8" ht="67.5" customHeight="1" x14ac:dyDescent="0.25">
      <c r="A39" s="773"/>
      <c r="B39" s="773"/>
      <c r="C39" s="267" t="s">
        <v>13</v>
      </c>
      <c r="D39" s="147"/>
      <c r="E39" s="142"/>
      <c r="F39" s="142"/>
      <c r="G39" s="141"/>
      <c r="H39" s="148"/>
    </row>
    <row r="40" spans="1:8" ht="67.5" customHeight="1" thickBot="1" x14ac:dyDescent="0.3">
      <c r="A40" s="774"/>
      <c r="B40" s="774"/>
      <c r="C40" s="268" t="s">
        <v>15</v>
      </c>
      <c r="D40" s="149"/>
      <c r="E40" s="100"/>
      <c r="F40" s="100"/>
      <c r="G40" s="100"/>
      <c r="H40" s="113"/>
    </row>
    <row r="41" spans="1:8" ht="28.5" customHeight="1" x14ac:dyDescent="0.3">
      <c r="A41" s="2"/>
      <c r="B41" s="2"/>
      <c r="C41" s="44"/>
      <c r="D41" s="181" t="s">
        <v>82</v>
      </c>
      <c r="E41" s="44"/>
      <c r="F41" s="44"/>
      <c r="G41" s="44"/>
      <c r="H41" s="44"/>
    </row>
    <row r="42" spans="1:8" s="19" customFormat="1" ht="26.25" x14ac:dyDescent="0.4">
      <c r="A42" s="18"/>
      <c r="B42" s="215"/>
      <c r="C42" s="439" t="str">
        <f>'01.09'!C39</f>
        <v>*Л. Физиология человека*</v>
      </c>
      <c r="D42" s="228">
        <f>'09.06'!D40+COUNTIF(D$9:D$40,$C42)</f>
        <v>12</v>
      </c>
      <c r="E42" s="228">
        <f>'09.06'!E40+COUNTIF(E$9:E$40,$C42)</f>
        <v>12</v>
      </c>
      <c r="F42" s="228">
        <f>'09.06'!F40+COUNTIF(F$9:F$40,$C42)</f>
        <v>12</v>
      </c>
      <c r="G42" s="228">
        <f>'09.06'!G40+COUNTIF(G$9:G$40,$C42)</f>
        <v>12</v>
      </c>
      <c r="H42" s="228">
        <f>'09.06'!H40+COUNTIF(H$9:H$40,$C42)</f>
        <v>12</v>
      </c>
    </row>
    <row r="43" spans="1:8" s="19" customFormat="1" ht="26.25" x14ac:dyDescent="0.4">
      <c r="A43" s="18"/>
      <c r="B43" s="215"/>
      <c r="C43" s="439" t="str">
        <f>'01.09'!C40</f>
        <v>*Пр. Физиология человека*</v>
      </c>
      <c r="D43" s="428">
        <f>'09.06'!D41+COUNTIF(D$9:D$40,$C43)</f>
        <v>19</v>
      </c>
      <c r="E43" s="228">
        <f>'09.06'!E41+COUNTIF(E$9:E$40,$C43)</f>
        <v>20</v>
      </c>
      <c r="F43" s="388">
        <f>'09.06'!F41+COUNTIF(F$9:F$40,$C43)</f>
        <v>19</v>
      </c>
      <c r="G43" s="228">
        <f>'09.06'!G41+COUNTIF(G$9:G$40,$C43)</f>
        <v>20</v>
      </c>
      <c r="H43" s="228">
        <f>'09.06'!H41+COUNTIF(H$9:H$40,$C43)</f>
        <v>20</v>
      </c>
    </row>
    <row r="44" spans="1:8" s="19" customFormat="1" ht="26.25" x14ac:dyDescent="0.4">
      <c r="A44" s="18"/>
      <c r="B44" s="216"/>
      <c r="C44" s="439" t="str">
        <f>'01.09'!C41</f>
        <v>*Л. Элективные дисциплины по ФКиС: Фехтование*</v>
      </c>
      <c r="D44" s="228">
        <f>'09.06'!D42+COUNTIF(D$9:D$40,$C44)</f>
        <v>1</v>
      </c>
      <c r="E44" s="228">
        <f>'09.06'!E42+COUNTIF(E$9:E$40,$C44)</f>
        <v>1</v>
      </c>
      <c r="F44" s="228">
        <f>'09.06'!F42+COUNTIF(F$9:F$40,$C44)</f>
        <v>1</v>
      </c>
      <c r="G44" s="228">
        <f>'09.06'!G42+COUNTIF(G$9:G$40,$C44)</f>
        <v>1</v>
      </c>
      <c r="H44" s="228">
        <f>'09.06'!H42+COUNTIF(H$9:H$40,$C44)</f>
        <v>1</v>
      </c>
    </row>
    <row r="45" spans="1:8" s="19" customFormat="1" ht="26.25" x14ac:dyDescent="0.4">
      <c r="A45" s="18"/>
      <c r="B45" s="216"/>
      <c r="C45" s="439" t="str">
        <f>'01.09'!C42</f>
        <v>*Пр. Элективные дисциплины по ФКиС: Фехтование*</v>
      </c>
      <c r="D45" s="228">
        <f>'09.06'!D43+COUNTIF(D$9:D$40,$C45)</f>
        <v>6</v>
      </c>
      <c r="E45" s="228">
        <f>'09.06'!E43+COUNTIF(E$9:E$40,$C45)</f>
        <v>6</v>
      </c>
      <c r="F45" s="228">
        <f>'09.06'!F43+COUNTIF(F$9:F$40,$C45)</f>
        <v>6</v>
      </c>
      <c r="G45" s="228">
        <f>'09.06'!G43+COUNTIF(G$9:G$40,$C45)</f>
        <v>6</v>
      </c>
      <c r="H45" s="228">
        <f>'09.06'!H43+COUNTIF(H$9:H$40,$C45)</f>
        <v>6</v>
      </c>
    </row>
    <row r="46" spans="1:8" s="19" customFormat="1" ht="26.25" x14ac:dyDescent="0.4">
      <c r="A46" s="18"/>
      <c r="B46" s="215"/>
      <c r="C46" s="439" t="str">
        <f>'01.09'!C43</f>
        <v>*Л. Педагогика физической культуры и спорта*</v>
      </c>
      <c r="D46" s="228">
        <f>'09.06'!D44+COUNTIF(D$9:D$40,$C46)</f>
        <v>5</v>
      </c>
      <c r="E46" s="228">
        <f>'09.06'!E44+COUNTIF(E$9:E$40,$C46)</f>
        <v>5</v>
      </c>
      <c r="F46" s="228">
        <f>'09.06'!F44+COUNTIF(F$9:F$40,$C46)</f>
        <v>5</v>
      </c>
      <c r="G46" s="228">
        <f>'09.06'!G44+COUNTIF(G$9:G$40,$C46)</f>
        <v>5</v>
      </c>
      <c r="H46" s="228">
        <f>'09.06'!H44+COUNTIF(H$9:H$40,$C46)</f>
        <v>5</v>
      </c>
    </row>
    <row r="47" spans="1:8" s="19" customFormat="1" ht="26.25" x14ac:dyDescent="0.4">
      <c r="A47" s="18"/>
      <c r="B47" s="215"/>
      <c r="C47" s="439" t="str">
        <f>'01.09'!C44</f>
        <v>*Пр. Педагогика физической культуры и спорта*</v>
      </c>
      <c r="D47" s="228">
        <f>'09.06'!D45+COUNTIF(D$9:D$40,$C47)</f>
        <v>6</v>
      </c>
      <c r="E47" s="228">
        <f>'09.06'!E45+COUNTIF(E$9:E$40,$C47)</f>
        <v>5</v>
      </c>
      <c r="F47" s="228">
        <f>'09.06'!F45+COUNTIF(F$9:F$40,$C47)</f>
        <v>5</v>
      </c>
      <c r="G47" s="228">
        <f>'09.06'!G45+COUNTIF(G$9:G$40,$C47)</f>
        <v>5</v>
      </c>
      <c r="H47" s="228">
        <f>'09.06'!H45+COUNTIF(H$9:H$40,$C47)</f>
        <v>4</v>
      </c>
    </row>
    <row r="48" spans="1:8" s="19" customFormat="1" ht="26.25" x14ac:dyDescent="0.4">
      <c r="A48" s="18"/>
      <c r="B48" s="215"/>
      <c r="C48" s="439" t="str">
        <f>'01.09'!C45</f>
        <v>*Л. Теория и методика*</v>
      </c>
      <c r="D48" s="228">
        <f>'09.06'!D46+COUNTIF(D$9:D$40,$C48)</f>
        <v>4</v>
      </c>
      <c r="E48" s="228">
        <f>'09.06'!E46+COUNTIF(E$9:E$40,$C48)</f>
        <v>4</v>
      </c>
      <c r="F48" s="228">
        <f>'09.06'!F46+COUNTIF(F$9:F$40,$C48)</f>
        <v>4</v>
      </c>
      <c r="G48" s="228">
        <f>'09.06'!G46+COUNTIF(G$9:G$40,$C48)</f>
        <v>4</v>
      </c>
      <c r="H48" s="228">
        <f>'09.06'!H46+COUNTIF(H$9:H$40,$C48)</f>
        <v>4</v>
      </c>
    </row>
    <row r="49" spans="1:8" s="19" customFormat="1" ht="26.25" x14ac:dyDescent="0.4">
      <c r="A49" s="18"/>
      <c r="B49" s="215"/>
      <c r="C49" s="439" t="str">
        <f>'01.09'!C46</f>
        <v>*Пр. Теория и методика*</v>
      </c>
      <c r="D49" s="228">
        <f>'09.06'!D47+COUNTIF(D$9:D$40,$C49)</f>
        <v>27</v>
      </c>
      <c r="E49" s="228">
        <f>'09.06'!E47+COUNTIF(E$9:E$40,$C49)</f>
        <v>27</v>
      </c>
      <c r="F49" s="228">
        <f>'09.06'!F47+COUNTIF(F$9:F$40,$C49)</f>
        <v>27</v>
      </c>
      <c r="G49" s="228">
        <f>'09.06'!G47+COUNTIF(G$9:G$40,$C49)</f>
        <v>27</v>
      </c>
      <c r="H49" s="228">
        <f>'09.06'!H47+COUNTIF(H$9:H$40,$C49)</f>
        <v>25</v>
      </c>
    </row>
    <row r="50" spans="1:8" s="19" customFormat="1" ht="26.25" x14ac:dyDescent="0.4">
      <c r="A50" s="18"/>
      <c r="B50" s="215"/>
      <c r="C50" s="439" t="str">
        <f>'01.09'!C47</f>
        <v>*Л.  Теория и методика физической культуры*</v>
      </c>
      <c r="D50" s="228">
        <f>'09.06'!D48+COUNTIF(D$9:D$40,$C50)</f>
        <v>10</v>
      </c>
      <c r="E50" s="228">
        <f>'09.06'!E48+COUNTIF(E$9:E$40,$C50)</f>
        <v>10</v>
      </c>
      <c r="F50" s="228">
        <f>'09.06'!F48+COUNTIF(F$9:F$40,$C50)</f>
        <v>10</v>
      </c>
      <c r="G50" s="228">
        <f>'09.06'!G48+COUNTIF(G$9:G$40,$C50)</f>
        <v>10</v>
      </c>
      <c r="H50" s="228">
        <f>'09.06'!H48+COUNTIF(H$9:H$40,$C50)</f>
        <v>10</v>
      </c>
    </row>
    <row r="51" spans="1:8" s="19" customFormat="1" ht="26.25" x14ac:dyDescent="0.4">
      <c r="A51" s="18"/>
      <c r="B51" s="215"/>
      <c r="C51" s="439" t="str">
        <f>'01.09'!C48</f>
        <v>*Пр.  Теория и методика физической культуры*</v>
      </c>
      <c r="D51" s="228">
        <f>'09.06'!D49+COUNTIF(D$9:D$40,$C51)</f>
        <v>6</v>
      </c>
      <c r="E51" s="228">
        <f>'09.06'!E49+COUNTIF(E$9:E$40,$C51)</f>
        <v>6</v>
      </c>
      <c r="F51" s="228">
        <f>'09.06'!F49+COUNTIF(F$9:F$40,$C51)</f>
        <v>6</v>
      </c>
      <c r="G51" s="228">
        <f>'09.06'!G49+COUNTIF(G$9:G$40,$C51)</f>
        <v>5</v>
      </c>
      <c r="H51" s="228">
        <f>'09.06'!H49+COUNTIF(H$9:H$40,$C51)</f>
        <v>5</v>
      </c>
    </row>
    <row r="52" spans="1:8" s="19" customFormat="1" ht="26.25" x14ac:dyDescent="0.4">
      <c r="A52" s="18"/>
      <c r="B52" s="215"/>
      <c r="C52" s="439" t="str">
        <f>'01.09'!C49</f>
        <v>*Л. Плавание*</v>
      </c>
      <c r="D52" s="228">
        <f>'09.06'!D50+COUNTIF(D$9:D$40,$C52)</f>
        <v>2</v>
      </c>
      <c r="E52" s="228">
        <f>'09.06'!E50+COUNTIF(E$9:E$40,$C52)</f>
        <v>2</v>
      </c>
      <c r="F52" s="228">
        <f>'09.06'!F50+COUNTIF(F$9:F$40,$C52)</f>
        <v>2</v>
      </c>
      <c r="G52" s="228">
        <f>'09.06'!G50+COUNTIF(G$9:G$40,$C52)</f>
        <v>2</v>
      </c>
      <c r="H52" s="228">
        <f>'09.06'!H50+COUNTIF(H$9:H$40,$C52)</f>
        <v>2</v>
      </c>
    </row>
    <row r="53" spans="1:8" s="19" customFormat="1" ht="26.25" x14ac:dyDescent="0.4">
      <c r="A53" s="18"/>
      <c r="B53" s="215"/>
      <c r="C53" s="439" t="str">
        <f>'01.09'!C50</f>
        <v>*Пр. Плавание*</v>
      </c>
      <c r="D53" s="228">
        <f>'09.06'!D51+COUNTIF(D$9:D$40,$C53)</f>
        <v>18</v>
      </c>
      <c r="E53" s="228">
        <f>'09.06'!E51+COUNTIF(E$9:E$40,$C53)</f>
        <v>18</v>
      </c>
      <c r="F53" s="228">
        <f>'09.06'!F51+COUNTIF(F$9:F$40,$C53)</f>
        <v>20</v>
      </c>
      <c r="G53" s="228">
        <f>'09.06'!G51+COUNTIF(G$9:G$40,$C53)</f>
        <v>20</v>
      </c>
      <c r="H53" s="228">
        <f>'09.06'!H51+COUNTIF(H$9:H$40,$C53)</f>
        <v>20</v>
      </c>
    </row>
    <row r="54" spans="1:8" s="19" customFormat="1" ht="26.25" x14ac:dyDescent="0.4">
      <c r="A54" s="18"/>
      <c r="B54" s="215"/>
      <c r="C54" s="439" t="str">
        <f>'01.09'!C51</f>
        <v>*Л. Подвижные игры в спорте и образовании*</v>
      </c>
      <c r="D54" s="228">
        <f>'09.06'!D52+COUNTIF(D$9:D$40,$C54)</f>
        <v>1</v>
      </c>
      <c r="E54" s="228">
        <f>'09.06'!E52+COUNTIF(E$9:E$40,$C54)</f>
        <v>1</v>
      </c>
      <c r="F54" s="228">
        <f>'09.06'!F52+COUNTIF(F$9:F$40,$C54)</f>
        <v>1</v>
      </c>
      <c r="G54" s="228">
        <f>'09.06'!G52+COUNTIF(G$9:G$40,$C54)</f>
        <v>1</v>
      </c>
      <c r="H54" s="228">
        <f>'09.06'!H52+COUNTIF(H$9:H$40,$C54)</f>
        <v>1</v>
      </c>
    </row>
    <row r="55" spans="1:8" s="19" customFormat="1" ht="26.25" x14ac:dyDescent="0.4">
      <c r="A55" s="18"/>
      <c r="B55" s="215"/>
      <c r="C55" s="439" t="str">
        <f>'01.09'!C52</f>
        <v>*Пр. Подвижные игры в спорте и образовании*</v>
      </c>
      <c r="D55" s="228">
        <f>'09.06'!D53+COUNTIF(D$9:D$40,$C55)</f>
        <v>10</v>
      </c>
      <c r="E55" s="228">
        <f>'09.06'!E53+COUNTIF(E$9:E$40,$C55)</f>
        <v>10</v>
      </c>
      <c r="F55" s="228">
        <f>'09.06'!F53+COUNTIF(F$9:F$40,$C55)</f>
        <v>9</v>
      </c>
      <c r="G55" s="228">
        <f>'09.06'!G53+COUNTIF(G$9:G$40,$C55)</f>
        <v>10</v>
      </c>
      <c r="H55" s="228">
        <f>'09.06'!H53+COUNTIF(H$9:H$40,$C55)</f>
        <v>10</v>
      </c>
    </row>
    <row r="56" spans="1:8" s="19" customFormat="1" ht="26.25" x14ac:dyDescent="0.4">
      <c r="A56" s="18"/>
      <c r="B56" s="215"/>
      <c r="C56" s="439" t="str">
        <f>'01.09'!C53</f>
        <v>*Л. Самооборона (самбо)*</v>
      </c>
      <c r="D56" s="228">
        <f>'09.06'!D54+COUNTIF(D$9:D$40,$C56)</f>
        <v>1</v>
      </c>
      <c r="E56" s="228">
        <f>'09.06'!E54+COUNTIF(E$9:E$40,$C56)</f>
        <v>1</v>
      </c>
      <c r="F56" s="228">
        <f>'09.06'!F54+COUNTIF(F$9:F$40,$C56)</f>
        <v>1</v>
      </c>
      <c r="G56" s="228">
        <f>'09.06'!G54+COUNTIF(G$9:G$40,$C56)</f>
        <v>1</v>
      </c>
      <c r="H56" s="228">
        <f>'09.06'!H54+COUNTIF(H$9:H$40,$C56)</f>
        <v>1</v>
      </c>
    </row>
    <row r="57" spans="1:8" s="19" customFormat="1" ht="26.25" x14ac:dyDescent="0.4">
      <c r="A57" s="18"/>
      <c r="B57" s="215"/>
      <c r="C57" s="439" t="str">
        <f>'01.09'!C54</f>
        <v>*Пр. Самооборона (самбо)*</v>
      </c>
      <c r="D57" s="428">
        <f>'09.06'!D55+COUNTIF(D$9:D$40,$C57)</f>
        <v>10</v>
      </c>
      <c r="E57" s="228">
        <f>'09.06'!E55+COUNTIF(E$9:E$40,$C57)</f>
        <v>10</v>
      </c>
      <c r="F57" s="228">
        <f>'09.06'!F55+COUNTIF(F$9:F$40,$C57)</f>
        <v>9</v>
      </c>
      <c r="G57" s="228">
        <f>'09.06'!G55+COUNTIF(G$9:G$40,$C57)</f>
        <v>10</v>
      </c>
      <c r="H57" s="228">
        <f>'09.06'!H55+COUNTIF(H$9:H$40,$C57)</f>
        <v>10</v>
      </c>
    </row>
    <row r="58" spans="1:8" s="19" customFormat="1" ht="26.25" x14ac:dyDescent="0.4">
      <c r="A58" s="18"/>
      <c r="B58" s="215"/>
      <c r="C58" s="439" t="str">
        <f>'01.09'!C55</f>
        <v>*Л. Методика реализации программ*</v>
      </c>
      <c r="D58" s="228">
        <f>'09.06'!D56+COUNTIF(D$9:D$40,$C58)</f>
        <v>3</v>
      </c>
      <c r="E58" s="228">
        <f>'09.06'!E56+COUNTIF(E$9:E$40,$C58)</f>
        <v>3</v>
      </c>
      <c r="F58" s="228">
        <f>'09.06'!F56+COUNTIF(F$9:F$40,$C58)</f>
        <v>3</v>
      </c>
      <c r="G58" s="228">
        <f>'09.06'!G56+COUNTIF(G$9:G$40,$C58)</f>
        <v>3</v>
      </c>
      <c r="H58" s="228">
        <f>'09.06'!H56+COUNTIF(H$9:H$40,$C58)</f>
        <v>3</v>
      </c>
    </row>
    <row r="59" spans="1:8" s="19" customFormat="1" ht="26.25" x14ac:dyDescent="0.4">
      <c r="A59" s="18"/>
      <c r="B59" s="215"/>
      <c r="C59" s="439" t="str">
        <f>'01.09'!C56</f>
        <v>*Пр. Методика реализации программ*</v>
      </c>
      <c r="D59" s="228">
        <f>'09.06'!D57+COUNTIF(D$9:D$40,$C59)</f>
        <v>6</v>
      </c>
      <c r="E59" s="228">
        <f>'09.06'!E57+COUNTIF(E$9:E$40,$C59)</f>
        <v>6</v>
      </c>
      <c r="F59" s="228">
        <f>'09.06'!F57+COUNTIF(F$9:F$40,$C59)</f>
        <v>6</v>
      </c>
      <c r="G59" s="228">
        <f>'09.06'!G57+COUNTIF(G$9:G$40,$C59)</f>
        <v>6</v>
      </c>
      <c r="H59" s="228">
        <f>'09.06'!H57+COUNTIF(H$9:H$40,$C59)</f>
        <v>6</v>
      </c>
    </row>
    <row r="60" spans="1:8" s="19" customFormat="1" ht="26.25" x14ac:dyDescent="0.4">
      <c r="A60" s="18"/>
      <c r="B60" s="215"/>
      <c r="C60" s="439" t="str">
        <f>'01.09'!C57</f>
        <v>*Л. Методика преподавания*</v>
      </c>
      <c r="D60" s="228">
        <f>'09.06'!D58+COUNTIF(D$9:D$40,$C60)</f>
        <v>3</v>
      </c>
      <c r="E60" s="228">
        <f>'09.06'!E58+COUNTIF(E$9:E$40,$C60)</f>
        <v>3</v>
      </c>
      <c r="F60" s="228">
        <f>'09.06'!F58+COUNTIF(F$9:F$40,$C60)</f>
        <v>3</v>
      </c>
      <c r="G60" s="228">
        <f>'09.06'!G58+COUNTIF(G$9:G$40,$C60)</f>
        <v>3</v>
      </c>
      <c r="H60" s="228">
        <f>'09.06'!H58+COUNTIF(H$9:H$40,$C60)</f>
        <v>3</v>
      </c>
    </row>
    <row r="61" spans="1:8" s="19" customFormat="1" ht="26.25" x14ac:dyDescent="0.4">
      <c r="A61" s="18"/>
      <c r="B61" s="215"/>
      <c r="C61" s="439" t="str">
        <f>'01.09'!C58</f>
        <v>*Пр. Методика преподавания*</v>
      </c>
      <c r="D61" s="228">
        <f>'09.06'!D59+COUNTIF(D$9:D$40,$C61)</f>
        <v>6</v>
      </c>
      <c r="E61" s="228">
        <f>'09.06'!E59+COUNTIF(E$9:E$40,$C61)</f>
        <v>6</v>
      </c>
      <c r="F61" s="228">
        <f>'09.06'!F59+COUNTIF(F$9:F$40,$C61)</f>
        <v>6</v>
      </c>
      <c r="G61" s="228">
        <f>'09.06'!G59+COUNTIF(G$9:G$40,$C61)</f>
        <v>6</v>
      </c>
      <c r="H61" s="228">
        <f>'09.06'!H59+COUNTIF(H$9:H$40,$C61)</f>
        <v>6</v>
      </c>
    </row>
    <row r="62" spans="1:8" s="19" customFormat="1" ht="26.25" x14ac:dyDescent="0.4">
      <c r="A62" s="18"/>
      <c r="B62" s="183"/>
      <c r="C62" s="439">
        <f>'01.09'!C59</f>
        <v>0</v>
      </c>
      <c r="D62" s="228">
        <f>'09.06'!D60+COUNTIF(D$9:D$40,$C62)</f>
        <v>0</v>
      </c>
      <c r="E62" s="428">
        <f>'09.06'!E60+COUNTIF(E$9:E$40,$C62)</f>
        <v>0</v>
      </c>
      <c r="F62" s="428">
        <f>'09.06'!F60+COUNTIF(F$9:F$40,$C62)</f>
        <v>0</v>
      </c>
      <c r="G62" s="428">
        <f>'09.06'!G60+COUNTIF(G$9:G$40,$C62)</f>
        <v>0</v>
      </c>
      <c r="H62" s="428">
        <f>'09.06'!H60+COUNTIF(H$9:H$40,$C62)</f>
        <v>0</v>
      </c>
    </row>
    <row r="63" spans="1:8" s="19" customFormat="1" ht="26.25" x14ac:dyDescent="0.4">
      <c r="A63" s="18"/>
      <c r="B63" s="183"/>
      <c r="C63" s="439">
        <f>'01.09'!C60</f>
        <v>0</v>
      </c>
      <c r="D63" s="228">
        <f>'09.06'!D61+COUNTIF(D$9:D$40,$C63)</f>
        <v>0</v>
      </c>
      <c r="E63" s="428">
        <f>'09.06'!E61+COUNTIF(E$9:E$40,$C63)</f>
        <v>0</v>
      </c>
      <c r="F63" s="428">
        <f>'09.06'!F61+COUNTIF(F$9:F$40,$C63)</f>
        <v>0</v>
      </c>
      <c r="G63" s="428">
        <f>'09.06'!G61+COUNTIF(G$9:G$40,$C63)</f>
        <v>0</v>
      </c>
      <c r="H63" s="428">
        <f>'09.06'!H61+COUNTIF(H$9:H$40,$C63)</f>
        <v>0</v>
      </c>
    </row>
    <row r="64" spans="1:8" ht="26.25" x14ac:dyDescent="0.4">
      <c r="A64" s="2"/>
      <c r="B64" s="215"/>
      <c r="C64" s="439">
        <f>'01.09'!C61</f>
        <v>0</v>
      </c>
      <c r="D64" s="228">
        <f>'09.06'!D62+COUNTIF(D$9:D$40,$C64)</f>
        <v>0</v>
      </c>
      <c r="E64" s="428">
        <f>'09.06'!E62+COUNTIF(E$9:E$40,$C64)</f>
        <v>0</v>
      </c>
      <c r="F64" s="428">
        <f>'09.06'!F62+COUNTIF(F$9:F$40,$C64)</f>
        <v>0</v>
      </c>
      <c r="G64" s="428">
        <f>'09.06'!G62+COUNTIF(G$9:G$40,$C64)</f>
        <v>0</v>
      </c>
      <c r="H64" s="428">
        <f>'09.06'!H62+COUNTIF(H$9:H$40,$C64)</f>
        <v>0</v>
      </c>
    </row>
    <row r="65" spans="1:8" ht="26.25" x14ac:dyDescent="0.4">
      <c r="A65" s="2"/>
      <c r="B65" s="215"/>
      <c r="C65" s="439">
        <f>'01.09'!C62</f>
        <v>0</v>
      </c>
      <c r="D65" s="228">
        <f>'09.06'!D63+COUNTIF(D$9:D$40,$C65)</f>
        <v>0</v>
      </c>
      <c r="E65" s="428">
        <f>'09.06'!E63+COUNTIF(E$9:E$40,$C65)</f>
        <v>0</v>
      </c>
      <c r="F65" s="428">
        <f>'09.06'!F63+COUNTIF(F$9:F$40,$C65)</f>
        <v>0</v>
      </c>
      <c r="G65" s="428">
        <f>'09.06'!G63+COUNTIF(G$9:G$40,$C65)</f>
        <v>0</v>
      </c>
      <c r="H65" s="428">
        <f>'09.06'!H63+COUNTIF(H$9:H$40,$C65)</f>
        <v>0</v>
      </c>
    </row>
    <row r="66" spans="1:8" ht="26.25" x14ac:dyDescent="0.4">
      <c r="A66" s="2"/>
      <c r="B66" s="215"/>
      <c r="C66" s="439">
        <f>'01.09'!C63</f>
        <v>0</v>
      </c>
      <c r="D66" s="228">
        <f>'09.06'!D64+COUNTIF(D$9:D$40,$C66)</f>
        <v>0</v>
      </c>
      <c r="E66" s="428">
        <f>'09.06'!E64+COUNTIF(E$9:E$40,$C66)</f>
        <v>0</v>
      </c>
      <c r="F66" s="428">
        <f>'09.06'!F64+COUNTIF(F$9:F$40,$C66)</f>
        <v>0</v>
      </c>
      <c r="G66" s="428">
        <f>'09.06'!G64+COUNTIF(G$9:G$40,$C66)</f>
        <v>0</v>
      </c>
      <c r="H66" s="428">
        <f>'09.06'!H64+COUNTIF(H$9:H$40,$C66)</f>
        <v>0</v>
      </c>
    </row>
    <row r="67" spans="1:8" ht="26.25" x14ac:dyDescent="0.4">
      <c r="A67" s="2"/>
      <c r="B67" s="215"/>
      <c r="C67" s="439">
        <f>'01.09'!C64</f>
        <v>0</v>
      </c>
      <c r="D67" s="228">
        <f>'09.06'!D65+COUNTIF(D$9:D$40,$C67)</f>
        <v>0</v>
      </c>
      <c r="E67" s="428">
        <f>'09.06'!E65+COUNTIF(E$9:E$40,$C67)</f>
        <v>0</v>
      </c>
      <c r="F67" s="428">
        <f>'09.06'!F65+COUNTIF(F$9:F$40,$C67)</f>
        <v>0</v>
      </c>
      <c r="G67" s="428">
        <f>'09.06'!G65+COUNTIF(G$9:G$40,$C67)</f>
        <v>0</v>
      </c>
      <c r="H67" s="428">
        <f>'09.06'!H65+COUNTIF(H$9:H$40,$C67)</f>
        <v>0</v>
      </c>
    </row>
    <row r="68" spans="1:8" ht="26.25" x14ac:dyDescent="0.4">
      <c r="A68" s="2"/>
      <c r="B68" s="2"/>
      <c r="C68" s="109">
        <f>'01.09'!C65</f>
        <v>0</v>
      </c>
      <c r="D68" s="228">
        <f>'09.06'!D66+COUNTIF(D$9:D$40,$C68)</f>
        <v>0</v>
      </c>
      <c r="E68" s="228">
        <f>'09.06'!E66+COUNTIF(E$9:E$40,$C68)</f>
        <v>0</v>
      </c>
      <c r="F68" s="228">
        <f>'09.06'!F66+COUNTIF(F$9:F$40,$C68)</f>
        <v>0</v>
      </c>
      <c r="G68" s="228">
        <f>'09.06'!G66+COUNTIF(G$9:G$40,$C68)</f>
        <v>0</v>
      </c>
      <c r="H68" s="228">
        <f>'09.06'!H66+COUNTIF(H$9:H$40,$C68)</f>
        <v>0</v>
      </c>
    </row>
    <row r="69" spans="1:8" ht="26.25" x14ac:dyDescent="0.4">
      <c r="A69" s="2"/>
      <c r="B69" s="2"/>
      <c r="C69" s="109">
        <f>'01.09'!C66</f>
        <v>0</v>
      </c>
      <c r="D69" s="228">
        <f>'09.06'!D67+COUNTIF(D$9:D$40,$C69)</f>
        <v>0</v>
      </c>
      <c r="E69" s="228">
        <f>'09.06'!E67+COUNTIF(E$9:E$40,$C69)</f>
        <v>0</v>
      </c>
      <c r="F69" s="228">
        <f>'09.06'!F67+COUNTIF(F$9:F$40,$C69)</f>
        <v>0</v>
      </c>
      <c r="G69" s="228">
        <f>'09.06'!G67+COUNTIF(G$9:G$40,$C69)</f>
        <v>0</v>
      </c>
      <c r="H69" s="228">
        <f>'09.06'!H67+COUNTIF(H$9:H$40,$C69)</f>
        <v>0</v>
      </c>
    </row>
    <row r="70" spans="1:8" ht="26.25" x14ac:dyDescent="0.4">
      <c r="A70" s="2"/>
      <c r="B70" s="2"/>
      <c r="C70" s="109">
        <f>'01.09'!C67</f>
        <v>0</v>
      </c>
      <c r="D70" s="228">
        <f>'09.06'!D68+COUNTIF(D$9:D$40,$C70)</f>
        <v>0</v>
      </c>
      <c r="E70" s="228">
        <f>'09.06'!E68+COUNTIF(E$9:E$40,$C70)</f>
        <v>0</v>
      </c>
      <c r="F70" s="228">
        <f>'09.06'!F68+COUNTIF(F$9:F$40,$C70)</f>
        <v>0</v>
      </c>
      <c r="G70" s="228">
        <f>'09.06'!G68+COUNTIF(G$9:G$40,$C70)</f>
        <v>0</v>
      </c>
      <c r="H70" s="228">
        <f>'09.06'!H68+COUNTIF(H$9:H$40,$C70)</f>
        <v>0</v>
      </c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  <row r="73" spans="1:8" x14ac:dyDescent="0.25">
      <c r="A73" s="2"/>
      <c r="B73" s="2"/>
      <c r="C73" s="2"/>
      <c r="D73" s="2"/>
      <c r="E73" s="2"/>
      <c r="F73" s="2"/>
      <c r="G73" s="2"/>
      <c r="H73" s="2"/>
    </row>
    <row r="74" spans="1:8" x14ac:dyDescent="0.25">
      <c r="A74" s="2"/>
      <c r="B74" s="2"/>
      <c r="C74" s="2"/>
      <c r="D74" s="2"/>
      <c r="E74" s="2"/>
      <c r="F74" s="2"/>
      <c r="G74" s="2"/>
      <c r="H74" s="2"/>
    </row>
  </sheetData>
  <mergeCells count="20">
    <mergeCell ref="B1:H1"/>
    <mergeCell ref="B2:H2"/>
    <mergeCell ref="B3:H3"/>
    <mergeCell ref="B4:H4"/>
    <mergeCell ref="A7:A8"/>
    <mergeCell ref="B7:B8"/>
    <mergeCell ref="C7:C8"/>
    <mergeCell ref="A5:H5"/>
    <mergeCell ref="A9:A13"/>
    <mergeCell ref="B9:B13"/>
    <mergeCell ref="A14:A19"/>
    <mergeCell ref="B14:B19"/>
    <mergeCell ref="A20:A24"/>
    <mergeCell ref="B20:B24"/>
    <mergeCell ref="A25:A30"/>
    <mergeCell ref="B25:B30"/>
    <mergeCell ref="A31:A35"/>
    <mergeCell ref="B31:B35"/>
    <mergeCell ref="A36:A40"/>
    <mergeCell ref="B36:B40"/>
  </mergeCells>
  <conditionalFormatting sqref="D42:H42">
    <cfRule type="cellIs" dxfId="25" priority="26" operator="lessThan">
      <formula>11</formula>
    </cfRule>
  </conditionalFormatting>
  <conditionalFormatting sqref="E43:H43">
    <cfRule type="cellIs" dxfId="24" priority="25" operator="lessThan">
      <formula>11</formula>
    </cfRule>
  </conditionalFormatting>
  <conditionalFormatting sqref="D44:H44">
    <cfRule type="cellIs" dxfId="23" priority="24" operator="lessThan">
      <formula>1</formula>
    </cfRule>
  </conditionalFormatting>
  <conditionalFormatting sqref="D45:H45">
    <cfRule type="cellIs" dxfId="22" priority="23" operator="lessThan">
      <formula>9</formula>
    </cfRule>
  </conditionalFormatting>
  <conditionalFormatting sqref="D46:H46">
    <cfRule type="cellIs" dxfId="21" priority="22" operator="lessThan">
      <formula>8</formula>
    </cfRule>
  </conditionalFormatting>
  <conditionalFormatting sqref="D47:H47">
    <cfRule type="cellIs" dxfId="20" priority="21" operator="lessThan">
      <formula>24</formula>
    </cfRule>
  </conditionalFormatting>
  <conditionalFormatting sqref="D48:H48">
    <cfRule type="cellIs" dxfId="19" priority="20" operator="lessThan">
      <formula>5</formula>
    </cfRule>
  </conditionalFormatting>
  <conditionalFormatting sqref="D49:H49">
    <cfRule type="cellIs" dxfId="18" priority="19" operator="lessThan">
      <formula>50</formula>
    </cfRule>
  </conditionalFormatting>
  <conditionalFormatting sqref="D50:H50">
    <cfRule type="cellIs" dxfId="17" priority="18" operator="lessThan">
      <formula>5</formula>
    </cfRule>
  </conditionalFormatting>
  <conditionalFormatting sqref="D51:H51">
    <cfRule type="cellIs" dxfId="16" priority="17" operator="lessThan">
      <formula>11</formula>
    </cfRule>
  </conditionalFormatting>
  <conditionalFormatting sqref="D52:H52">
    <cfRule type="cellIs" dxfId="15" priority="16" operator="lessThan">
      <formula>5</formula>
    </cfRule>
  </conditionalFormatting>
  <conditionalFormatting sqref="D53:H53">
    <cfRule type="cellIs" dxfId="14" priority="15" operator="lessThan">
      <formula>11</formula>
    </cfRule>
  </conditionalFormatting>
  <conditionalFormatting sqref="D54:H54">
    <cfRule type="cellIs" dxfId="13" priority="14" operator="lessThan">
      <formula>16</formula>
    </cfRule>
  </conditionalFormatting>
  <conditionalFormatting sqref="D55:H55">
    <cfRule type="cellIs" dxfId="12" priority="13" operator="lessThan">
      <formula>17</formula>
    </cfRule>
  </conditionalFormatting>
  <conditionalFormatting sqref="D56:H56">
    <cfRule type="cellIs" dxfId="11" priority="12" operator="lessThan">
      <formula>3</formula>
    </cfRule>
  </conditionalFormatting>
  <conditionalFormatting sqref="E57:H57">
    <cfRule type="cellIs" dxfId="10" priority="11" operator="lessThan">
      <formula>13</formula>
    </cfRule>
  </conditionalFormatting>
  <conditionalFormatting sqref="D58:H58">
    <cfRule type="cellIs" dxfId="9" priority="10" operator="lessThan">
      <formula>1</formula>
    </cfRule>
  </conditionalFormatting>
  <conditionalFormatting sqref="D59:H59">
    <cfRule type="cellIs" dxfId="8" priority="9" operator="lessThan">
      <formula>23</formula>
    </cfRule>
  </conditionalFormatting>
  <conditionalFormatting sqref="D60:H60 D69:H69">
    <cfRule type="cellIs" dxfId="7" priority="8" operator="lessThan">
      <formula>1</formula>
    </cfRule>
  </conditionalFormatting>
  <conditionalFormatting sqref="D61:H61 D70:H70">
    <cfRule type="cellIs" dxfId="6" priority="7" operator="lessThan">
      <formula>23</formula>
    </cfRule>
  </conditionalFormatting>
  <conditionalFormatting sqref="D62">
    <cfRule type="cellIs" dxfId="5" priority="6" operator="lessThan">
      <formula>11</formula>
    </cfRule>
  </conditionalFormatting>
  <conditionalFormatting sqref="D63">
    <cfRule type="cellIs" dxfId="4" priority="5" operator="lessThan">
      <formula>11</formula>
    </cfRule>
  </conditionalFormatting>
  <conditionalFormatting sqref="D64">
    <cfRule type="cellIs" dxfId="3" priority="4" operator="lessThan">
      <formula>13</formula>
    </cfRule>
  </conditionalFormatting>
  <conditionalFormatting sqref="D65">
    <cfRule type="cellIs" dxfId="2" priority="3" operator="lessThan">
      <formula>13</formula>
    </cfRule>
  </conditionalFormatting>
  <conditionalFormatting sqref="D66">
    <cfRule type="cellIs" dxfId="1" priority="2" operator="lessThan">
      <formula>9</formula>
    </cfRule>
  </conditionalFormatting>
  <conditionalFormatting sqref="D67">
    <cfRule type="cellIs" dxfId="0" priority="1" operator="lessThan">
      <formula>9</formula>
    </cfRule>
  </conditionalFormatting>
  <pageMargins left="0.19685039370078741" right="0.19685039370078741" top="0.19685039370078741" bottom="0.74803149606299213" header="0.19685039370078741" footer="0.31496062992125984"/>
  <pageSetup paperSize="9" scale="28" fitToWidth="0" fitToHeight="0" orientation="portrait" r:id="rId1"/>
  <rowBreaks count="1" manualBreakCount="1">
    <brk id="4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22</vt:i4>
      </vt:variant>
    </vt:vector>
  </HeadingPairs>
  <TitlesOfParts>
    <vt:vector size="47" baseType="lpstr">
      <vt:lpstr>титульный лист</vt:lpstr>
      <vt:lpstr>Титул</vt:lpstr>
      <vt:lpstr>приложение1</vt:lpstr>
      <vt:lpstr>расписание ПСС</vt:lpstr>
      <vt:lpstr>Иностр язык(немец, рус)</vt:lpstr>
      <vt:lpstr>01.09</vt:lpstr>
      <vt:lpstr>07.09</vt:lpstr>
      <vt:lpstr>14.09</vt:lpstr>
      <vt:lpstr>21.09</vt:lpstr>
      <vt:lpstr>28.09</vt:lpstr>
      <vt:lpstr>05.10</vt:lpstr>
      <vt:lpstr>12.10</vt:lpstr>
      <vt:lpstr>19.10</vt:lpstr>
      <vt:lpstr>26.10</vt:lpstr>
      <vt:lpstr>02.11</vt:lpstr>
      <vt:lpstr>09.11</vt:lpstr>
      <vt:lpstr>16.11</vt:lpstr>
      <vt:lpstr>23.11</vt:lpstr>
      <vt:lpstr>30.11</vt:lpstr>
      <vt:lpstr>07.12</vt:lpstr>
      <vt:lpstr>14.12</vt:lpstr>
      <vt:lpstr>21.12</vt:lpstr>
      <vt:lpstr>28.12</vt:lpstr>
      <vt:lpstr>09.06</vt:lpstr>
      <vt:lpstr>16.06</vt:lpstr>
      <vt:lpstr>'01.09'!Область_печати</vt:lpstr>
      <vt:lpstr>'02.11'!Область_печати</vt:lpstr>
      <vt:lpstr>'05.10'!Область_печати</vt:lpstr>
      <vt:lpstr>'07.09'!Область_печати</vt:lpstr>
      <vt:lpstr>'07.12'!Область_печати</vt:lpstr>
      <vt:lpstr>'09.06'!Область_печати</vt:lpstr>
      <vt:lpstr>'09.11'!Область_печати</vt:lpstr>
      <vt:lpstr>'12.10'!Область_печати</vt:lpstr>
      <vt:lpstr>'14.09'!Область_печати</vt:lpstr>
      <vt:lpstr>'14.12'!Область_печати</vt:lpstr>
      <vt:lpstr>'16.06'!Область_печати</vt:lpstr>
      <vt:lpstr>'16.11'!Область_печати</vt:lpstr>
      <vt:lpstr>'19.10'!Область_печати</vt:lpstr>
      <vt:lpstr>'21.09'!Область_печати</vt:lpstr>
      <vt:lpstr>'21.12'!Область_печати</vt:lpstr>
      <vt:lpstr>'23.11'!Область_печати</vt:lpstr>
      <vt:lpstr>'26.10'!Область_печати</vt:lpstr>
      <vt:lpstr>'28.09'!Область_печати</vt:lpstr>
      <vt:lpstr>'28.12'!Область_печати</vt:lpstr>
      <vt:lpstr>'30.11'!Область_печати</vt:lpstr>
      <vt:lpstr>приложение1!Область_печати</vt:lpstr>
      <vt:lpstr>'расписание ПСС'!Область_печати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Center2</dc:creator>
  <cp:lastModifiedBy>user</cp:lastModifiedBy>
  <cp:lastPrinted>2026-10-02T07:14:58Z</cp:lastPrinted>
  <dcterms:created xsi:type="dcterms:W3CDTF">2012-10-29T12:55:48Z</dcterms:created>
  <dcterms:modified xsi:type="dcterms:W3CDTF">2026-10-05T14:49:10Z</dcterms:modified>
</cp:coreProperties>
</file>